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7.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tables/table8.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updateLinks="always" codeName="현재_통합_문서" defaultThemeVersion="166925"/>
  <mc:AlternateContent xmlns:mc="http://schemas.openxmlformats.org/markup-compatibility/2006">
    <mc:Choice Requires="x15">
      <x15ac:absPath xmlns:x15ac="http://schemas.microsoft.com/office/spreadsheetml/2010/11/ac" url="https://blueholestudio.sharepoint.com/teams/pubgitinfra/Shared Documents/3. 건별 구매,정산 (Cloud, , 21년2월~)/2026y/2026-05/"/>
    </mc:Choice>
  </mc:AlternateContent>
  <xr:revisionPtr revIDLastSave="382" documentId="13_ncr:1_{F8B7EF17-95B3-3A43-BCB1-47FB84E50926}" xr6:coauthVersionLast="47" xr6:coauthVersionMax="47" xr10:uidLastSave="{D5493153-78CD-C544-98F9-478F27487C75}"/>
  <bookViews>
    <workbookView xWindow="5040" yWindow="6140" windowWidth="47300" windowHeight="26840" xr2:uid="{4A75C44E-0C7E-42C9-AD28-76129D4304EF}"/>
  </bookViews>
  <sheets>
    <sheet name="Usage Apr 2026" sheetId="16" r:id="rId1"/>
    <sheet name="Pivot by CW" sheetId="31" state="hidden" r:id="rId2"/>
    <sheet name="Pivot" sheetId="34" r:id="rId3"/>
    <sheet name="ToDo" sheetId="32" r:id="rId4"/>
    <sheet name="Akamai" sheetId="24" r:id="rId5"/>
    <sheet name="AWS" sheetId="23" r:id="rId6"/>
    <sheet name="Azure" sheetId="25" r:id="rId7"/>
    <sheet name="Tencent" sheetId="29" r:id="rId8"/>
    <sheet name="Datadog" sheetId="26" r:id="rId9"/>
    <sheet name="GWS" sheetId="28" r:id="rId10"/>
    <sheet name="Yandex" sheetId="30" r:id="rId11"/>
    <sheet name="GCP" sheetId="27" r:id="rId12"/>
    <sheet name="cost center" sheetId="22" r:id="rId13"/>
    <sheet name="Project" sheetId="33" r:id="rId14"/>
  </sheets>
  <externalReferences>
    <externalReference r:id="rId15"/>
  </externalReferences>
  <definedNames>
    <definedName name="_xlnm._FilterDatabase" localSheetId="4" hidden="1">Akamai!$A$2:$J$31</definedName>
    <definedName name="_xlnm._FilterDatabase" localSheetId="5" hidden="1">AWS!$A$2:$J$289</definedName>
    <definedName name="_xlnm._FilterDatabase" localSheetId="6" hidden="1">Azure!$A$2:$J$98</definedName>
    <definedName name="_xlnm._FilterDatabase" localSheetId="8" hidden="1">Datadog!$A$2:$J$37</definedName>
    <definedName name="_xlnm._FilterDatabase" localSheetId="11" hidden="1">GCP!$A$2:$J$103</definedName>
    <definedName name="_xlnm._FilterDatabase" localSheetId="3" hidden="1">ToDo!$A$1:$M$20</definedName>
    <definedName name="_xlnm._FilterDatabase" localSheetId="0" hidden="1">'Usage Apr 2026'!$C$575:$C$579</definedName>
    <definedName name="송보근">#REF!</definedName>
  </definedNames>
  <calcPr calcId="191028"/>
  <pivotCaches>
    <pivotCache cacheId="90" r:id="rId16"/>
    <pivotCache cacheId="91" r:id="rId17"/>
    <pivotCache cacheId="92"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Z310" i="16" l="1"/>
  <c r="Z309" i="16"/>
  <c r="Z308" i="16"/>
  <c r="Z307" i="16"/>
  <c r="Z306" i="16"/>
  <c r="Z305" i="16"/>
  <c r="Z304" i="16"/>
  <c r="Z303" i="16"/>
  <c r="Z302" i="16"/>
  <c r="Z301" i="16"/>
  <c r="Z300" i="16"/>
  <c r="Z299" i="16"/>
  <c r="Z298" i="16"/>
  <c r="Z297" i="16"/>
  <c r="Z296" i="16"/>
  <c r="Z295" i="16"/>
  <c r="Z294" i="16"/>
  <c r="W310" i="16"/>
  <c r="Y310" i="16" s="1"/>
  <c r="W309" i="16"/>
  <c r="Y309" i="16" s="1"/>
  <c r="W308" i="16"/>
  <c r="Y308" i="16" s="1"/>
  <c r="W307" i="16"/>
  <c r="Y307" i="16" s="1"/>
  <c r="W306" i="16"/>
  <c r="Y306" i="16" s="1"/>
  <c r="W305" i="16"/>
  <c r="Y305" i="16" s="1"/>
  <c r="W304" i="16"/>
  <c r="Y304" i="16" s="1"/>
  <c r="W303" i="16"/>
  <c r="Y303" i="16" s="1"/>
  <c r="W302" i="16"/>
  <c r="Y302" i="16" s="1"/>
  <c r="W301" i="16"/>
  <c r="Y301" i="16" s="1"/>
  <c r="W300" i="16"/>
  <c r="Y300" i="16" s="1"/>
  <c r="W299" i="16"/>
  <c r="Y299" i="16" s="1"/>
  <c r="W298" i="16"/>
  <c r="Y298" i="16" s="1"/>
  <c r="W297" i="16"/>
  <c r="Y297" i="16" s="1"/>
  <c r="W296" i="16"/>
  <c r="Y296" i="16" s="1"/>
  <c r="W295" i="16"/>
  <c r="Y295" i="16" s="1"/>
  <c r="W294" i="16"/>
  <c r="Y294" i="16" s="1"/>
  <c r="J294" i="16"/>
  <c r="J295" i="16"/>
  <c r="J296" i="16"/>
  <c r="J297" i="16"/>
  <c r="J298" i="16"/>
  <c r="J299" i="16"/>
  <c r="J300" i="16"/>
  <c r="J301" i="16"/>
  <c r="J302" i="16"/>
  <c r="J303" i="16"/>
  <c r="J304" i="16"/>
  <c r="J305" i="16"/>
  <c r="J306" i="16"/>
  <c r="J307" i="16"/>
  <c r="J308" i="16"/>
  <c r="J309" i="16"/>
  <c r="J310" i="16"/>
  <c r="A294" i="16"/>
  <c r="B294" i="16"/>
  <c r="C294" i="16"/>
  <c r="D294" i="16"/>
  <c r="AA294" i="16" s="1"/>
  <c r="E294" i="16"/>
  <c r="A295" i="16"/>
  <c r="B295" i="16"/>
  <c r="C295" i="16"/>
  <c r="D295" i="16"/>
  <c r="AA295" i="16" s="1"/>
  <c r="E295" i="16"/>
  <c r="A296" i="16"/>
  <c r="B296" i="16"/>
  <c r="C296" i="16"/>
  <c r="D296" i="16"/>
  <c r="AA296" i="16" s="1"/>
  <c r="E296" i="16"/>
  <c r="A297" i="16"/>
  <c r="B297" i="16"/>
  <c r="C297" i="16"/>
  <c r="D297" i="16"/>
  <c r="AA297" i="16" s="1"/>
  <c r="E297" i="16"/>
  <c r="A298" i="16"/>
  <c r="B298" i="16"/>
  <c r="C298" i="16"/>
  <c r="D298" i="16"/>
  <c r="AA298" i="16" s="1"/>
  <c r="E298" i="16"/>
  <c r="A299" i="16"/>
  <c r="B299" i="16"/>
  <c r="C299" i="16"/>
  <c r="D299" i="16"/>
  <c r="AA299" i="16" s="1"/>
  <c r="E299" i="16"/>
  <c r="A300" i="16"/>
  <c r="B300" i="16"/>
  <c r="C300" i="16"/>
  <c r="D300" i="16"/>
  <c r="AA300" i="16" s="1"/>
  <c r="E300" i="16"/>
  <c r="A301" i="16"/>
  <c r="B301" i="16"/>
  <c r="C301" i="16"/>
  <c r="D301" i="16"/>
  <c r="AA301" i="16" s="1"/>
  <c r="E301" i="16"/>
  <c r="A302" i="16"/>
  <c r="B302" i="16"/>
  <c r="C302" i="16"/>
  <c r="D302" i="16"/>
  <c r="AA302" i="16" s="1"/>
  <c r="E302" i="16"/>
  <c r="A303" i="16"/>
  <c r="B303" i="16"/>
  <c r="C303" i="16"/>
  <c r="D303" i="16"/>
  <c r="AA303" i="16" s="1"/>
  <c r="E303" i="16"/>
  <c r="A304" i="16"/>
  <c r="B304" i="16"/>
  <c r="C304" i="16"/>
  <c r="D304" i="16"/>
  <c r="AA304" i="16" s="1"/>
  <c r="E304" i="16"/>
  <c r="A305" i="16"/>
  <c r="B305" i="16"/>
  <c r="C305" i="16"/>
  <c r="D305" i="16"/>
  <c r="AA305" i="16" s="1"/>
  <c r="E305" i="16"/>
  <c r="A306" i="16"/>
  <c r="B306" i="16"/>
  <c r="C306" i="16"/>
  <c r="D306" i="16"/>
  <c r="AA306" i="16" s="1"/>
  <c r="E306" i="16"/>
  <c r="A307" i="16"/>
  <c r="B307" i="16"/>
  <c r="C307" i="16"/>
  <c r="D307" i="16"/>
  <c r="AA307" i="16" s="1"/>
  <c r="E307" i="16"/>
  <c r="A308" i="16"/>
  <c r="B308" i="16"/>
  <c r="C308" i="16"/>
  <c r="D308" i="16"/>
  <c r="AA308" i="16" s="1"/>
  <c r="E308" i="16"/>
  <c r="A309" i="16"/>
  <c r="B309" i="16"/>
  <c r="C309" i="16"/>
  <c r="D309" i="16"/>
  <c r="AA309" i="16" s="1"/>
  <c r="E309" i="16"/>
  <c r="A310" i="16"/>
  <c r="B310" i="16"/>
  <c r="C310" i="16"/>
  <c r="D310" i="16"/>
  <c r="AA310" i="16" s="1"/>
  <c r="E310" i="16"/>
  <c r="G294" i="16"/>
  <c r="F294" i="16"/>
  <c r="G295" i="16"/>
  <c r="F295" i="16"/>
  <c r="G296" i="16"/>
  <c r="G297" i="16"/>
  <c r="G298" i="16"/>
  <c r="G299" i="16"/>
  <c r="G300" i="16"/>
  <c r="G301" i="16"/>
  <c r="G302" i="16"/>
  <c r="G303" i="16"/>
  <c r="G304" i="16"/>
  <c r="G305" i="16"/>
  <c r="G306" i="16"/>
  <c r="G307" i="16"/>
  <c r="G308" i="16"/>
  <c r="G309" i="16"/>
  <c r="G310" i="16"/>
  <c r="J335" i="23"/>
  <c r="J323" i="23"/>
  <c r="J324" i="23"/>
  <c r="J325" i="23"/>
  <c r="J326" i="23"/>
  <c r="J327" i="23"/>
  <c r="J328" i="23"/>
  <c r="J329" i="23"/>
  <c r="J330" i="23"/>
  <c r="J331" i="23"/>
  <c r="J332" i="23"/>
  <c r="J333" i="23"/>
  <c r="J334" i="23"/>
  <c r="J336" i="23"/>
  <c r="J337" i="23"/>
  <c r="J338" i="23"/>
  <c r="J339" i="23"/>
  <c r="K323" i="23"/>
  <c r="K324" i="23"/>
  <c r="K325" i="23"/>
  <c r="K326" i="23"/>
  <c r="K327" i="23"/>
  <c r="K328" i="23"/>
  <c r="K329" i="23"/>
  <c r="K330" i="23"/>
  <c r="K331" i="23"/>
  <c r="K332" i="23"/>
  <c r="K333" i="23"/>
  <c r="K334" i="23"/>
  <c r="K335" i="23"/>
  <c r="K336" i="23"/>
  <c r="K337" i="23"/>
  <c r="K338" i="23"/>
  <c r="K339" i="23"/>
  <c r="Z7" i="16"/>
  <c r="Z9" i="16"/>
  <c r="Z14" i="16"/>
  <c r="Z24" i="16"/>
  <c r="Z28" i="16"/>
  <c r="Z49" i="16"/>
  <c r="Z71" i="16"/>
  <c r="Z72" i="16"/>
  <c r="Z73" i="16"/>
  <c r="Z74" i="16"/>
  <c r="Z91" i="16"/>
  <c r="Z92" i="16"/>
  <c r="Z95" i="16"/>
  <c r="Z96" i="16"/>
  <c r="Z97" i="16"/>
  <c r="Z98" i="16"/>
  <c r="Z99" i="16"/>
  <c r="Z117" i="16"/>
  <c r="Z125" i="16"/>
  <c r="Z168" i="16"/>
  <c r="Z208" i="16"/>
  <c r="Z213" i="16"/>
  <c r="Z251" i="16"/>
  <c r="Z259" i="16"/>
  <c r="Z263" i="16"/>
  <c r="Z315" i="16"/>
  <c r="Z316" i="16"/>
  <c r="Z319" i="16"/>
  <c r="Z321" i="16"/>
  <c r="Z331" i="16"/>
  <c r="Z342" i="16"/>
  <c r="Z343" i="16"/>
  <c r="Z354" i="16"/>
  <c r="Z355" i="16"/>
  <c r="Z358" i="16"/>
  <c r="Z359" i="16"/>
  <c r="Z360" i="16"/>
  <c r="Z361" i="16"/>
  <c r="Z366" i="16"/>
  <c r="Z367" i="16"/>
  <c r="Z370" i="16"/>
  <c r="Z371" i="16"/>
  <c r="Z372" i="16"/>
  <c r="Z373" i="16"/>
  <c r="Z386" i="16"/>
  <c r="Z387" i="16"/>
  <c r="Z390" i="16"/>
  <c r="Z393" i="16"/>
  <c r="Z394" i="16"/>
  <c r="Z399" i="16"/>
  <c r="Z400" i="16"/>
  <c r="Z411" i="16"/>
  <c r="Z412" i="16"/>
  <c r="Z421" i="16"/>
  <c r="Z427" i="16"/>
  <c r="Z433" i="16"/>
  <c r="Z434" i="16"/>
  <c r="Z447" i="16"/>
  <c r="Z448" i="16"/>
  <c r="Z453" i="16"/>
  <c r="Z454" i="16"/>
  <c r="Z458" i="16"/>
  <c r="Z489" i="16"/>
  <c r="Z497" i="16"/>
  <c r="Z498" i="16"/>
  <c r="Z502" i="16"/>
  <c r="Z504" i="16"/>
  <c r="Z507" i="16"/>
  <c r="Z509" i="16"/>
  <c r="Z514" i="16"/>
  <c r="Z521" i="16"/>
  <c r="Z524" i="16"/>
  <c r="Z526" i="16"/>
  <c r="Z527" i="16"/>
  <c r="Z528" i="16"/>
  <c r="Z531" i="16"/>
  <c r="Z535" i="16"/>
  <c r="Z540" i="16"/>
  <c r="Z541" i="16"/>
  <c r="Z546" i="16"/>
  <c r="Z547" i="16"/>
  <c r="Z554" i="16"/>
  <c r="Z556" i="16"/>
  <c r="Z558" i="16"/>
  <c r="Z571" i="16"/>
  <c r="Z575" i="16"/>
  <c r="W5" i="16"/>
  <c r="W6" i="16"/>
  <c r="W7" i="16"/>
  <c r="Y7" i="16" s="1"/>
  <c r="W8" i="16"/>
  <c r="W9" i="16"/>
  <c r="Y9" i="16" s="1"/>
  <c r="W10" i="16"/>
  <c r="W11" i="16"/>
  <c r="W12" i="16"/>
  <c r="W13" i="16"/>
  <c r="W14" i="16"/>
  <c r="Y14" i="16" s="1"/>
  <c r="W15" i="16"/>
  <c r="W16" i="16"/>
  <c r="W17" i="16"/>
  <c r="W18" i="16"/>
  <c r="W19" i="16"/>
  <c r="W20" i="16"/>
  <c r="W21" i="16"/>
  <c r="W22" i="16"/>
  <c r="W23" i="16"/>
  <c r="W24" i="16"/>
  <c r="Y24" i="16" s="1"/>
  <c r="W25" i="16"/>
  <c r="W26" i="16"/>
  <c r="W27" i="16"/>
  <c r="W28" i="16"/>
  <c r="Y28" i="16" s="1"/>
  <c r="W29" i="16"/>
  <c r="W30" i="16"/>
  <c r="W31" i="16"/>
  <c r="W32" i="16"/>
  <c r="W33" i="16"/>
  <c r="W34" i="16"/>
  <c r="W35" i="16"/>
  <c r="W36" i="16"/>
  <c r="W37" i="16"/>
  <c r="W38" i="16"/>
  <c r="W39" i="16"/>
  <c r="W40" i="16"/>
  <c r="W41" i="16"/>
  <c r="W42" i="16"/>
  <c r="W43" i="16"/>
  <c r="W44" i="16"/>
  <c r="W45" i="16"/>
  <c r="W46" i="16"/>
  <c r="W47" i="16"/>
  <c r="W48" i="16"/>
  <c r="W49" i="16"/>
  <c r="Y49" i="16" s="1"/>
  <c r="W50" i="16"/>
  <c r="W51" i="16"/>
  <c r="W52" i="16"/>
  <c r="W53" i="16"/>
  <c r="W54" i="16"/>
  <c r="W55" i="16"/>
  <c r="W56" i="16"/>
  <c r="W57" i="16"/>
  <c r="W58" i="16"/>
  <c r="W59" i="16"/>
  <c r="W60" i="16"/>
  <c r="W61" i="16"/>
  <c r="W62" i="16"/>
  <c r="W63" i="16"/>
  <c r="W64" i="16"/>
  <c r="W65" i="16"/>
  <c r="W66" i="16"/>
  <c r="W67" i="16"/>
  <c r="W68" i="16"/>
  <c r="W69" i="16"/>
  <c r="W70" i="16"/>
  <c r="W71" i="16"/>
  <c r="Y71" i="16" s="1"/>
  <c r="W72" i="16"/>
  <c r="Y72" i="16" s="1"/>
  <c r="W73" i="16"/>
  <c r="Y73" i="16" s="1"/>
  <c r="W74" i="16"/>
  <c r="Y74" i="16" s="1"/>
  <c r="W75" i="16"/>
  <c r="W76" i="16"/>
  <c r="W77" i="16"/>
  <c r="W78" i="16"/>
  <c r="W79" i="16"/>
  <c r="W80" i="16"/>
  <c r="W81" i="16"/>
  <c r="W82" i="16"/>
  <c r="W83" i="16"/>
  <c r="W84" i="16"/>
  <c r="W85" i="16"/>
  <c r="W86" i="16"/>
  <c r="W87" i="16"/>
  <c r="W88" i="16"/>
  <c r="W89" i="16"/>
  <c r="W90" i="16"/>
  <c r="W91" i="16"/>
  <c r="Y91" i="16" s="1"/>
  <c r="W92" i="16"/>
  <c r="Y92" i="16" s="1"/>
  <c r="W93" i="16"/>
  <c r="W94" i="16"/>
  <c r="W95" i="16"/>
  <c r="Y95" i="16" s="1"/>
  <c r="W96" i="16"/>
  <c r="Y96" i="16" s="1"/>
  <c r="W97" i="16"/>
  <c r="Y97" i="16" s="1"/>
  <c r="W98" i="16"/>
  <c r="Y98" i="16" s="1"/>
  <c r="W99" i="16"/>
  <c r="Y99" i="16" s="1"/>
  <c r="W100" i="16"/>
  <c r="W101" i="16"/>
  <c r="W102" i="16"/>
  <c r="W103" i="16"/>
  <c r="W104" i="16"/>
  <c r="W105" i="16"/>
  <c r="W106" i="16"/>
  <c r="W107" i="16"/>
  <c r="W108" i="16"/>
  <c r="W109" i="16"/>
  <c r="W110" i="16"/>
  <c r="W111" i="16"/>
  <c r="W112" i="16"/>
  <c r="W113" i="16"/>
  <c r="W114" i="16"/>
  <c r="W115" i="16"/>
  <c r="W116" i="16"/>
  <c r="W117" i="16"/>
  <c r="Y117" i="16" s="1"/>
  <c r="W118" i="16"/>
  <c r="W119" i="16"/>
  <c r="W120" i="16"/>
  <c r="W121" i="16"/>
  <c r="W122" i="16"/>
  <c r="W123" i="16"/>
  <c r="W124" i="16"/>
  <c r="W125" i="16"/>
  <c r="Y125" i="16" s="1"/>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Y168" i="16" s="1"/>
  <c r="W169" i="16"/>
  <c r="W170" i="16"/>
  <c r="W171" i="16"/>
  <c r="W172" i="16"/>
  <c r="W173" i="16"/>
  <c r="W174" i="16"/>
  <c r="W175" i="16"/>
  <c r="W176" i="16"/>
  <c r="W177" i="16"/>
  <c r="W178" i="16"/>
  <c r="W179" i="16"/>
  <c r="W180" i="16"/>
  <c r="W181" i="16"/>
  <c r="W182" i="16"/>
  <c r="W183" i="16"/>
  <c r="W184" i="16"/>
  <c r="W185" i="16"/>
  <c r="W186" i="16"/>
  <c r="W187" i="16"/>
  <c r="W188" i="16"/>
  <c r="W189" i="16"/>
  <c r="W190" i="16"/>
  <c r="W191" i="16"/>
  <c r="W192" i="16"/>
  <c r="W193" i="16"/>
  <c r="W194" i="16"/>
  <c r="W195" i="16"/>
  <c r="W196" i="16"/>
  <c r="W197" i="16"/>
  <c r="W198" i="16"/>
  <c r="W199" i="16"/>
  <c r="W200" i="16"/>
  <c r="W201" i="16"/>
  <c r="W202" i="16"/>
  <c r="W203" i="16"/>
  <c r="W204" i="16"/>
  <c r="W205" i="16"/>
  <c r="W206" i="16"/>
  <c r="W207" i="16"/>
  <c r="W208" i="16"/>
  <c r="Y208" i="16" s="1"/>
  <c r="W209" i="16"/>
  <c r="W210" i="16"/>
  <c r="W211" i="16"/>
  <c r="W212" i="16"/>
  <c r="W213" i="16"/>
  <c r="Y213" i="16" s="1"/>
  <c r="W214" i="16"/>
  <c r="W215" i="16"/>
  <c r="W216" i="16"/>
  <c r="W217" i="16"/>
  <c r="W218" i="16"/>
  <c r="W219" i="16"/>
  <c r="W220" i="16"/>
  <c r="W221" i="16"/>
  <c r="W222" i="16"/>
  <c r="W223" i="16"/>
  <c r="W224" i="16"/>
  <c r="W225" i="16"/>
  <c r="W226" i="16"/>
  <c r="W227" i="16"/>
  <c r="W228" i="16"/>
  <c r="W229" i="16"/>
  <c r="W230" i="16"/>
  <c r="W231" i="16"/>
  <c r="W232" i="16"/>
  <c r="W233" i="16"/>
  <c r="W234" i="16"/>
  <c r="W235" i="16"/>
  <c r="W236" i="16"/>
  <c r="W237" i="16"/>
  <c r="W238" i="16"/>
  <c r="W239" i="16"/>
  <c r="W240" i="16"/>
  <c r="W241" i="16"/>
  <c r="W242" i="16"/>
  <c r="W243" i="16"/>
  <c r="W244" i="16"/>
  <c r="W245" i="16"/>
  <c r="W246" i="16"/>
  <c r="W247" i="16"/>
  <c r="W248" i="16"/>
  <c r="W249" i="16"/>
  <c r="W250" i="16"/>
  <c r="W251" i="16"/>
  <c r="Y251" i="16" s="1"/>
  <c r="W252" i="16"/>
  <c r="W253" i="16"/>
  <c r="W254" i="16"/>
  <c r="W255" i="16"/>
  <c r="W256" i="16"/>
  <c r="W257" i="16"/>
  <c r="W258" i="16"/>
  <c r="W259" i="16"/>
  <c r="Y259" i="16" s="1"/>
  <c r="W260" i="16"/>
  <c r="W261" i="16"/>
  <c r="W262" i="16"/>
  <c r="W263" i="16"/>
  <c r="Y263" i="16" s="1"/>
  <c r="W264" i="16"/>
  <c r="W265" i="16"/>
  <c r="W266" i="16"/>
  <c r="W267" i="16"/>
  <c r="W268" i="16"/>
  <c r="W269" i="16"/>
  <c r="W270" i="16"/>
  <c r="W271" i="16"/>
  <c r="W272" i="16"/>
  <c r="W273" i="16"/>
  <c r="W274" i="16"/>
  <c r="W275" i="16"/>
  <c r="W276" i="16"/>
  <c r="W277" i="16"/>
  <c r="W278" i="16"/>
  <c r="W279" i="16"/>
  <c r="W280" i="16"/>
  <c r="W281" i="16"/>
  <c r="W282" i="16"/>
  <c r="W283" i="16"/>
  <c r="W284" i="16"/>
  <c r="W285" i="16"/>
  <c r="W286" i="16"/>
  <c r="W287" i="16"/>
  <c r="W288" i="16"/>
  <c r="W289" i="16"/>
  <c r="W290" i="16"/>
  <c r="W291" i="16"/>
  <c r="W292" i="16"/>
  <c r="W293" i="16"/>
  <c r="W311" i="16"/>
  <c r="W312" i="16"/>
  <c r="W313" i="16"/>
  <c r="W314" i="16"/>
  <c r="W315" i="16"/>
  <c r="Y315" i="16" s="1"/>
  <c r="W316" i="16"/>
  <c r="Y316" i="16" s="1"/>
  <c r="W317" i="16"/>
  <c r="W318" i="16"/>
  <c r="W319" i="16"/>
  <c r="Y319" i="16" s="1"/>
  <c r="W320" i="16"/>
  <c r="W321" i="16"/>
  <c r="Y321" i="16" s="1"/>
  <c r="W322" i="16"/>
  <c r="W323" i="16"/>
  <c r="W324" i="16"/>
  <c r="W325" i="16"/>
  <c r="W326" i="16"/>
  <c r="W327" i="16"/>
  <c r="W328" i="16"/>
  <c r="W329" i="16"/>
  <c r="W330" i="16"/>
  <c r="W331" i="16"/>
  <c r="Y331" i="16" s="1"/>
  <c r="W332" i="16"/>
  <c r="W333" i="16"/>
  <c r="W334" i="16"/>
  <c r="W335" i="16"/>
  <c r="W336" i="16"/>
  <c r="W337" i="16"/>
  <c r="W338" i="16"/>
  <c r="W339" i="16"/>
  <c r="W340" i="16"/>
  <c r="W341" i="16"/>
  <c r="W342" i="16"/>
  <c r="Y342" i="16" s="1"/>
  <c r="W343" i="16"/>
  <c r="Y343" i="16" s="1"/>
  <c r="W344" i="16"/>
  <c r="W345" i="16"/>
  <c r="W346" i="16"/>
  <c r="W347" i="16"/>
  <c r="W348" i="16"/>
  <c r="W349" i="16"/>
  <c r="W350" i="16"/>
  <c r="W351" i="16"/>
  <c r="W352" i="16"/>
  <c r="W353" i="16"/>
  <c r="W354" i="16"/>
  <c r="Y354" i="16" s="1"/>
  <c r="W355" i="16"/>
  <c r="Y355" i="16" s="1"/>
  <c r="W356" i="16"/>
  <c r="W357" i="16"/>
  <c r="W358" i="16"/>
  <c r="Y358" i="16" s="1"/>
  <c r="W359" i="16"/>
  <c r="Y359" i="16" s="1"/>
  <c r="W360" i="16"/>
  <c r="Y360" i="16" s="1"/>
  <c r="W361" i="16"/>
  <c r="Y361" i="16" s="1"/>
  <c r="W362" i="16"/>
  <c r="W363" i="16"/>
  <c r="W364" i="16"/>
  <c r="W365" i="16"/>
  <c r="W366" i="16"/>
  <c r="Y366" i="16" s="1"/>
  <c r="W367" i="16"/>
  <c r="Y367" i="16" s="1"/>
  <c r="W368" i="16"/>
  <c r="W369" i="16"/>
  <c r="W370" i="16"/>
  <c r="Y370" i="16" s="1"/>
  <c r="W371" i="16"/>
  <c r="Y371" i="16" s="1"/>
  <c r="W372" i="16"/>
  <c r="Y372" i="16" s="1"/>
  <c r="W373" i="16"/>
  <c r="Y373" i="16" s="1"/>
  <c r="W374" i="16"/>
  <c r="W375" i="16"/>
  <c r="W376" i="16"/>
  <c r="W377" i="16"/>
  <c r="W378" i="16"/>
  <c r="W379" i="16"/>
  <c r="W380" i="16"/>
  <c r="W381" i="16"/>
  <c r="W382" i="16"/>
  <c r="W383" i="16"/>
  <c r="W384" i="16"/>
  <c r="W385" i="16"/>
  <c r="W386" i="16"/>
  <c r="Y386" i="16" s="1"/>
  <c r="W387" i="16"/>
  <c r="Y387" i="16" s="1"/>
  <c r="W388" i="16"/>
  <c r="W389" i="16"/>
  <c r="W390" i="16"/>
  <c r="Y390" i="16" s="1"/>
  <c r="W391" i="16"/>
  <c r="W392" i="16"/>
  <c r="W393" i="16"/>
  <c r="Y393" i="16" s="1"/>
  <c r="W394" i="16"/>
  <c r="Y394" i="16" s="1"/>
  <c r="W395" i="16"/>
  <c r="W396" i="16"/>
  <c r="W397" i="16"/>
  <c r="W398" i="16"/>
  <c r="W399" i="16"/>
  <c r="Y399" i="16" s="1"/>
  <c r="W400" i="16"/>
  <c r="Y400" i="16" s="1"/>
  <c r="W401" i="16"/>
  <c r="W402" i="16"/>
  <c r="W403" i="16"/>
  <c r="W404" i="16"/>
  <c r="W405" i="16"/>
  <c r="W406" i="16"/>
  <c r="W407" i="16"/>
  <c r="W408" i="16"/>
  <c r="W409" i="16"/>
  <c r="W410" i="16"/>
  <c r="W411" i="16"/>
  <c r="Y411" i="16" s="1"/>
  <c r="W412" i="16"/>
  <c r="Y412" i="16" s="1"/>
  <c r="W413" i="16"/>
  <c r="W414" i="16"/>
  <c r="W415" i="16"/>
  <c r="W416" i="16"/>
  <c r="W417" i="16"/>
  <c r="W418" i="16"/>
  <c r="W419" i="16"/>
  <c r="W420" i="16"/>
  <c r="W421" i="16"/>
  <c r="Y421" i="16" s="1"/>
  <c r="W422" i="16"/>
  <c r="W423" i="16"/>
  <c r="W424" i="16"/>
  <c r="W425" i="16"/>
  <c r="W426" i="16"/>
  <c r="W427" i="16"/>
  <c r="Y427" i="16" s="1"/>
  <c r="W428" i="16"/>
  <c r="W429" i="16"/>
  <c r="W430" i="16"/>
  <c r="W431" i="16"/>
  <c r="W432" i="16"/>
  <c r="W433" i="16"/>
  <c r="Y433" i="16" s="1"/>
  <c r="W434" i="16"/>
  <c r="Y434" i="16" s="1"/>
  <c r="W435" i="16"/>
  <c r="W436" i="16"/>
  <c r="W437" i="16"/>
  <c r="W438" i="16"/>
  <c r="W439" i="16"/>
  <c r="W440" i="16"/>
  <c r="W441" i="16"/>
  <c r="W442" i="16"/>
  <c r="W443" i="16"/>
  <c r="W444" i="16"/>
  <c r="W445" i="16"/>
  <c r="W446" i="16"/>
  <c r="W447" i="16"/>
  <c r="Y447" i="16" s="1"/>
  <c r="W448" i="16"/>
  <c r="Y448" i="16" s="1"/>
  <c r="W449" i="16"/>
  <c r="W450" i="16"/>
  <c r="W451" i="16"/>
  <c r="W452" i="16"/>
  <c r="W453" i="16"/>
  <c r="Y453" i="16" s="1"/>
  <c r="W454" i="16"/>
  <c r="Y454" i="16" s="1"/>
  <c r="W455" i="16"/>
  <c r="W456" i="16"/>
  <c r="W457" i="16"/>
  <c r="W458" i="16"/>
  <c r="Y458" i="16" s="1"/>
  <c r="W459" i="16"/>
  <c r="W460" i="16"/>
  <c r="W461" i="16"/>
  <c r="W462" i="16"/>
  <c r="W463" i="16"/>
  <c r="W464" i="16"/>
  <c r="W465" i="16"/>
  <c r="W466" i="16"/>
  <c r="W467" i="16"/>
  <c r="W468" i="16"/>
  <c r="W469" i="16"/>
  <c r="W470" i="16"/>
  <c r="W471" i="16"/>
  <c r="W472" i="16"/>
  <c r="W473" i="16"/>
  <c r="W474" i="16"/>
  <c r="W475" i="16"/>
  <c r="W476" i="16"/>
  <c r="W477" i="16"/>
  <c r="W478" i="16"/>
  <c r="W479" i="16"/>
  <c r="W480" i="16"/>
  <c r="W481" i="16"/>
  <c r="W482" i="16"/>
  <c r="W483" i="16"/>
  <c r="W484" i="16"/>
  <c r="W485" i="16"/>
  <c r="W486" i="16"/>
  <c r="W487" i="16"/>
  <c r="W488" i="16"/>
  <c r="W489" i="16"/>
  <c r="Y489" i="16" s="1"/>
  <c r="W490" i="16"/>
  <c r="W491" i="16"/>
  <c r="W492" i="16"/>
  <c r="W493" i="16"/>
  <c r="W494" i="16"/>
  <c r="W495" i="16"/>
  <c r="W496" i="16"/>
  <c r="W497" i="16"/>
  <c r="Y497" i="16" s="1"/>
  <c r="W498" i="16"/>
  <c r="Y498" i="16" s="1"/>
  <c r="W499" i="16"/>
  <c r="W500" i="16"/>
  <c r="W501" i="16"/>
  <c r="W502" i="16"/>
  <c r="Y502" i="16" s="1"/>
  <c r="W503" i="16"/>
  <c r="W504" i="16"/>
  <c r="Y504" i="16" s="1"/>
  <c r="W505" i="16"/>
  <c r="W506" i="16"/>
  <c r="W507" i="16"/>
  <c r="Y507" i="16" s="1"/>
  <c r="W508" i="16"/>
  <c r="W509" i="16"/>
  <c r="Y509" i="16" s="1"/>
  <c r="W510" i="16"/>
  <c r="W511" i="16"/>
  <c r="W512" i="16"/>
  <c r="W513" i="16"/>
  <c r="W514" i="16"/>
  <c r="Y514" i="16" s="1"/>
  <c r="W515" i="16"/>
  <c r="W516" i="16"/>
  <c r="W517" i="16"/>
  <c r="W518" i="16"/>
  <c r="W519" i="16"/>
  <c r="W520" i="16"/>
  <c r="W521" i="16"/>
  <c r="Y521" i="16" s="1"/>
  <c r="W522" i="16"/>
  <c r="W523" i="16"/>
  <c r="W524" i="16"/>
  <c r="Y524" i="16" s="1"/>
  <c r="W525" i="16"/>
  <c r="W526" i="16"/>
  <c r="Y526" i="16" s="1"/>
  <c r="W527" i="16"/>
  <c r="Y527" i="16" s="1"/>
  <c r="W528" i="16"/>
  <c r="Y528" i="16" s="1"/>
  <c r="W529" i="16"/>
  <c r="W530" i="16"/>
  <c r="W531" i="16"/>
  <c r="Y531" i="16" s="1"/>
  <c r="W532" i="16"/>
  <c r="W533" i="16"/>
  <c r="W534" i="16"/>
  <c r="W535" i="16"/>
  <c r="Y535" i="16" s="1"/>
  <c r="W536" i="16"/>
  <c r="W537" i="16"/>
  <c r="W538" i="16"/>
  <c r="W539" i="16"/>
  <c r="W540" i="16"/>
  <c r="Y540" i="16" s="1"/>
  <c r="W541" i="16"/>
  <c r="Y541" i="16" s="1"/>
  <c r="W542" i="16"/>
  <c r="W543" i="16"/>
  <c r="W544" i="16"/>
  <c r="W545" i="16"/>
  <c r="W546" i="16"/>
  <c r="Y546" i="16" s="1"/>
  <c r="W547" i="16"/>
  <c r="Y547" i="16" s="1"/>
  <c r="W548" i="16"/>
  <c r="W549" i="16"/>
  <c r="W550" i="16"/>
  <c r="W551" i="16"/>
  <c r="W552" i="16"/>
  <c r="W553" i="16"/>
  <c r="W554" i="16"/>
  <c r="Y554" i="16" s="1"/>
  <c r="W555" i="16"/>
  <c r="W556" i="16"/>
  <c r="Y556" i="16" s="1"/>
  <c r="W557" i="16"/>
  <c r="W558" i="16"/>
  <c r="Y558" i="16" s="1"/>
  <c r="W559" i="16"/>
  <c r="W560" i="16"/>
  <c r="W561" i="16"/>
  <c r="W562" i="16"/>
  <c r="W563" i="16"/>
  <c r="W564" i="16"/>
  <c r="W565" i="16"/>
  <c r="W566" i="16"/>
  <c r="W567" i="16"/>
  <c r="W568" i="16"/>
  <c r="W569" i="16"/>
  <c r="W570" i="16"/>
  <c r="W571" i="16"/>
  <c r="Y571" i="16" s="1"/>
  <c r="W572" i="16"/>
  <c r="W573" i="16"/>
  <c r="W574" i="16"/>
  <c r="W575" i="16"/>
  <c r="Y575" i="16" s="1"/>
  <c r="W576" i="16"/>
  <c r="W577" i="16"/>
  <c r="W578" i="16"/>
  <c r="W579" i="16"/>
  <c r="W4" i="16"/>
  <c r="G387" i="16"/>
  <c r="G389" i="16"/>
  <c r="F380" i="16"/>
  <c r="F381" i="16"/>
  <c r="D293" i="16"/>
  <c r="F293" i="16" s="1"/>
  <c r="D292" i="16"/>
  <c r="F292" i="16" s="1"/>
  <c r="D291" i="16"/>
  <c r="F291" i="16" s="1"/>
  <c r="D290" i="16"/>
  <c r="F290" i="16" s="1"/>
  <c r="D289" i="16"/>
  <c r="F289" i="16" s="1"/>
  <c r="D288" i="16"/>
  <c r="F288" i="16" s="1"/>
  <c r="D287" i="16"/>
  <c r="F287" i="16" s="1"/>
  <c r="D286" i="16"/>
  <c r="F286" i="16" s="1"/>
  <c r="D285" i="16"/>
  <c r="F285" i="16" s="1"/>
  <c r="D284" i="16"/>
  <c r="F284" i="16" s="1"/>
  <c r="D283" i="16"/>
  <c r="F283" i="16" s="1"/>
  <c r="D282" i="16"/>
  <c r="F282" i="16" s="1"/>
  <c r="D281" i="16"/>
  <c r="F281" i="16" s="1"/>
  <c r="D280" i="16"/>
  <c r="F280" i="16" s="1"/>
  <c r="D279" i="16"/>
  <c r="F279" i="16" s="1"/>
  <c r="D278" i="16"/>
  <c r="F278" i="16" s="1"/>
  <c r="D277" i="16"/>
  <c r="F277" i="16" s="1"/>
  <c r="D276" i="16"/>
  <c r="F276" i="16" s="1"/>
  <c r="D275" i="16"/>
  <c r="F275" i="16" s="1"/>
  <c r="D274" i="16"/>
  <c r="F274" i="16" s="1"/>
  <c r="D273" i="16"/>
  <c r="F273" i="16" s="1"/>
  <c r="D272" i="16"/>
  <c r="F272" i="16" s="1"/>
  <c r="D271" i="16"/>
  <c r="F271" i="16" s="1"/>
  <c r="D270" i="16"/>
  <c r="F270" i="16" s="1"/>
  <c r="D269" i="16"/>
  <c r="F269" i="16" s="1"/>
  <c r="D268" i="16"/>
  <c r="F268" i="16" s="1"/>
  <c r="D267" i="16"/>
  <c r="F267" i="16" s="1"/>
  <c r="D266" i="16"/>
  <c r="F266" i="16" s="1"/>
  <c r="D265" i="16"/>
  <c r="F265" i="16" s="1"/>
  <c r="D264" i="16"/>
  <c r="F264" i="16" s="1"/>
  <c r="D263" i="16"/>
  <c r="F263" i="16" s="1"/>
  <c r="D262" i="16"/>
  <c r="F262" i="16" s="1"/>
  <c r="D261" i="16"/>
  <c r="F261" i="16" s="1"/>
  <c r="D260" i="16"/>
  <c r="F260" i="16" s="1"/>
  <c r="D259" i="16"/>
  <c r="F259" i="16" s="1"/>
  <c r="D258" i="16"/>
  <c r="F258" i="16" s="1"/>
  <c r="D257" i="16"/>
  <c r="F257" i="16" s="1"/>
  <c r="D256" i="16"/>
  <c r="F256" i="16" s="1"/>
  <c r="D255" i="16"/>
  <c r="F255" i="16" s="1"/>
  <c r="D254" i="16"/>
  <c r="F254" i="16" s="1"/>
  <c r="D253" i="16"/>
  <c r="F253" i="16" s="1"/>
  <c r="D252" i="16"/>
  <c r="F252" i="16" s="1"/>
  <c r="D251" i="16"/>
  <c r="F251" i="16" s="1"/>
  <c r="D250" i="16"/>
  <c r="F250" i="16" s="1"/>
  <c r="D249" i="16"/>
  <c r="F249" i="16" s="1"/>
  <c r="D248" i="16"/>
  <c r="F248" i="16" s="1"/>
  <c r="D247" i="16"/>
  <c r="F247" i="16" s="1"/>
  <c r="D246" i="16"/>
  <c r="F246" i="16" s="1"/>
  <c r="D245" i="16"/>
  <c r="F245" i="16" s="1"/>
  <c r="D244" i="16"/>
  <c r="F244" i="16" s="1"/>
  <c r="D243" i="16"/>
  <c r="F243" i="16" s="1"/>
  <c r="D242" i="16"/>
  <c r="F242" i="16" s="1"/>
  <c r="D241" i="16"/>
  <c r="F241" i="16" s="1"/>
  <c r="D240" i="16"/>
  <c r="F240" i="16" s="1"/>
  <c r="D239" i="16"/>
  <c r="F239" i="16" s="1"/>
  <c r="D238" i="16"/>
  <c r="F238" i="16" s="1"/>
  <c r="D237" i="16"/>
  <c r="F237" i="16" s="1"/>
  <c r="D236" i="16"/>
  <c r="F236" i="16" s="1"/>
  <c r="D235" i="16"/>
  <c r="F235" i="16" s="1"/>
  <c r="D234" i="16"/>
  <c r="F234" i="16" s="1"/>
  <c r="D233" i="16"/>
  <c r="F233" i="16" s="1"/>
  <c r="D232" i="16"/>
  <c r="F232" i="16" s="1"/>
  <c r="D231" i="16"/>
  <c r="F231" i="16" s="1"/>
  <c r="D230" i="16"/>
  <c r="F230" i="16" s="1"/>
  <c r="D229" i="16"/>
  <c r="F229" i="16" s="1"/>
  <c r="D228" i="16"/>
  <c r="F228" i="16" s="1"/>
  <c r="D227" i="16"/>
  <c r="F227" i="16" s="1"/>
  <c r="D226" i="16"/>
  <c r="F226" i="16" s="1"/>
  <c r="D225" i="16"/>
  <c r="F225" i="16" s="1"/>
  <c r="D224" i="16"/>
  <c r="F224" i="16" s="1"/>
  <c r="D223" i="16"/>
  <c r="F223" i="16" s="1"/>
  <c r="D222" i="16"/>
  <c r="F222" i="16" s="1"/>
  <c r="D221" i="16"/>
  <c r="F221" i="16" s="1"/>
  <c r="D220" i="16"/>
  <c r="F220" i="16" s="1"/>
  <c r="D219" i="16"/>
  <c r="F219" i="16" s="1"/>
  <c r="D218" i="16"/>
  <c r="F218" i="16" s="1"/>
  <c r="D217" i="16"/>
  <c r="F217" i="16" s="1"/>
  <c r="D216" i="16"/>
  <c r="F216" i="16" s="1"/>
  <c r="D215" i="16"/>
  <c r="F215" i="16" s="1"/>
  <c r="D214" i="16"/>
  <c r="F214" i="16" s="1"/>
  <c r="D213" i="16"/>
  <c r="F213" i="16" s="1"/>
  <c r="D212" i="16"/>
  <c r="F212" i="16" s="1"/>
  <c r="D211" i="16"/>
  <c r="F211" i="16" s="1"/>
  <c r="D210" i="16"/>
  <c r="F210" i="16" s="1"/>
  <c r="D209" i="16"/>
  <c r="F209" i="16" s="1"/>
  <c r="D208" i="16"/>
  <c r="F208" i="16" s="1"/>
  <c r="D207" i="16"/>
  <c r="F207" i="16" s="1"/>
  <c r="D206" i="16"/>
  <c r="F206" i="16" s="1"/>
  <c r="D205" i="16"/>
  <c r="F205" i="16" s="1"/>
  <c r="D204" i="16"/>
  <c r="F204" i="16" s="1"/>
  <c r="D203" i="16"/>
  <c r="F203" i="16" s="1"/>
  <c r="D202" i="16"/>
  <c r="F202" i="16" s="1"/>
  <c r="D201" i="16"/>
  <c r="F201" i="16" s="1"/>
  <c r="D200" i="16"/>
  <c r="F200" i="16" s="1"/>
  <c r="D199" i="16"/>
  <c r="F199" i="16" s="1"/>
  <c r="D198" i="16"/>
  <c r="F198" i="16" s="1"/>
  <c r="D197" i="16"/>
  <c r="F197" i="16" s="1"/>
  <c r="D196" i="16"/>
  <c r="F196" i="16" s="1"/>
  <c r="D195" i="16"/>
  <c r="F195" i="16" s="1"/>
  <c r="D194" i="16"/>
  <c r="F194" i="16" s="1"/>
  <c r="D193" i="16"/>
  <c r="F193" i="16" s="1"/>
  <c r="D192" i="16"/>
  <c r="F192" i="16" s="1"/>
  <c r="D191" i="16"/>
  <c r="F191" i="16" s="1"/>
  <c r="D190" i="16"/>
  <c r="F190" i="16" s="1"/>
  <c r="D189" i="16"/>
  <c r="F189" i="16" s="1"/>
  <c r="D188" i="16"/>
  <c r="F188" i="16" s="1"/>
  <c r="D187" i="16"/>
  <c r="F187" i="16" s="1"/>
  <c r="D186" i="16"/>
  <c r="F186" i="16" s="1"/>
  <c r="D185" i="16"/>
  <c r="F185" i="16" s="1"/>
  <c r="D184" i="16"/>
  <c r="F184" i="16" s="1"/>
  <c r="D183" i="16"/>
  <c r="F183" i="16" s="1"/>
  <c r="D182" i="16"/>
  <c r="F182" i="16" s="1"/>
  <c r="D181" i="16"/>
  <c r="F181" i="16" s="1"/>
  <c r="D180" i="16"/>
  <c r="F180" i="16" s="1"/>
  <c r="D179" i="16"/>
  <c r="F179" i="16" s="1"/>
  <c r="D178" i="16"/>
  <c r="F178" i="16" s="1"/>
  <c r="D177" i="16"/>
  <c r="F177" i="16" s="1"/>
  <c r="D176" i="16"/>
  <c r="F176" i="16" s="1"/>
  <c r="D175" i="16"/>
  <c r="F175" i="16" s="1"/>
  <c r="D174" i="16"/>
  <c r="F174" i="16" s="1"/>
  <c r="D173" i="16"/>
  <c r="F173" i="16" s="1"/>
  <c r="D172" i="16"/>
  <c r="F172" i="16" s="1"/>
  <c r="D171" i="16"/>
  <c r="F171" i="16" s="1"/>
  <c r="D170" i="16"/>
  <c r="F170" i="16" s="1"/>
  <c r="D169" i="16"/>
  <c r="F169" i="16" s="1"/>
  <c r="D168" i="16"/>
  <c r="F168" i="16" s="1"/>
  <c r="D167" i="16"/>
  <c r="F167" i="16" s="1"/>
  <c r="D166" i="16"/>
  <c r="F166" i="16" s="1"/>
  <c r="D165" i="16"/>
  <c r="F165" i="16" s="1"/>
  <c r="D164" i="16"/>
  <c r="F164" i="16" s="1"/>
  <c r="D163" i="16"/>
  <c r="F163" i="16" s="1"/>
  <c r="D162" i="16"/>
  <c r="F162" i="16" s="1"/>
  <c r="D161" i="16"/>
  <c r="F161" i="16" s="1"/>
  <c r="D160" i="16"/>
  <c r="F160" i="16" s="1"/>
  <c r="D159" i="16"/>
  <c r="F159" i="16" s="1"/>
  <c r="D158" i="16"/>
  <c r="F158" i="16" s="1"/>
  <c r="D157" i="16"/>
  <c r="F157" i="16" s="1"/>
  <c r="D156" i="16"/>
  <c r="F156" i="16" s="1"/>
  <c r="D155" i="16"/>
  <c r="F155" i="16" s="1"/>
  <c r="D154" i="16"/>
  <c r="F154" i="16" s="1"/>
  <c r="D153" i="16"/>
  <c r="F153" i="16" s="1"/>
  <c r="D152" i="16"/>
  <c r="F152" i="16" s="1"/>
  <c r="D151" i="16"/>
  <c r="F151" i="16" s="1"/>
  <c r="D150" i="16"/>
  <c r="F150" i="16" s="1"/>
  <c r="D149" i="16"/>
  <c r="F149" i="16" s="1"/>
  <c r="D148" i="16"/>
  <c r="F148" i="16" s="1"/>
  <c r="D147" i="16"/>
  <c r="F147" i="16" s="1"/>
  <c r="D146" i="16"/>
  <c r="F146" i="16" s="1"/>
  <c r="D145" i="16"/>
  <c r="F145" i="16" s="1"/>
  <c r="D144" i="16"/>
  <c r="F144" i="16" s="1"/>
  <c r="D143" i="16"/>
  <c r="F143" i="16" s="1"/>
  <c r="D142" i="16"/>
  <c r="F142" i="16" s="1"/>
  <c r="D141" i="16"/>
  <c r="F141" i="16" s="1"/>
  <c r="D140" i="16"/>
  <c r="F140" i="16" s="1"/>
  <c r="D139" i="16"/>
  <c r="F139" i="16" s="1"/>
  <c r="D138" i="16"/>
  <c r="F138" i="16" s="1"/>
  <c r="D137" i="16"/>
  <c r="F137" i="16" s="1"/>
  <c r="D136" i="16"/>
  <c r="F136" i="16" s="1"/>
  <c r="D135" i="16"/>
  <c r="F135" i="16" s="1"/>
  <c r="D134" i="16"/>
  <c r="F134" i="16" s="1"/>
  <c r="D133" i="16"/>
  <c r="F133" i="16" s="1"/>
  <c r="D132" i="16"/>
  <c r="F132" i="16" s="1"/>
  <c r="D131" i="16"/>
  <c r="F131" i="16" s="1"/>
  <c r="D130" i="16"/>
  <c r="F130" i="16" s="1"/>
  <c r="D129" i="16"/>
  <c r="F129" i="16" s="1"/>
  <c r="D128" i="16"/>
  <c r="F128" i="16" s="1"/>
  <c r="D127" i="16"/>
  <c r="F127" i="16" s="1"/>
  <c r="D126" i="16"/>
  <c r="F126" i="16" s="1"/>
  <c r="D125" i="16"/>
  <c r="F125" i="16" s="1"/>
  <c r="D124" i="16"/>
  <c r="F124" i="16" s="1"/>
  <c r="D123" i="16"/>
  <c r="F123" i="16" s="1"/>
  <c r="D122" i="16"/>
  <c r="F122" i="16" s="1"/>
  <c r="D121" i="16"/>
  <c r="F121" i="16" s="1"/>
  <c r="D120" i="16"/>
  <c r="F120" i="16" s="1"/>
  <c r="D119" i="16"/>
  <c r="F119" i="16" s="1"/>
  <c r="D118" i="16"/>
  <c r="F118" i="16" s="1"/>
  <c r="D117" i="16"/>
  <c r="F117" i="16" s="1"/>
  <c r="D116" i="16"/>
  <c r="F116" i="16" s="1"/>
  <c r="D115" i="16"/>
  <c r="F115" i="16" s="1"/>
  <c r="D114" i="16"/>
  <c r="F114" i="16" s="1"/>
  <c r="D113" i="16"/>
  <c r="F113" i="16" s="1"/>
  <c r="D112" i="16"/>
  <c r="F112" i="16" s="1"/>
  <c r="D111" i="16"/>
  <c r="F111" i="16" s="1"/>
  <c r="D110" i="16"/>
  <c r="F110" i="16" s="1"/>
  <c r="D109" i="16"/>
  <c r="F109" i="16" s="1"/>
  <c r="D108" i="16"/>
  <c r="F108" i="16" s="1"/>
  <c r="D107" i="16"/>
  <c r="F107" i="16" s="1"/>
  <c r="D106" i="16"/>
  <c r="F106" i="16" s="1"/>
  <c r="D105" i="16"/>
  <c r="F105" i="16" s="1"/>
  <c r="D104" i="16"/>
  <c r="F104" i="16" s="1"/>
  <c r="D103" i="16"/>
  <c r="F103" i="16" s="1"/>
  <c r="D102" i="16"/>
  <c r="F102" i="16" s="1"/>
  <c r="D101" i="16"/>
  <c r="F101" i="16" s="1"/>
  <c r="D100" i="16"/>
  <c r="F100" i="16" s="1"/>
  <c r="D99" i="16"/>
  <c r="F99" i="16" s="1"/>
  <c r="D98" i="16"/>
  <c r="F98" i="16" s="1"/>
  <c r="D97" i="16"/>
  <c r="F97" i="16" s="1"/>
  <c r="D96" i="16"/>
  <c r="F96" i="16" s="1"/>
  <c r="D95" i="16"/>
  <c r="F95" i="16" s="1"/>
  <c r="D94" i="16"/>
  <c r="F94" i="16" s="1"/>
  <c r="D93" i="16"/>
  <c r="F93" i="16" s="1"/>
  <c r="D92" i="16"/>
  <c r="F92" i="16" s="1"/>
  <c r="D91" i="16"/>
  <c r="F91" i="16" s="1"/>
  <c r="D90" i="16"/>
  <c r="F90" i="16" s="1"/>
  <c r="D89" i="16"/>
  <c r="F89" i="16" s="1"/>
  <c r="D88" i="16"/>
  <c r="F88" i="16" s="1"/>
  <c r="D87" i="16"/>
  <c r="F87" i="16" s="1"/>
  <c r="D86" i="16"/>
  <c r="F86" i="16" s="1"/>
  <c r="D85" i="16"/>
  <c r="F85" i="16" s="1"/>
  <c r="D84" i="16"/>
  <c r="F84" i="16" s="1"/>
  <c r="D83" i="16"/>
  <c r="F83" i="16" s="1"/>
  <c r="D82" i="16"/>
  <c r="F82" i="16" s="1"/>
  <c r="D81" i="16"/>
  <c r="F81" i="16" s="1"/>
  <c r="D80" i="16"/>
  <c r="F80" i="16" s="1"/>
  <c r="D79" i="16"/>
  <c r="F79" i="16" s="1"/>
  <c r="D78" i="16"/>
  <c r="F78" i="16" s="1"/>
  <c r="D77" i="16"/>
  <c r="F77" i="16" s="1"/>
  <c r="D76" i="16"/>
  <c r="F76" i="16" s="1"/>
  <c r="D75" i="16"/>
  <c r="F75" i="16" s="1"/>
  <c r="D74" i="16"/>
  <c r="F74" i="16" s="1"/>
  <c r="D73" i="16"/>
  <c r="F73" i="16" s="1"/>
  <c r="D72" i="16"/>
  <c r="F72" i="16" s="1"/>
  <c r="D71" i="16"/>
  <c r="F71" i="16" s="1"/>
  <c r="D70" i="16"/>
  <c r="F70" i="16" s="1"/>
  <c r="D69" i="16"/>
  <c r="F69" i="16" s="1"/>
  <c r="D68" i="16"/>
  <c r="F68" i="16" s="1"/>
  <c r="D67" i="16"/>
  <c r="F67" i="16" s="1"/>
  <c r="D66" i="16"/>
  <c r="F66" i="16" s="1"/>
  <c r="D65" i="16"/>
  <c r="F65" i="16" s="1"/>
  <c r="D64" i="16"/>
  <c r="F64" i="16" s="1"/>
  <c r="D63" i="16"/>
  <c r="F63" i="16" s="1"/>
  <c r="D62" i="16"/>
  <c r="F62" i="16" s="1"/>
  <c r="D61" i="16"/>
  <c r="F61" i="16" s="1"/>
  <c r="D60" i="16"/>
  <c r="F60" i="16" s="1"/>
  <c r="D59" i="16"/>
  <c r="F59" i="16" s="1"/>
  <c r="D58" i="16"/>
  <c r="F58" i="16" s="1"/>
  <c r="D57" i="16"/>
  <c r="F57" i="16" s="1"/>
  <c r="D56" i="16"/>
  <c r="F56" i="16" s="1"/>
  <c r="D55" i="16"/>
  <c r="F55" i="16" s="1"/>
  <c r="D54" i="16"/>
  <c r="F54" i="16" s="1"/>
  <c r="D53" i="16"/>
  <c r="F53" i="16" s="1"/>
  <c r="D52" i="16"/>
  <c r="F52" i="16" s="1"/>
  <c r="D51" i="16"/>
  <c r="F51" i="16" s="1"/>
  <c r="D50" i="16"/>
  <c r="F50" i="16" s="1"/>
  <c r="D49" i="16"/>
  <c r="F49" i="16" s="1"/>
  <c r="D48" i="16"/>
  <c r="F48" i="16" s="1"/>
  <c r="D47" i="16"/>
  <c r="F47" i="16" s="1"/>
  <c r="D46" i="16"/>
  <c r="F46" i="16" s="1"/>
  <c r="D45" i="16"/>
  <c r="F45" i="16" s="1"/>
  <c r="D44" i="16"/>
  <c r="F44" i="16" s="1"/>
  <c r="D43" i="16"/>
  <c r="F43" i="16" s="1"/>
  <c r="D42" i="16"/>
  <c r="F42" i="16" s="1"/>
  <c r="D41" i="16"/>
  <c r="F41" i="16" s="1"/>
  <c r="D40" i="16"/>
  <c r="F40" i="16" s="1"/>
  <c r="D39" i="16"/>
  <c r="F39" i="16" s="1"/>
  <c r="D38" i="16"/>
  <c r="F38" i="16" s="1"/>
  <c r="D37" i="16"/>
  <c r="F37" i="16" s="1"/>
  <c r="D36" i="16"/>
  <c r="F36" i="16" s="1"/>
  <c r="D35" i="16"/>
  <c r="F35" i="16" s="1"/>
  <c r="D34" i="16"/>
  <c r="F34" i="16" s="1"/>
  <c r="D33" i="16"/>
  <c r="F33" i="16" s="1"/>
  <c r="D32" i="16"/>
  <c r="F32" i="16" s="1"/>
  <c r="D31" i="16"/>
  <c r="F31" i="16" s="1"/>
  <c r="D30" i="16"/>
  <c r="F30" i="16" s="1"/>
  <c r="D29" i="16"/>
  <c r="F29" i="16" s="1"/>
  <c r="D28" i="16"/>
  <c r="F28" i="16" s="1"/>
  <c r="D27" i="16"/>
  <c r="F27" i="16" s="1"/>
  <c r="D26" i="16"/>
  <c r="F26" i="16" s="1"/>
  <c r="D25" i="16"/>
  <c r="F25" i="16" s="1"/>
  <c r="D24" i="16"/>
  <c r="F24" i="16" s="1"/>
  <c r="D23" i="16"/>
  <c r="F23" i="16" s="1"/>
  <c r="D22" i="16"/>
  <c r="F22" i="16" s="1"/>
  <c r="D21" i="16"/>
  <c r="F21" i="16" s="1"/>
  <c r="D20" i="16"/>
  <c r="F20" i="16" s="1"/>
  <c r="D19" i="16"/>
  <c r="F19" i="16" s="1"/>
  <c r="D18" i="16"/>
  <c r="F18" i="16" s="1"/>
  <c r="D17" i="16"/>
  <c r="F17" i="16" s="1"/>
  <c r="D16" i="16"/>
  <c r="F16" i="16" s="1"/>
  <c r="D15" i="16"/>
  <c r="F15" i="16" s="1"/>
  <c r="D14" i="16"/>
  <c r="F14" i="16" s="1"/>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5" i="16"/>
  <c r="J256" i="16"/>
  <c r="J257" i="16"/>
  <c r="J258" i="16"/>
  <c r="J259" i="16"/>
  <c r="J260" i="16"/>
  <c r="J261" i="16"/>
  <c r="J262" i="16"/>
  <c r="J263" i="16"/>
  <c r="J264" i="16"/>
  <c r="J265" i="16"/>
  <c r="J266" i="16"/>
  <c r="J267" i="16"/>
  <c r="J268"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14" i="16"/>
  <c r="E293" i="16"/>
  <c r="G293" i="16" s="1"/>
  <c r="E292" i="16"/>
  <c r="G292" i="16" s="1"/>
  <c r="E291" i="16"/>
  <c r="G291" i="16" s="1"/>
  <c r="E290" i="16"/>
  <c r="G290" i="16" s="1"/>
  <c r="E289" i="16"/>
  <c r="G289" i="16" s="1"/>
  <c r="E288" i="16"/>
  <c r="G288" i="16" s="1"/>
  <c r="E287" i="16"/>
  <c r="G287" i="16" s="1"/>
  <c r="E286" i="16"/>
  <c r="G286" i="16" s="1"/>
  <c r="E285" i="16"/>
  <c r="G285" i="16" s="1"/>
  <c r="E284" i="16"/>
  <c r="G284" i="16" s="1"/>
  <c r="E283" i="16"/>
  <c r="G283" i="16" s="1"/>
  <c r="E282" i="16"/>
  <c r="G282" i="16" s="1"/>
  <c r="E281" i="16"/>
  <c r="G281" i="16" s="1"/>
  <c r="E280" i="16"/>
  <c r="G280" i="16" s="1"/>
  <c r="E279" i="16"/>
  <c r="G279" i="16" s="1"/>
  <c r="E278" i="16"/>
  <c r="G278" i="16" s="1"/>
  <c r="E277" i="16"/>
  <c r="G277" i="16" s="1"/>
  <c r="E276" i="16"/>
  <c r="G276" i="16" s="1"/>
  <c r="E275" i="16"/>
  <c r="G275" i="16" s="1"/>
  <c r="E274" i="16"/>
  <c r="G274" i="16" s="1"/>
  <c r="E273" i="16"/>
  <c r="G273" i="16" s="1"/>
  <c r="E272" i="16"/>
  <c r="G272" i="16" s="1"/>
  <c r="E271" i="16"/>
  <c r="G271" i="16" s="1"/>
  <c r="E270" i="16"/>
  <c r="G270" i="16" s="1"/>
  <c r="E269" i="16"/>
  <c r="G269" i="16" s="1"/>
  <c r="E268" i="16"/>
  <c r="G268" i="16" s="1"/>
  <c r="E267" i="16"/>
  <c r="G267" i="16" s="1"/>
  <c r="E266" i="16"/>
  <c r="G266" i="16" s="1"/>
  <c r="E265" i="16"/>
  <c r="G265" i="16" s="1"/>
  <c r="E264" i="16"/>
  <c r="G264" i="16" s="1"/>
  <c r="E263" i="16"/>
  <c r="G263" i="16" s="1"/>
  <c r="E262" i="16"/>
  <c r="G262" i="16" s="1"/>
  <c r="E261" i="16"/>
  <c r="G261" i="16" s="1"/>
  <c r="E260" i="16"/>
  <c r="G260" i="16" s="1"/>
  <c r="E259" i="16"/>
  <c r="G259" i="16" s="1"/>
  <c r="E258" i="16"/>
  <c r="G258" i="16" s="1"/>
  <c r="E257" i="16"/>
  <c r="G257" i="16" s="1"/>
  <c r="E256" i="16"/>
  <c r="G256" i="16" s="1"/>
  <c r="E255" i="16"/>
  <c r="G255" i="16" s="1"/>
  <c r="E254" i="16"/>
  <c r="G254" i="16" s="1"/>
  <c r="E253" i="16"/>
  <c r="G253" i="16" s="1"/>
  <c r="E252" i="16"/>
  <c r="G252" i="16" s="1"/>
  <c r="E251" i="16"/>
  <c r="G251" i="16" s="1"/>
  <c r="E250" i="16"/>
  <c r="G250" i="16" s="1"/>
  <c r="E249" i="16"/>
  <c r="G249" i="16" s="1"/>
  <c r="E248" i="16"/>
  <c r="G248" i="16" s="1"/>
  <c r="E247" i="16"/>
  <c r="G247" i="16" s="1"/>
  <c r="E246" i="16"/>
  <c r="G246" i="16" s="1"/>
  <c r="E245" i="16"/>
  <c r="G245" i="16" s="1"/>
  <c r="E244" i="16"/>
  <c r="G244" i="16" s="1"/>
  <c r="E243" i="16"/>
  <c r="G243" i="16" s="1"/>
  <c r="E242" i="16"/>
  <c r="G242" i="16" s="1"/>
  <c r="E241" i="16"/>
  <c r="G241" i="16" s="1"/>
  <c r="E240" i="16"/>
  <c r="G240" i="16" s="1"/>
  <c r="E239" i="16"/>
  <c r="G239" i="16" s="1"/>
  <c r="E238" i="16"/>
  <c r="G238" i="16" s="1"/>
  <c r="E237" i="16"/>
  <c r="G237" i="16" s="1"/>
  <c r="E236" i="16"/>
  <c r="G236" i="16" s="1"/>
  <c r="E235" i="16"/>
  <c r="G235" i="16" s="1"/>
  <c r="E234" i="16"/>
  <c r="G234" i="16" s="1"/>
  <c r="E233" i="16"/>
  <c r="G233" i="16" s="1"/>
  <c r="E232" i="16"/>
  <c r="G232" i="16" s="1"/>
  <c r="E231" i="16"/>
  <c r="G231" i="16" s="1"/>
  <c r="E230" i="16"/>
  <c r="G230" i="16" s="1"/>
  <c r="E229" i="16"/>
  <c r="G229" i="16" s="1"/>
  <c r="E228" i="16"/>
  <c r="G228" i="16" s="1"/>
  <c r="E227" i="16"/>
  <c r="G227" i="16" s="1"/>
  <c r="E226" i="16"/>
  <c r="G226" i="16" s="1"/>
  <c r="E225" i="16"/>
  <c r="G225" i="16" s="1"/>
  <c r="E224" i="16"/>
  <c r="G224" i="16" s="1"/>
  <c r="E223" i="16"/>
  <c r="G223" i="16" s="1"/>
  <c r="E222" i="16"/>
  <c r="G222" i="16" s="1"/>
  <c r="E221" i="16"/>
  <c r="G221" i="16" s="1"/>
  <c r="E220" i="16"/>
  <c r="G220" i="16" s="1"/>
  <c r="E219" i="16"/>
  <c r="G219" i="16" s="1"/>
  <c r="E218" i="16"/>
  <c r="G218" i="16" s="1"/>
  <c r="E217" i="16"/>
  <c r="G217" i="16" s="1"/>
  <c r="E216" i="16"/>
  <c r="G216" i="16" s="1"/>
  <c r="E215" i="16"/>
  <c r="G215" i="16" s="1"/>
  <c r="E214" i="16"/>
  <c r="G214" i="16" s="1"/>
  <c r="E213" i="16"/>
  <c r="G213" i="16" s="1"/>
  <c r="E212" i="16"/>
  <c r="G212" i="16" s="1"/>
  <c r="E211" i="16"/>
  <c r="G211" i="16" s="1"/>
  <c r="E210" i="16"/>
  <c r="G210" i="16" s="1"/>
  <c r="E209" i="16"/>
  <c r="G209" i="16" s="1"/>
  <c r="E208" i="16"/>
  <c r="G208" i="16" s="1"/>
  <c r="E207" i="16"/>
  <c r="G207" i="16" s="1"/>
  <c r="E206" i="16"/>
  <c r="G206" i="16" s="1"/>
  <c r="E205" i="16"/>
  <c r="G205" i="16" s="1"/>
  <c r="E204" i="16"/>
  <c r="G204" i="16" s="1"/>
  <c r="E203" i="16"/>
  <c r="G203" i="16" s="1"/>
  <c r="E202" i="16"/>
  <c r="G202" i="16" s="1"/>
  <c r="E201" i="16"/>
  <c r="G201" i="16" s="1"/>
  <c r="E200" i="16"/>
  <c r="G200" i="16" s="1"/>
  <c r="E199" i="16"/>
  <c r="G199" i="16" s="1"/>
  <c r="E198" i="16"/>
  <c r="G198" i="16" s="1"/>
  <c r="E197" i="16"/>
  <c r="G197" i="16" s="1"/>
  <c r="E196" i="16"/>
  <c r="G196" i="16" s="1"/>
  <c r="E195" i="16"/>
  <c r="G195" i="16" s="1"/>
  <c r="E194" i="16"/>
  <c r="G194" i="16" s="1"/>
  <c r="E193" i="16"/>
  <c r="G193" i="16" s="1"/>
  <c r="E192" i="16"/>
  <c r="G192" i="16" s="1"/>
  <c r="E191" i="16"/>
  <c r="G191" i="16" s="1"/>
  <c r="E190" i="16"/>
  <c r="G190" i="16" s="1"/>
  <c r="E189" i="16"/>
  <c r="G189" i="16" s="1"/>
  <c r="E188" i="16"/>
  <c r="G188" i="16" s="1"/>
  <c r="E187" i="16"/>
  <c r="G187" i="16" s="1"/>
  <c r="E186" i="16"/>
  <c r="G186" i="16" s="1"/>
  <c r="E185" i="16"/>
  <c r="G185" i="16" s="1"/>
  <c r="E184" i="16"/>
  <c r="G184" i="16" s="1"/>
  <c r="E183" i="16"/>
  <c r="G183" i="16" s="1"/>
  <c r="E182" i="16"/>
  <c r="G182" i="16" s="1"/>
  <c r="E181" i="16"/>
  <c r="G181" i="16" s="1"/>
  <c r="E180" i="16"/>
  <c r="G180" i="16" s="1"/>
  <c r="E179" i="16"/>
  <c r="G179" i="16" s="1"/>
  <c r="E178" i="16"/>
  <c r="G178" i="16" s="1"/>
  <c r="E177" i="16"/>
  <c r="G177" i="16" s="1"/>
  <c r="E176" i="16"/>
  <c r="G176" i="16" s="1"/>
  <c r="E175" i="16"/>
  <c r="G175" i="16" s="1"/>
  <c r="E174" i="16"/>
  <c r="G174" i="16" s="1"/>
  <c r="E173" i="16"/>
  <c r="G173" i="16" s="1"/>
  <c r="E172" i="16"/>
  <c r="G172" i="16" s="1"/>
  <c r="E171" i="16"/>
  <c r="G171" i="16" s="1"/>
  <c r="E170" i="16"/>
  <c r="G170" i="16" s="1"/>
  <c r="E169" i="16"/>
  <c r="G169" i="16" s="1"/>
  <c r="E168" i="16"/>
  <c r="G168" i="16" s="1"/>
  <c r="E167" i="16"/>
  <c r="G167" i="16" s="1"/>
  <c r="E166" i="16"/>
  <c r="G166" i="16" s="1"/>
  <c r="E165" i="16"/>
  <c r="G165" i="16" s="1"/>
  <c r="E164" i="16"/>
  <c r="G164" i="16" s="1"/>
  <c r="E163" i="16"/>
  <c r="G163" i="16" s="1"/>
  <c r="E162" i="16"/>
  <c r="G162" i="16" s="1"/>
  <c r="E161" i="16"/>
  <c r="G161" i="16" s="1"/>
  <c r="E160" i="16"/>
  <c r="G160" i="16" s="1"/>
  <c r="E159" i="16"/>
  <c r="G159" i="16" s="1"/>
  <c r="E158" i="16"/>
  <c r="G158" i="16" s="1"/>
  <c r="E157" i="16"/>
  <c r="G157" i="16" s="1"/>
  <c r="E156" i="16"/>
  <c r="G156" i="16" s="1"/>
  <c r="E155" i="16"/>
  <c r="G155" i="16" s="1"/>
  <c r="E154" i="16"/>
  <c r="G154" i="16" s="1"/>
  <c r="E153" i="16"/>
  <c r="G153" i="16" s="1"/>
  <c r="E152" i="16"/>
  <c r="G152" i="16" s="1"/>
  <c r="E151" i="16"/>
  <c r="G151" i="16" s="1"/>
  <c r="E150" i="16"/>
  <c r="G150" i="16" s="1"/>
  <c r="E149" i="16"/>
  <c r="G149" i="16" s="1"/>
  <c r="E148" i="16"/>
  <c r="G148" i="16" s="1"/>
  <c r="E147" i="16"/>
  <c r="G147" i="16" s="1"/>
  <c r="E146" i="16"/>
  <c r="G146" i="16" s="1"/>
  <c r="E145" i="16"/>
  <c r="G145" i="16" s="1"/>
  <c r="E144" i="16"/>
  <c r="G144" i="16" s="1"/>
  <c r="E143" i="16"/>
  <c r="G143" i="16" s="1"/>
  <c r="E142" i="16"/>
  <c r="G142" i="16" s="1"/>
  <c r="E141" i="16"/>
  <c r="G141" i="16" s="1"/>
  <c r="E140" i="16"/>
  <c r="G140" i="16" s="1"/>
  <c r="E139" i="16"/>
  <c r="G139" i="16" s="1"/>
  <c r="E138" i="16"/>
  <c r="G138" i="16" s="1"/>
  <c r="E137" i="16"/>
  <c r="G137" i="16" s="1"/>
  <c r="E136" i="16"/>
  <c r="G136" i="16" s="1"/>
  <c r="E135" i="16"/>
  <c r="G135" i="16" s="1"/>
  <c r="E134" i="16"/>
  <c r="G134" i="16" s="1"/>
  <c r="E133" i="16"/>
  <c r="G133" i="16" s="1"/>
  <c r="E132" i="16"/>
  <c r="G132" i="16" s="1"/>
  <c r="E131" i="16"/>
  <c r="G131" i="16" s="1"/>
  <c r="E130" i="16"/>
  <c r="G130" i="16" s="1"/>
  <c r="E129" i="16"/>
  <c r="G129" i="16" s="1"/>
  <c r="E128" i="16"/>
  <c r="G128" i="16" s="1"/>
  <c r="E127" i="16"/>
  <c r="G127" i="16" s="1"/>
  <c r="E126" i="16"/>
  <c r="G126" i="16" s="1"/>
  <c r="E125" i="16"/>
  <c r="G125" i="16" s="1"/>
  <c r="E124" i="16"/>
  <c r="G124" i="16" s="1"/>
  <c r="E123" i="16"/>
  <c r="G123" i="16" s="1"/>
  <c r="E122" i="16"/>
  <c r="G122" i="16" s="1"/>
  <c r="E121" i="16"/>
  <c r="G121" i="16" s="1"/>
  <c r="E120" i="16"/>
  <c r="G120" i="16" s="1"/>
  <c r="E119" i="16"/>
  <c r="G119" i="16" s="1"/>
  <c r="E118" i="16"/>
  <c r="G118" i="16" s="1"/>
  <c r="E117" i="16"/>
  <c r="G117" i="16" s="1"/>
  <c r="E116" i="16"/>
  <c r="G116" i="16" s="1"/>
  <c r="E115" i="16"/>
  <c r="G115" i="16" s="1"/>
  <c r="E114" i="16"/>
  <c r="G114" i="16" s="1"/>
  <c r="E113" i="16"/>
  <c r="G113" i="16" s="1"/>
  <c r="E112" i="16"/>
  <c r="G112" i="16" s="1"/>
  <c r="E111" i="16"/>
  <c r="G111" i="16" s="1"/>
  <c r="E110" i="16"/>
  <c r="G110" i="16" s="1"/>
  <c r="E109" i="16"/>
  <c r="G109" i="16" s="1"/>
  <c r="E108" i="16"/>
  <c r="G108" i="16" s="1"/>
  <c r="E107" i="16"/>
  <c r="G107" i="16" s="1"/>
  <c r="E106" i="16"/>
  <c r="G106" i="16" s="1"/>
  <c r="E105" i="16"/>
  <c r="G105" i="16" s="1"/>
  <c r="E104" i="16"/>
  <c r="G104" i="16" s="1"/>
  <c r="E103" i="16"/>
  <c r="G103" i="16" s="1"/>
  <c r="E102" i="16"/>
  <c r="G102" i="16" s="1"/>
  <c r="E101" i="16"/>
  <c r="G101" i="16" s="1"/>
  <c r="E100" i="16"/>
  <c r="G100" i="16" s="1"/>
  <c r="E99" i="16"/>
  <c r="G99" i="16" s="1"/>
  <c r="E98" i="16"/>
  <c r="G98" i="16" s="1"/>
  <c r="E97" i="16"/>
  <c r="G97" i="16" s="1"/>
  <c r="E96" i="16"/>
  <c r="G96" i="16" s="1"/>
  <c r="E95" i="16"/>
  <c r="G95" i="16" s="1"/>
  <c r="E94" i="16"/>
  <c r="G94" i="16" s="1"/>
  <c r="E93" i="16"/>
  <c r="G93" i="16" s="1"/>
  <c r="E92" i="16"/>
  <c r="G92" i="16" s="1"/>
  <c r="E91" i="16"/>
  <c r="G91" i="16" s="1"/>
  <c r="E90" i="16"/>
  <c r="G90" i="16" s="1"/>
  <c r="E89" i="16"/>
  <c r="G89" i="16" s="1"/>
  <c r="E88" i="16"/>
  <c r="G88" i="16" s="1"/>
  <c r="E87" i="16"/>
  <c r="G87" i="16" s="1"/>
  <c r="E86" i="16"/>
  <c r="G86" i="16" s="1"/>
  <c r="E85" i="16"/>
  <c r="G85" i="16" s="1"/>
  <c r="E84" i="16"/>
  <c r="G84" i="16" s="1"/>
  <c r="E83" i="16"/>
  <c r="G83" i="16" s="1"/>
  <c r="E82" i="16"/>
  <c r="G82" i="16" s="1"/>
  <c r="E81" i="16"/>
  <c r="G81" i="16" s="1"/>
  <c r="E80" i="16"/>
  <c r="G80" i="16" s="1"/>
  <c r="E79" i="16"/>
  <c r="G79" i="16" s="1"/>
  <c r="E78" i="16"/>
  <c r="G78" i="16" s="1"/>
  <c r="E77" i="16"/>
  <c r="G77" i="16" s="1"/>
  <c r="E76" i="16"/>
  <c r="G76" i="16" s="1"/>
  <c r="E75" i="16"/>
  <c r="G75" i="16" s="1"/>
  <c r="E74" i="16"/>
  <c r="G74" i="16" s="1"/>
  <c r="E73" i="16"/>
  <c r="G73" i="16" s="1"/>
  <c r="E72" i="16"/>
  <c r="G72" i="16" s="1"/>
  <c r="E71" i="16"/>
  <c r="G71" i="16" s="1"/>
  <c r="E70" i="16"/>
  <c r="G70" i="16" s="1"/>
  <c r="E69" i="16"/>
  <c r="G69" i="16" s="1"/>
  <c r="E68" i="16"/>
  <c r="G68" i="16" s="1"/>
  <c r="E67" i="16"/>
  <c r="G67" i="16" s="1"/>
  <c r="E66" i="16"/>
  <c r="G66" i="16" s="1"/>
  <c r="E65" i="16"/>
  <c r="G65" i="16" s="1"/>
  <c r="E64" i="16"/>
  <c r="G64" i="16" s="1"/>
  <c r="E63" i="16"/>
  <c r="G63" i="16" s="1"/>
  <c r="E62" i="16"/>
  <c r="G62" i="16" s="1"/>
  <c r="E61" i="16"/>
  <c r="G61" i="16" s="1"/>
  <c r="E60" i="16"/>
  <c r="G60" i="16" s="1"/>
  <c r="E59" i="16"/>
  <c r="G59" i="16" s="1"/>
  <c r="E58" i="16"/>
  <c r="G58" i="16" s="1"/>
  <c r="E57" i="16"/>
  <c r="G57" i="16" s="1"/>
  <c r="E56" i="16"/>
  <c r="G56" i="16" s="1"/>
  <c r="E55" i="16"/>
  <c r="G55" i="16" s="1"/>
  <c r="E54" i="16"/>
  <c r="G54" i="16" s="1"/>
  <c r="E53" i="16"/>
  <c r="G53" i="16" s="1"/>
  <c r="E52" i="16"/>
  <c r="G52" i="16" s="1"/>
  <c r="E51" i="16"/>
  <c r="G51" i="16" s="1"/>
  <c r="E50" i="16"/>
  <c r="G50" i="16" s="1"/>
  <c r="E49" i="16"/>
  <c r="G49" i="16" s="1"/>
  <c r="E48" i="16"/>
  <c r="G48" i="16" s="1"/>
  <c r="E47" i="16"/>
  <c r="G47" i="16" s="1"/>
  <c r="E46" i="16"/>
  <c r="G46" i="16" s="1"/>
  <c r="E45" i="16"/>
  <c r="G45" i="16" s="1"/>
  <c r="E44" i="16"/>
  <c r="G44" i="16" s="1"/>
  <c r="E43" i="16"/>
  <c r="G43" i="16" s="1"/>
  <c r="E42" i="16"/>
  <c r="G42" i="16" s="1"/>
  <c r="E41" i="16"/>
  <c r="G41" i="16" s="1"/>
  <c r="E40" i="16"/>
  <c r="G40" i="16" s="1"/>
  <c r="E39" i="16"/>
  <c r="G39" i="16" s="1"/>
  <c r="E38" i="16"/>
  <c r="G38" i="16" s="1"/>
  <c r="E37" i="16"/>
  <c r="G37" i="16" s="1"/>
  <c r="E36" i="16"/>
  <c r="G36" i="16" s="1"/>
  <c r="E35" i="16"/>
  <c r="G35" i="16" s="1"/>
  <c r="E34" i="16"/>
  <c r="G34" i="16" s="1"/>
  <c r="E33" i="16"/>
  <c r="G33" i="16" s="1"/>
  <c r="E32" i="16"/>
  <c r="G32" i="16" s="1"/>
  <c r="E31" i="16"/>
  <c r="G31" i="16" s="1"/>
  <c r="E30" i="16"/>
  <c r="G30" i="16" s="1"/>
  <c r="E29" i="16"/>
  <c r="G29" i="16" s="1"/>
  <c r="E28" i="16"/>
  <c r="G28" i="16" s="1"/>
  <c r="E27" i="16"/>
  <c r="G27" i="16" s="1"/>
  <c r="E26" i="16"/>
  <c r="G26" i="16" s="1"/>
  <c r="E25" i="16"/>
  <c r="G25" i="16" s="1"/>
  <c r="E24" i="16"/>
  <c r="G24" i="16" s="1"/>
  <c r="E23" i="16"/>
  <c r="G23" i="16" s="1"/>
  <c r="E22" i="16"/>
  <c r="G22" i="16" s="1"/>
  <c r="E21" i="16"/>
  <c r="G21" i="16" s="1"/>
  <c r="E20" i="16"/>
  <c r="G20" i="16" s="1"/>
  <c r="E19" i="16"/>
  <c r="G19" i="16" s="1"/>
  <c r="E18" i="16"/>
  <c r="G18" i="16" s="1"/>
  <c r="E17" i="16"/>
  <c r="G17" i="16" s="1"/>
  <c r="E16" i="16"/>
  <c r="G16" i="16" s="1"/>
  <c r="E15" i="16"/>
  <c r="G15" i="16" s="1"/>
  <c r="E14" i="16"/>
  <c r="G14" i="16" s="1"/>
  <c r="C293" i="16"/>
  <c r="C292" i="16"/>
  <c r="C291" i="16"/>
  <c r="C290" i="16"/>
  <c r="C289" i="16"/>
  <c r="C288" i="16"/>
  <c r="C287" i="16"/>
  <c r="C286" i="16"/>
  <c r="C285" i="16"/>
  <c r="C284" i="16"/>
  <c r="C283" i="16"/>
  <c r="C282" i="16"/>
  <c r="C281" i="16"/>
  <c r="C280" i="16"/>
  <c r="C279" i="16"/>
  <c r="C278" i="16"/>
  <c r="C277" i="16"/>
  <c r="C276" i="16"/>
  <c r="C275" i="16"/>
  <c r="C274" i="16"/>
  <c r="C273" i="16"/>
  <c r="C272" i="16"/>
  <c r="C271" i="16"/>
  <c r="C270" i="16"/>
  <c r="C269" i="16"/>
  <c r="C268" i="16"/>
  <c r="C267" i="16"/>
  <c r="C266" i="16"/>
  <c r="C265" i="16"/>
  <c r="C264" i="16"/>
  <c r="C263" i="16"/>
  <c r="C262" i="16"/>
  <c r="C261" i="16"/>
  <c r="C260" i="16"/>
  <c r="C259" i="16"/>
  <c r="C258" i="16"/>
  <c r="C257" i="16"/>
  <c r="C256" i="16"/>
  <c r="C255" i="16"/>
  <c r="C254" i="16"/>
  <c r="C253" i="16"/>
  <c r="C252" i="16"/>
  <c r="C251" i="16"/>
  <c r="C250" i="16"/>
  <c r="C249" i="16"/>
  <c r="C248" i="16"/>
  <c r="C247" i="16"/>
  <c r="C246" i="16"/>
  <c r="C245" i="16"/>
  <c r="C244" i="16"/>
  <c r="C243" i="16"/>
  <c r="C242" i="16"/>
  <c r="C241" i="16"/>
  <c r="C240" i="16"/>
  <c r="C239" i="16"/>
  <c r="C238" i="16"/>
  <c r="C237" i="16"/>
  <c r="C236" i="16"/>
  <c r="C235" i="16"/>
  <c r="C234" i="16"/>
  <c r="C233" i="16"/>
  <c r="C232" i="16"/>
  <c r="C231" i="16"/>
  <c r="C230" i="16"/>
  <c r="C229" i="16"/>
  <c r="C228" i="16"/>
  <c r="C227" i="16"/>
  <c r="C226" i="16"/>
  <c r="C225" i="16"/>
  <c r="C224" i="16"/>
  <c r="C223" i="16"/>
  <c r="C222" i="16"/>
  <c r="C221" i="16"/>
  <c r="C220" i="16"/>
  <c r="C219" i="16"/>
  <c r="C218" i="16"/>
  <c r="C217" i="16"/>
  <c r="C216" i="16"/>
  <c r="C215" i="16"/>
  <c r="C214" i="16"/>
  <c r="C213" i="16"/>
  <c r="C212" i="16"/>
  <c r="C211" i="16"/>
  <c r="C210" i="16"/>
  <c r="C209" i="16"/>
  <c r="C208" i="16"/>
  <c r="C207" i="16"/>
  <c r="C206" i="16"/>
  <c r="C205" i="16"/>
  <c r="C204" i="16"/>
  <c r="C203" i="16"/>
  <c r="C202" i="16"/>
  <c r="C201" i="16"/>
  <c r="C200" i="16"/>
  <c r="C199" i="16"/>
  <c r="C198" i="16"/>
  <c r="C197" i="16"/>
  <c r="C196" i="16"/>
  <c r="C195" i="16"/>
  <c r="C194" i="16"/>
  <c r="C193" i="16"/>
  <c r="C192" i="16"/>
  <c r="C191" i="16"/>
  <c r="C190" i="16"/>
  <c r="C189" i="16"/>
  <c r="C188" i="16"/>
  <c r="C187" i="16"/>
  <c r="C186" i="16"/>
  <c r="C185" i="16"/>
  <c r="C184" i="16"/>
  <c r="C183" i="16"/>
  <c r="C182" i="16"/>
  <c r="C181" i="16"/>
  <c r="C180" i="16"/>
  <c r="C179" i="16"/>
  <c r="C178" i="16"/>
  <c r="C177" i="16"/>
  <c r="C176" i="16"/>
  <c r="C175" i="16"/>
  <c r="C174" i="16"/>
  <c r="C173" i="16"/>
  <c r="C172" i="16"/>
  <c r="C171" i="16"/>
  <c r="C170" i="16"/>
  <c r="C169" i="16"/>
  <c r="C168" i="16"/>
  <c r="C167" i="16"/>
  <c r="C166" i="16"/>
  <c r="C165" i="16"/>
  <c r="C164" i="16"/>
  <c r="C163" i="16"/>
  <c r="C162" i="16"/>
  <c r="C161" i="16"/>
  <c r="C160" i="16"/>
  <c r="C159" i="16"/>
  <c r="C158" i="16"/>
  <c r="C157" i="16"/>
  <c r="C156" i="16"/>
  <c r="C155" i="16"/>
  <c r="C154" i="16"/>
  <c r="C153" i="16"/>
  <c r="C152" i="16"/>
  <c r="C151" i="16"/>
  <c r="C150" i="16"/>
  <c r="C149" i="16"/>
  <c r="C148" i="16"/>
  <c r="C147" i="16"/>
  <c r="C146" i="16"/>
  <c r="C145" i="16"/>
  <c r="C144" i="16"/>
  <c r="C143" i="16"/>
  <c r="C142" i="16"/>
  <c r="C141" i="16"/>
  <c r="C140" i="16"/>
  <c r="C139" i="16"/>
  <c r="C138" i="16"/>
  <c r="C137" i="16"/>
  <c r="C136" i="16"/>
  <c r="C135" i="16"/>
  <c r="C134" i="16"/>
  <c r="C133" i="16"/>
  <c r="C132" i="16"/>
  <c r="C131" i="16"/>
  <c r="C130" i="16"/>
  <c r="C129" i="16"/>
  <c r="C128" i="16"/>
  <c r="C127" i="16"/>
  <c r="C126" i="16"/>
  <c r="C125" i="16"/>
  <c r="C124" i="16"/>
  <c r="C123" i="16"/>
  <c r="C122" i="16"/>
  <c r="C121" i="16"/>
  <c r="C120" i="16"/>
  <c r="C119" i="16"/>
  <c r="C118" i="16"/>
  <c r="C117" i="16"/>
  <c r="C116" i="16"/>
  <c r="C115" i="16"/>
  <c r="C114" i="16"/>
  <c r="C113" i="16"/>
  <c r="C112" i="16"/>
  <c r="C111" i="16"/>
  <c r="C110" i="16"/>
  <c r="C109" i="16"/>
  <c r="C108" i="16"/>
  <c r="C107" i="16"/>
  <c r="C106" i="16"/>
  <c r="C105" i="16"/>
  <c r="C104" i="16"/>
  <c r="C103" i="16"/>
  <c r="C102" i="16"/>
  <c r="C101" i="16"/>
  <c r="C100" i="16"/>
  <c r="C99" i="16"/>
  <c r="C98" i="16"/>
  <c r="C97" i="16"/>
  <c r="C96" i="16"/>
  <c r="C95" i="16"/>
  <c r="C94" i="16"/>
  <c r="C93" i="16"/>
  <c r="C92" i="16"/>
  <c r="C91" i="16"/>
  <c r="C90" i="16"/>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59" i="16"/>
  <c r="C58" i="16"/>
  <c r="C57" i="16"/>
  <c r="C56" i="16"/>
  <c r="C55" i="16"/>
  <c r="C54" i="16"/>
  <c r="C53" i="16"/>
  <c r="C52" i="16"/>
  <c r="C51" i="16"/>
  <c r="C50" i="16"/>
  <c r="C49" i="16"/>
  <c r="C48" i="16"/>
  <c r="C47" i="16"/>
  <c r="C46" i="16"/>
  <c r="C45"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506" i="16"/>
  <c r="E493" i="16"/>
  <c r="G493" i="16" s="1"/>
  <c r="L107" i="31"/>
  <c r="L91" i="31"/>
  <c r="L108" i="31"/>
  <c r="L93" i="31"/>
  <c r="L92" i="31"/>
  <c r="F296" i="16" l="1"/>
  <c r="F297" i="16"/>
  <c r="F298" i="16"/>
  <c r="F299" i="16"/>
  <c r="F300" i="16"/>
  <c r="F301" i="16"/>
  <c r="F302" i="16"/>
  <c r="F303" i="16"/>
  <c r="F304" i="16"/>
  <c r="F305" i="16"/>
  <c r="F306" i="16"/>
  <c r="F307" i="16"/>
  <c r="F308" i="16"/>
  <c r="F309" i="16"/>
  <c r="F310" i="16"/>
  <c r="Z5" i="16"/>
  <c r="Y5" i="16"/>
  <c r="Y6" i="16"/>
  <c r="Z6" i="16"/>
  <c r="Z8" i="16"/>
  <c r="Y8" i="16"/>
  <c r="Z10" i="16"/>
  <c r="Y10" i="16"/>
  <c r="Z11" i="16"/>
  <c r="Y11" i="16"/>
  <c r="Z12" i="16"/>
  <c r="Y12" i="16"/>
  <c r="Z13" i="16"/>
  <c r="Y13" i="16"/>
  <c r="Z15" i="16"/>
  <c r="Y15" i="16"/>
  <c r="Y16" i="16"/>
  <c r="Z16" i="16"/>
  <c r="Y17" i="16"/>
  <c r="Z17" i="16"/>
  <c r="Y18" i="16"/>
  <c r="Z18" i="16"/>
  <c r="Y19" i="16"/>
  <c r="Z19" i="16"/>
  <c r="Z20" i="16"/>
  <c r="Y20" i="16"/>
  <c r="Y21" i="16"/>
  <c r="Z21" i="16"/>
  <c r="Y22" i="16"/>
  <c r="Z22" i="16"/>
  <c r="Y23" i="16"/>
  <c r="Z23" i="16"/>
  <c r="Y25" i="16"/>
  <c r="Z25" i="16"/>
  <c r="Z26" i="16"/>
  <c r="Y26" i="16"/>
  <c r="Z27" i="16"/>
  <c r="Y27" i="16"/>
  <c r="Z29" i="16"/>
  <c r="Y29" i="16"/>
  <c r="Z30" i="16"/>
  <c r="Y30" i="16"/>
  <c r="Z31" i="16"/>
  <c r="Y31" i="16"/>
  <c r="Y32" i="16"/>
  <c r="Z32" i="16"/>
  <c r="Z33" i="16"/>
  <c r="Y33" i="16"/>
  <c r="Z34" i="16"/>
  <c r="Y34" i="16"/>
  <c r="Y35" i="16"/>
  <c r="Z35" i="16"/>
  <c r="Y36" i="16"/>
  <c r="Z36" i="16"/>
  <c r="Y37" i="16"/>
  <c r="Z37" i="16"/>
  <c r="Z38" i="16"/>
  <c r="Y38" i="16"/>
  <c r="Z39" i="16"/>
  <c r="Y39" i="16"/>
  <c r="Y40" i="16"/>
  <c r="Z40" i="16"/>
  <c r="Y41" i="16"/>
  <c r="Z41" i="16"/>
  <c r="Y42" i="16"/>
  <c r="Z42" i="16"/>
  <c r="Z43" i="16"/>
  <c r="Y43" i="16"/>
  <c r="Z44" i="16"/>
  <c r="Y44" i="16"/>
  <c r="Z45" i="16"/>
  <c r="Y45" i="16"/>
  <c r="Z46" i="16"/>
  <c r="Y46" i="16"/>
  <c r="Z47" i="16"/>
  <c r="Y47" i="16"/>
  <c r="Z48" i="16"/>
  <c r="Y48" i="16"/>
  <c r="Z50" i="16"/>
  <c r="Y50" i="16"/>
  <c r="Z51" i="16"/>
  <c r="Y51" i="16"/>
  <c r="Y52" i="16"/>
  <c r="Z52" i="16"/>
  <c r="Z53" i="16"/>
  <c r="Y53" i="16"/>
  <c r="Z54" i="16"/>
  <c r="Y54" i="16"/>
  <c r="Y55" i="16"/>
  <c r="Z55" i="16"/>
  <c r="Y56" i="16"/>
  <c r="Z56" i="16"/>
  <c r="Y57" i="16"/>
  <c r="Z57" i="16"/>
  <c r="Y58" i="16"/>
  <c r="Z58" i="16"/>
  <c r="Z59" i="16"/>
  <c r="Y59" i="16"/>
  <c r="Y60" i="16"/>
  <c r="Z60" i="16"/>
  <c r="Y61" i="16"/>
  <c r="Z61" i="16"/>
  <c r="Z62" i="16"/>
  <c r="Y62" i="16"/>
  <c r="Z63" i="16"/>
  <c r="Y63" i="16"/>
  <c r="Z64" i="16"/>
  <c r="Y64" i="16"/>
  <c r="Z65" i="16"/>
  <c r="Y65" i="16"/>
  <c r="Z66" i="16"/>
  <c r="Y66" i="16"/>
  <c r="Z67" i="16"/>
  <c r="Y67" i="16"/>
  <c r="Y68" i="16"/>
  <c r="Z68" i="16"/>
  <c r="Z69" i="16"/>
  <c r="Y69" i="16"/>
  <c r="Y70" i="16"/>
  <c r="Z70" i="16"/>
  <c r="Y75" i="16"/>
  <c r="Z75" i="16"/>
  <c r="Y76" i="16"/>
  <c r="Z76" i="16"/>
  <c r="Y77" i="16"/>
  <c r="Z77" i="16"/>
  <c r="Y78" i="16"/>
  <c r="Z78" i="16"/>
  <c r="Y79" i="16"/>
  <c r="Z79" i="16"/>
  <c r="Y80" i="16"/>
  <c r="Z80" i="16"/>
  <c r="Y81" i="16"/>
  <c r="Z81" i="16"/>
  <c r="Y82" i="16"/>
  <c r="Z82" i="16"/>
  <c r="Y83" i="16"/>
  <c r="Z83" i="16"/>
  <c r="Y84" i="16"/>
  <c r="Z84" i="16"/>
  <c r="Z85" i="16"/>
  <c r="Y85" i="16"/>
  <c r="Y86" i="16"/>
  <c r="Z86" i="16"/>
  <c r="Z87" i="16"/>
  <c r="Y87" i="16"/>
  <c r="Z88" i="16"/>
  <c r="Y88" i="16"/>
  <c r="Y89" i="16"/>
  <c r="Z89" i="16"/>
  <c r="Z90" i="16"/>
  <c r="Y90" i="16"/>
  <c r="Y93" i="16"/>
  <c r="Z93" i="16"/>
  <c r="Y94" i="16"/>
  <c r="Z94" i="16"/>
  <c r="Z100" i="16"/>
  <c r="Y100" i="16"/>
  <c r="Z101" i="16"/>
  <c r="Y101" i="16"/>
  <c r="Z102" i="16"/>
  <c r="Y102" i="16"/>
  <c r="Z103" i="16"/>
  <c r="Y103" i="16"/>
  <c r="Z104" i="16"/>
  <c r="Y104" i="16"/>
  <c r="Z105" i="16"/>
  <c r="Y105" i="16"/>
  <c r="Z106" i="16"/>
  <c r="Y106" i="16"/>
  <c r="Z107" i="16"/>
  <c r="Y107" i="16"/>
  <c r="Y108" i="16"/>
  <c r="Z108" i="16"/>
  <c r="Y109" i="16"/>
  <c r="Z109" i="16"/>
  <c r="Z110" i="16"/>
  <c r="Y110" i="16"/>
  <c r="Y111" i="16"/>
  <c r="Z111" i="16"/>
  <c r="Z112" i="16"/>
  <c r="Y112" i="16"/>
  <c r="Y113" i="16"/>
  <c r="Z113" i="16"/>
  <c r="Z114" i="16"/>
  <c r="Y114" i="16"/>
  <c r="Z115" i="16"/>
  <c r="Y115" i="16"/>
  <c r="Z116" i="16"/>
  <c r="Y116" i="16"/>
  <c r="Z118" i="16"/>
  <c r="Y118" i="16"/>
  <c r="Z119" i="16"/>
  <c r="Y119" i="16"/>
  <c r="Z120" i="16"/>
  <c r="Y120" i="16"/>
  <c r="Z121" i="16"/>
  <c r="Y121" i="16"/>
  <c r="Z122" i="16"/>
  <c r="Y122" i="16"/>
  <c r="Z123" i="16"/>
  <c r="Y123" i="16"/>
  <c r="Z124" i="16"/>
  <c r="Y124" i="16"/>
  <c r="Y126" i="16"/>
  <c r="Z126" i="16"/>
  <c r="Z127" i="16"/>
  <c r="Y127" i="16"/>
  <c r="Z128" i="16"/>
  <c r="Y128" i="16"/>
  <c r="Z129" i="16"/>
  <c r="Y129" i="16"/>
  <c r="Y130" i="16"/>
  <c r="Z130" i="16"/>
  <c r="Z131" i="16"/>
  <c r="Y131" i="16"/>
  <c r="Y132" i="16"/>
  <c r="Z132" i="16"/>
  <c r="Y133" i="16"/>
  <c r="Z133" i="16"/>
  <c r="Y134" i="16"/>
  <c r="Z134" i="16"/>
  <c r="Z135" i="16"/>
  <c r="Y135" i="16"/>
  <c r="Z136" i="16"/>
  <c r="Y136" i="16"/>
  <c r="Z137" i="16"/>
  <c r="Y137" i="16"/>
  <c r="Z138" i="16"/>
  <c r="Y138" i="16"/>
  <c r="Z139" i="16"/>
  <c r="Y139" i="16"/>
  <c r="Z140" i="16"/>
  <c r="Y140" i="16"/>
  <c r="Y141" i="16"/>
  <c r="Z141" i="16"/>
  <c r="Y142" i="16"/>
  <c r="Z142" i="16"/>
  <c r="Y143" i="16"/>
  <c r="Z143" i="16"/>
  <c r="Y144" i="16"/>
  <c r="Z144" i="16"/>
  <c r="Z145" i="16"/>
  <c r="Y145" i="16"/>
  <c r="Z146" i="16"/>
  <c r="Y146" i="16"/>
  <c r="Z147" i="16"/>
  <c r="Y147" i="16"/>
  <c r="Z148" i="16"/>
  <c r="Y148" i="16"/>
  <c r="Z149" i="16"/>
  <c r="Y149" i="16"/>
  <c r="Y150" i="16"/>
  <c r="Z150" i="16"/>
  <c r="Z151" i="16"/>
  <c r="Y151" i="16"/>
  <c r="Y152" i="16"/>
  <c r="Z152" i="16"/>
  <c r="Z153" i="16"/>
  <c r="Y153" i="16"/>
  <c r="Z154" i="16"/>
  <c r="Y154" i="16"/>
  <c r="Z155" i="16"/>
  <c r="Y155" i="16"/>
  <c r="Z156" i="16"/>
  <c r="Y156" i="16"/>
  <c r="Z157" i="16"/>
  <c r="Y157" i="16"/>
  <c r="Z158" i="16"/>
  <c r="Y158" i="16"/>
  <c r="Z159" i="16"/>
  <c r="Y159" i="16"/>
  <c r="Y160" i="16"/>
  <c r="Z160" i="16"/>
  <c r="Y161" i="16"/>
  <c r="Z161" i="16"/>
  <c r="Y162" i="16"/>
  <c r="Z162" i="16"/>
  <c r="Z163" i="16"/>
  <c r="Y163" i="16"/>
  <c r="Z164" i="16"/>
  <c r="Y164" i="16"/>
  <c r="Y165" i="16"/>
  <c r="Z165" i="16"/>
  <c r="Z166" i="16"/>
  <c r="Y166" i="16"/>
  <c r="Z167" i="16"/>
  <c r="Y167" i="16"/>
  <c r="Z169" i="16"/>
  <c r="Y169" i="16"/>
  <c r="Z170" i="16"/>
  <c r="Y170" i="16"/>
  <c r="Z171" i="16"/>
  <c r="Y171" i="16"/>
  <c r="Z172" i="16"/>
  <c r="Y172" i="16"/>
  <c r="Y173" i="16"/>
  <c r="Z173" i="16"/>
  <c r="Z174" i="16"/>
  <c r="Y174" i="16"/>
  <c r="Z175" i="16"/>
  <c r="Y175" i="16"/>
  <c r="Y176" i="16"/>
  <c r="Z176" i="16"/>
  <c r="Z177" i="16"/>
  <c r="Y177" i="16"/>
  <c r="Z178" i="16"/>
  <c r="Y178" i="16"/>
  <c r="Y179" i="16"/>
  <c r="Z179" i="16"/>
  <c r="Z180" i="16"/>
  <c r="Y180" i="16"/>
  <c r="Z181" i="16"/>
  <c r="Y181" i="16"/>
  <c r="Y182" i="16"/>
  <c r="Z182" i="16"/>
  <c r="Z183" i="16"/>
  <c r="Y183" i="16"/>
  <c r="Z184" i="16"/>
  <c r="Y184" i="16"/>
  <c r="Y185" i="16"/>
  <c r="Z185" i="16"/>
  <c r="Z186" i="16"/>
  <c r="Y186" i="16"/>
  <c r="Z187" i="16"/>
  <c r="Y187" i="16"/>
  <c r="Z188" i="16"/>
  <c r="Y188" i="16"/>
  <c r="Z189" i="16"/>
  <c r="Y189" i="16"/>
  <c r="Z190" i="16"/>
  <c r="Y190" i="16"/>
  <c r="Y191" i="16"/>
  <c r="Z191" i="16"/>
  <c r="Z192" i="16"/>
  <c r="Y192" i="16"/>
  <c r="Z193" i="16"/>
  <c r="Y193" i="16"/>
  <c r="Z194" i="16"/>
  <c r="Y194" i="16"/>
  <c r="Z195" i="16"/>
  <c r="Y195" i="16"/>
  <c r="Z196" i="16"/>
  <c r="Y196" i="16"/>
  <c r="Z197" i="16"/>
  <c r="Y197" i="16"/>
  <c r="Z198" i="16"/>
  <c r="Y198" i="16"/>
  <c r="Z199" i="16"/>
  <c r="Y199" i="16"/>
  <c r="Z200" i="16"/>
  <c r="Y200" i="16"/>
  <c r="Z201" i="16"/>
  <c r="Y201" i="16"/>
  <c r="Z202" i="16"/>
  <c r="Y202" i="16"/>
  <c r="Y203" i="16"/>
  <c r="Z203" i="16"/>
  <c r="Z204" i="16"/>
  <c r="Y204" i="16"/>
  <c r="Z205" i="16"/>
  <c r="Y205" i="16"/>
  <c r="Z206" i="16"/>
  <c r="Y206" i="16"/>
  <c r="Z207" i="16"/>
  <c r="Y207" i="16"/>
  <c r="Z209" i="16"/>
  <c r="Y209" i="16"/>
  <c r="Z210" i="16"/>
  <c r="Y210" i="16"/>
  <c r="Z211" i="16"/>
  <c r="Y211" i="16"/>
  <c r="Y212" i="16"/>
  <c r="Z212" i="16"/>
  <c r="Y214" i="16"/>
  <c r="Z214" i="16"/>
  <c r="Y215" i="16"/>
  <c r="Z215" i="16"/>
  <c r="Y216" i="16"/>
  <c r="Z216" i="16"/>
  <c r="Y217" i="16"/>
  <c r="Z217" i="16"/>
  <c r="Y218" i="16"/>
  <c r="Z218" i="16"/>
  <c r="Z219" i="16"/>
  <c r="Y219" i="16"/>
  <c r="Y220" i="16"/>
  <c r="Z220" i="16"/>
  <c r="Y221" i="16"/>
  <c r="Z221" i="16"/>
  <c r="Y222" i="16"/>
  <c r="Z222" i="16"/>
  <c r="Y223" i="16"/>
  <c r="Z223" i="16"/>
  <c r="Z224" i="16"/>
  <c r="Y224" i="16"/>
  <c r="Y225" i="16"/>
  <c r="Z225" i="16"/>
  <c r="Z226" i="16"/>
  <c r="Y226" i="16"/>
  <c r="Z227" i="16"/>
  <c r="Y227" i="16"/>
  <c r="Z228" i="16"/>
  <c r="Y228" i="16"/>
  <c r="Z229" i="16"/>
  <c r="Y229" i="16"/>
  <c r="Z230" i="16"/>
  <c r="Y230" i="16"/>
  <c r="Z231" i="16"/>
  <c r="Y231" i="16"/>
  <c r="Z232" i="16"/>
  <c r="Y232" i="16"/>
  <c r="Z233" i="16"/>
  <c r="Y233" i="16"/>
  <c r="Z234" i="16"/>
  <c r="Y234" i="16"/>
  <c r="Z235" i="16"/>
  <c r="Y235" i="16"/>
  <c r="Z236" i="16"/>
  <c r="Y236" i="16"/>
  <c r="Z237" i="16"/>
  <c r="Y237" i="16"/>
  <c r="Z238" i="16"/>
  <c r="Y238" i="16"/>
  <c r="Z239" i="16"/>
  <c r="Y239" i="16"/>
  <c r="Y240" i="16"/>
  <c r="Z240" i="16"/>
  <c r="Z241" i="16"/>
  <c r="Y241" i="16"/>
  <c r="Z242" i="16"/>
  <c r="Y242" i="16"/>
  <c r="Z243" i="16"/>
  <c r="Y243" i="16"/>
  <c r="Z244" i="16"/>
  <c r="Y244" i="16"/>
  <c r="Y245" i="16"/>
  <c r="Z245" i="16"/>
  <c r="Z246" i="16"/>
  <c r="Y246" i="16"/>
  <c r="Y247" i="16"/>
  <c r="Z247" i="16"/>
  <c r="Z248" i="16"/>
  <c r="Y248" i="16"/>
  <c r="Y249" i="16"/>
  <c r="Z249" i="16"/>
  <c r="Z250" i="16"/>
  <c r="Y250" i="16"/>
  <c r="Z252" i="16"/>
  <c r="Y252" i="16"/>
  <c r="Z253" i="16"/>
  <c r="Y253" i="16"/>
  <c r="Z254" i="16"/>
  <c r="Y254" i="16"/>
  <c r="Y255" i="16"/>
  <c r="Z255" i="16"/>
  <c r="Z256" i="16"/>
  <c r="Y256" i="16"/>
  <c r="Y257" i="16"/>
  <c r="Z257" i="16"/>
  <c r="Z258" i="16"/>
  <c r="Y258" i="16"/>
  <c r="Z260" i="16"/>
  <c r="Y260" i="16"/>
  <c r="Y261" i="16"/>
  <c r="Z261" i="16"/>
  <c r="Y262" i="16"/>
  <c r="Z262" i="16"/>
  <c r="Z264" i="16"/>
  <c r="Y264" i="16"/>
  <c r="Z265" i="16"/>
  <c r="Y265" i="16"/>
  <c r="Y266" i="16"/>
  <c r="Z266" i="16"/>
  <c r="Z267" i="16"/>
  <c r="Y267" i="16"/>
  <c r="Z268" i="16"/>
  <c r="Y268" i="16"/>
  <c r="Z269" i="16"/>
  <c r="Y269" i="16"/>
  <c r="Z270" i="16"/>
  <c r="Y270" i="16"/>
  <c r="Z271" i="16"/>
  <c r="Y271" i="16"/>
  <c r="Z272" i="16"/>
  <c r="Y272" i="16"/>
  <c r="Z273" i="16"/>
  <c r="Y273" i="16"/>
  <c r="Z274" i="16"/>
  <c r="Y274" i="16"/>
  <c r="Z275" i="16"/>
  <c r="Y275" i="16"/>
  <c r="Z276" i="16"/>
  <c r="Y276" i="16"/>
  <c r="Z277" i="16"/>
  <c r="Y277" i="16"/>
  <c r="Z278" i="16"/>
  <c r="Y278" i="16"/>
  <c r="Z279" i="16"/>
  <c r="Y279" i="16"/>
  <c r="Z280" i="16"/>
  <c r="Y280" i="16"/>
  <c r="Z281" i="16"/>
  <c r="Y281" i="16"/>
  <c r="Y282" i="16"/>
  <c r="Z282" i="16"/>
  <c r="Z283" i="16"/>
  <c r="Y283" i="16"/>
  <c r="Y284" i="16"/>
  <c r="Z284" i="16"/>
  <c r="Z285" i="16"/>
  <c r="Y285" i="16"/>
  <c r="Z286" i="16"/>
  <c r="Y286" i="16"/>
  <c r="Y287" i="16"/>
  <c r="Z287" i="16"/>
  <c r="Y288" i="16"/>
  <c r="Z288" i="16"/>
  <c r="Y289" i="16"/>
  <c r="Z289" i="16"/>
  <c r="Y290" i="16"/>
  <c r="Z290" i="16"/>
  <c r="Y291" i="16"/>
  <c r="Z291" i="16"/>
  <c r="Y292" i="16"/>
  <c r="Z292" i="16"/>
  <c r="Z293" i="16"/>
  <c r="Y293" i="16"/>
  <c r="Z311" i="16"/>
  <c r="Y311" i="16"/>
  <c r="Y312" i="16"/>
  <c r="Z312" i="16"/>
  <c r="Z313" i="16"/>
  <c r="Y313" i="16"/>
  <c r="Z314" i="16"/>
  <c r="Y314" i="16"/>
  <c r="Y317" i="16"/>
  <c r="Z317" i="16"/>
  <c r="Y318" i="16"/>
  <c r="Z318" i="16"/>
  <c r="Y320" i="16"/>
  <c r="Z320" i="16"/>
  <c r="Z322" i="16"/>
  <c r="Y322" i="16"/>
  <c r="Y323" i="16"/>
  <c r="Z323" i="16"/>
  <c r="Y324" i="16"/>
  <c r="Z324" i="16"/>
  <c r="Y325" i="16"/>
  <c r="Z325" i="16"/>
  <c r="Y326" i="16"/>
  <c r="Z326" i="16"/>
  <c r="Z327" i="16"/>
  <c r="Y327" i="16"/>
  <c r="Y328" i="16"/>
  <c r="Z328" i="16"/>
  <c r="Z329" i="16"/>
  <c r="Y329" i="16"/>
  <c r="Z330" i="16"/>
  <c r="Y330" i="16"/>
  <c r="Z332" i="16"/>
  <c r="Y332" i="16"/>
  <c r="Z333" i="16"/>
  <c r="Y333" i="16"/>
  <c r="Z334" i="16"/>
  <c r="Y334" i="16"/>
  <c r="Z335" i="16"/>
  <c r="Y335" i="16"/>
  <c r="Z336" i="16"/>
  <c r="Y336" i="16"/>
  <c r="Z337" i="16"/>
  <c r="Y337" i="16"/>
  <c r="Z338" i="16"/>
  <c r="Y338" i="16"/>
  <c r="Y339" i="16"/>
  <c r="Z339" i="16"/>
  <c r="Z340" i="16"/>
  <c r="Y340" i="16"/>
  <c r="Z341" i="16"/>
  <c r="Y341" i="16"/>
  <c r="Z344" i="16"/>
  <c r="Y344" i="16"/>
  <c r="Z345" i="16"/>
  <c r="Y345" i="16"/>
  <c r="Z346" i="16"/>
  <c r="Y346" i="16"/>
  <c r="Z347" i="16"/>
  <c r="Y347" i="16"/>
  <c r="Z348" i="16"/>
  <c r="Y348" i="16"/>
  <c r="Z349" i="16"/>
  <c r="Y349" i="16"/>
  <c r="Z350" i="16"/>
  <c r="Y350" i="16"/>
  <c r="Z351" i="16"/>
  <c r="Y351" i="16"/>
  <c r="Z352" i="16"/>
  <c r="Y352" i="16"/>
  <c r="Z353" i="16"/>
  <c r="Y353" i="16"/>
  <c r="Z356" i="16"/>
  <c r="Y356" i="16"/>
  <c r="Y357" i="16"/>
  <c r="Z357" i="16"/>
  <c r="Z362" i="16"/>
  <c r="Y362" i="16"/>
  <c r="Y363" i="16"/>
  <c r="Z363" i="16"/>
  <c r="Y364" i="16"/>
  <c r="Z364" i="16"/>
  <c r="Y365" i="16"/>
  <c r="Z365" i="16"/>
  <c r="Y368" i="16"/>
  <c r="Z368" i="16"/>
  <c r="Y369" i="16"/>
  <c r="Z369" i="16"/>
  <c r="Y374" i="16"/>
  <c r="Z374" i="16"/>
  <c r="Y375" i="16"/>
  <c r="Z375" i="16"/>
  <c r="Z376" i="16"/>
  <c r="Y376" i="16"/>
  <c r="Y377" i="16"/>
  <c r="Z377" i="16"/>
  <c r="Y378" i="16"/>
  <c r="Z378" i="16"/>
  <c r="Z379" i="16"/>
  <c r="Y379" i="16"/>
  <c r="Z380" i="16"/>
  <c r="Y380" i="16"/>
  <c r="Z381" i="16"/>
  <c r="Y381" i="16"/>
  <c r="Z382" i="16"/>
  <c r="Y382" i="16"/>
  <c r="Z383" i="16"/>
  <c r="Y383" i="16"/>
  <c r="Z384" i="16"/>
  <c r="Y384" i="16"/>
  <c r="Z385" i="16"/>
  <c r="Y385" i="16"/>
  <c r="Z388" i="16"/>
  <c r="Y388" i="16"/>
  <c r="Z389" i="16"/>
  <c r="Y389" i="16"/>
  <c r="Z391" i="16"/>
  <c r="Y391" i="16"/>
  <c r="Y392" i="16"/>
  <c r="Z392" i="16"/>
  <c r="Y395" i="16"/>
  <c r="Z395" i="16"/>
  <c r="Y396" i="16"/>
  <c r="Z396" i="16"/>
  <c r="Y397" i="16"/>
  <c r="Z397" i="16"/>
  <c r="Y398" i="16"/>
  <c r="Z398" i="16"/>
  <c r="Y401" i="16"/>
  <c r="Z401" i="16"/>
  <c r="Z402" i="16"/>
  <c r="Y402" i="16"/>
  <c r="Z403" i="16"/>
  <c r="Y403" i="16"/>
  <c r="Z404" i="16"/>
  <c r="Y404" i="16"/>
  <c r="Y405" i="16"/>
  <c r="Z405" i="16"/>
  <c r="Z406" i="16"/>
  <c r="Y406" i="16"/>
  <c r="Y407" i="16"/>
  <c r="Z407" i="16"/>
  <c r="Y408" i="16"/>
  <c r="Z408" i="16"/>
  <c r="Z409" i="16"/>
  <c r="Y409" i="16"/>
  <c r="Z410" i="16"/>
  <c r="Y410" i="16"/>
  <c r="Z413" i="16"/>
  <c r="Y413" i="16"/>
  <c r="Z414" i="16"/>
  <c r="Y414" i="16"/>
  <c r="Z415" i="16"/>
  <c r="Y415" i="16"/>
  <c r="Z416" i="16"/>
  <c r="Y416" i="16"/>
  <c r="Z417" i="16"/>
  <c r="Y417" i="16"/>
  <c r="Z418" i="16"/>
  <c r="Y418" i="16"/>
  <c r="Z419" i="16"/>
  <c r="Y419" i="16"/>
  <c r="Z420" i="16"/>
  <c r="Y420" i="16"/>
  <c r="Y422" i="16"/>
  <c r="Z422" i="16"/>
  <c r="Y423" i="16"/>
  <c r="Z423" i="16"/>
  <c r="Z424" i="16"/>
  <c r="Y424" i="16"/>
  <c r="Z425" i="16"/>
  <c r="Y425" i="16"/>
  <c r="Y426" i="16"/>
  <c r="Z426" i="16"/>
  <c r="Y428" i="16"/>
  <c r="Z428" i="16"/>
  <c r="Y429" i="16"/>
  <c r="Z429" i="16"/>
  <c r="Y430" i="16"/>
  <c r="Z430" i="16"/>
  <c r="Y431" i="16"/>
  <c r="Z431" i="16"/>
  <c r="Y432" i="16"/>
  <c r="Z432" i="16"/>
  <c r="Y435" i="16"/>
  <c r="Z435" i="16"/>
  <c r="Z436" i="16"/>
  <c r="Y436" i="16"/>
  <c r="Z437" i="16"/>
  <c r="Y437" i="16"/>
  <c r="Z438" i="16"/>
  <c r="Y438" i="16"/>
  <c r="Y439" i="16"/>
  <c r="Z439" i="16"/>
  <c r="Z440" i="16"/>
  <c r="Y440" i="16"/>
  <c r="Z441" i="16"/>
  <c r="Y441" i="16"/>
  <c r="Y442" i="16"/>
  <c r="Z442" i="16"/>
  <c r="Y443" i="16"/>
  <c r="Z443" i="16"/>
  <c r="Y444" i="16"/>
  <c r="Z444" i="16"/>
  <c r="Y445" i="16"/>
  <c r="Z445" i="16"/>
  <c r="Z446" i="16"/>
  <c r="Y446" i="16"/>
  <c r="Y449" i="16"/>
  <c r="Z449" i="16"/>
  <c r="Y450" i="16"/>
  <c r="Z450" i="16"/>
  <c r="Y451" i="16"/>
  <c r="Z451" i="16"/>
  <c r="Y452" i="16"/>
  <c r="Z452" i="16"/>
  <c r="Z455" i="16"/>
  <c r="Y455" i="16"/>
  <c r="Y456" i="16"/>
  <c r="Z456" i="16"/>
  <c r="Y457" i="16"/>
  <c r="Z457" i="16"/>
  <c r="Y459" i="16"/>
  <c r="Z459" i="16"/>
  <c r="Y460" i="16"/>
  <c r="Z460" i="16"/>
  <c r="Y461" i="16"/>
  <c r="Z461" i="16"/>
  <c r="Z462" i="16"/>
  <c r="Y462" i="16"/>
  <c r="Y463" i="16"/>
  <c r="Z463" i="16"/>
  <c r="Y464" i="16"/>
  <c r="Z464" i="16"/>
  <c r="Y465" i="16"/>
  <c r="Z465" i="16"/>
  <c r="Y466" i="16"/>
  <c r="Z466" i="16"/>
  <c r="Z467" i="16"/>
  <c r="Y467" i="16"/>
  <c r="Y468" i="16"/>
  <c r="Z468" i="16"/>
  <c r="Z469" i="16"/>
  <c r="Y469" i="16"/>
  <c r="Z470" i="16"/>
  <c r="Y470" i="16"/>
  <c r="Y471" i="16"/>
  <c r="Z471" i="16"/>
  <c r="Z472" i="16"/>
  <c r="Y472" i="16"/>
  <c r="Y473" i="16"/>
  <c r="Z473" i="16"/>
  <c r="Y474" i="16"/>
  <c r="Z474" i="16"/>
  <c r="Y475" i="16"/>
  <c r="Z475" i="16"/>
  <c r="Y476" i="16"/>
  <c r="Z476" i="16"/>
  <c r="Y477" i="16"/>
  <c r="Z477" i="16"/>
  <c r="Y478" i="16"/>
  <c r="Z478" i="16"/>
  <c r="Y479" i="16"/>
  <c r="Z479" i="16"/>
  <c r="Y480" i="16"/>
  <c r="Z480" i="16"/>
  <c r="Y481" i="16"/>
  <c r="Z481" i="16"/>
  <c r="Y482" i="16"/>
  <c r="Z482" i="16"/>
  <c r="Y483" i="16"/>
  <c r="Z483" i="16"/>
  <c r="Y484" i="16"/>
  <c r="Z484" i="16"/>
  <c r="Z485" i="16"/>
  <c r="Y485" i="16"/>
  <c r="Z486" i="16"/>
  <c r="Y486" i="16"/>
  <c r="Z487" i="16"/>
  <c r="Y487" i="16"/>
  <c r="Y488" i="16"/>
  <c r="Z488" i="16"/>
  <c r="Y490" i="16"/>
  <c r="Z490" i="16"/>
  <c r="Z491" i="16"/>
  <c r="Y491" i="16"/>
  <c r="Z492" i="16"/>
  <c r="Y492" i="16"/>
  <c r="Z493" i="16"/>
  <c r="Y493" i="16"/>
  <c r="Z494" i="16"/>
  <c r="Y494" i="16"/>
  <c r="Z495" i="16"/>
  <c r="Y495" i="16"/>
  <c r="Z496" i="16"/>
  <c r="Y496" i="16"/>
  <c r="Y499" i="16"/>
  <c r="Z499" i="16"/>
  <c r="Z500" i="16"/>
  <c r="Y500" i="16"/>
  <c r="Z501" i="16"/>
  <c r="Y501" i="16"/>
  <c r="Z503" i="16"/>
  <c r="Y503" i="16"/>
  <c r="Y505" i="16"/>
  <c r="Z505" i="16"/>
  <c r="Z506" i="16"/>
  <c r="Y506" i="16"/>
  <c r="Z508" i="16"/>
  <c r="Y508" i="16"/>
  <c r="Z510" i="16"/>
  <c r="Y510" i="16"/>
  <c r="Y511" i="16"/>
  <c r="Z511" i="16"/>
  <c r="Y512" i="16"/>
  <c r="Z512" i="16"/>
  <c r="Z513" i="16"/>
  <c r="Y513" i="16"/>
  <c r="Y515" i="16"/>
  <c r="Z515" i="16"/>
  <c r="Y516" i="16"/>
  <c r="Z516" i="16"/>
  <c r="Y517" i="16"/>
  <c r="Z517" i="16"/>
  <c r="Y518" i="16"/>
  <c r="Z518" i="16"/>
  <c r="Y519" i="16"/>
  <c r="Z519" i="16"/>
  <c r="Z520" i="16"/>
  <c r="Y520" i="16"/>
  <c r="Z522" i="16"/>
  <c r="Y522" i="16"/>
  <c r="Y523" i="16"/>
  <c r="Z523" i="16"/>
  <c r="Z525" i="16"/>
  <c r="Y525" i="16"/>
  <c r="Y529" i="16"/>
  <c r="Z529" i="16"/>
  <c r="Y530" i="16"/>
  <c r="Z530" i="16"/>
  <c r="Z532" i="16"/>
  <c r="Y532" i="16"/>
  <c r="Z533" i="16"/>
  <c r="Y533" i="16"/>
  <c r="Z534" i="16"/>
  <c r="Y534" i="16"/>
  <c r="Z536" i="16"/>
  <c r="Y536" i="16"/>
  <c r="Z537" i="16"/>
  <c r="Y537" i="16"/>
  <c r="Z538" i="16"/>
  <c r="Y538" i="16"/>
  <c r="Z539" i="16"/>
  <c r="Y539" i="16"/>
  <c r="Y542" i="16"/>
  <c r="Z542" i="16"/>
  <c r="Y543" i="16"/>
  <c r="Z543" i="16"/>
  <c r="Y544" i="16"/>
  <c r="Z544" i="16"/>
  <c r="Y545" i="16"/>
  <c r="Z545" i="16"/>
  <c r="Z548" i="16"/>
  <c r="Y548" i="16"/>
  <c r="Z549" i="16"/>
  <c r="Y549" i="16"/>
  <c r="Z550" i="16"/>
  <c r="Y550" i="16"/>
  <c r="Z551" i="16"/>
  <c r="Y551" i="16"/>
  <c r="Z552" i="16"/>
  <c r="Y552" i="16"/>
  <c r="Y553" i="16"/>
  <c r="Z553" i="16"/>
  <c r="Y555" i="16"/>
  <c r="Z555" i="16"/>
  <c r="Z557" i="16"/>
  <c r="Y557" i="16"/>
  <c r="Z559" i="16"/>
  <c r="Y559" i="16"/>
  <c r="Z560" i="16"/>
  <c r="Y560" i="16"/>
  <c r="Z561" i="16"/>
  <c r="Y561" i="16"/>
  <c r="Z562" i="16"/>
  <c r="Y562" i="16"/>
  <c r="Z563" i="16"/>
  <c r="Y563" i="16"/>
  <c r="Z564" i="16"/>
  <c r="Y564" i="16"/>
  <c r="Z565" i="16"/>
  <c r="Y565" i="16"/>
  <c r="Z566" i="16"/>
  <c r="Y566" i="16"/>
  <c r="Z567" i="16"/>
  <c r="Y567" i="16"/>
  <c r="Z568" i="16"/>
  <c r="Y568" i="16"/>
  <c r="Z569" i="16"/>
  <c r="Y569" i="16"/>
  <c r="Z570" i="16"/>
  <c r="Y570" i="16"/>
  <c r="Z572" i="16"/>
  <c r="Y572" i="16"/>
  <c r="Z573" i="16"/>
  <c r="Y573" i="16"/>
  <c r="Z574" i="16"/>
  <c r="Y574" i="16"/>
  <c r="Z576" i="16"/>
  <c r="Y576" i="16"/>
  <c r="Y577" i="16"/>
  <c r="Z577" i="16"/>
  <c r="Y578" i="16"/>
  <c r="Z578" i="16"/>
  <c r="Z579" i="16"/>
  <c r="Y579" i="16"/>
  <c r="Z4" i="16"/>
  <c r="Y4" i="16"/>
  <c r="L70" i="31"/>
  <c r="C573" i="16"/>
  <c r="L66" i="31"/>
  <c r="J568" i="16" l="1"/>
  <c r="J567" i="16"/>
  <c r="J566" i="16"/>
  <c r="J565" i="16"/>
  <c r="E568" i="16"/>
  <c r="G568" i="16" s="1"/>
  <c r="D568" i="16"/>
  <c r="C568" i="16"/>
  <c r="B568" i="16"/>
  <c r="A568" i="16"/>
  <c r="E567" i="16"/>
  <c r="G567" i="16" s="1"/>
  <c r="D567" i="16"/>
  <c r="C567" i="16"/>
  <c r="B567" i="16"/>
  <c r="A567" i="16"/>
  <c r="E566" i="16"/>
  <c r="G566" i="16" s="1"/>
  <c r="D566" i="16"/>
  <c r="C566" i="16"/>
  <c r="B566" i="16"/>
  <c r="A566" i="16"/>
  <c r="E565" i="16"/>
  <c r="G565" i="16" s="1"/>
  <c r="D565" i="16"/>
  <c r="C565" i="16"/>
  <c r="B565" i="16"/>
  <c r="A565" i="16"/>
  <c r="AA568" i="16" l="1"/>
  <c r="F568" i="16"/>
  <c r="AA567" i="16"/>
  <c r="F567" i="16"/>
  <c r="AA566" i="16"/>
  <c r="F566" i="16"/>
  <c r="AA565" i="16"/>
  <c r="F565" i="16"/>
  <c r="AA380" i="16" l="1"/>
  <c r="AA381" i="16"/>
  <c r="J479" i="16"/>
  <c r="I479" i="16"/>
  <c r="E479" i="16"/>
  <c r="G479" i="16" s="1"/>
  <c r="D479" i="16"/>
  <c r="C479" i="16"/>
  <c r="B479" i="16"/>
  <c r="A479" i="16"/>
  <c r="AA291" i="16"/>
  <c r="B291" i="16"/>
  <c r="A291" i="16"/>
  <c r="AA290" i="16"/>
  <c r="B290" i="16"/>
  <c r="A290" i="16"/>
  <c r="AA289" i="16"/>
  <c r="A289" i="16"/>
  <c r="AA288" i="16"/>
  <c r="A288" i="16"/>
  <c r="AA287" i="16"/>
  <c r="A287" i="16"/>
  <c r="AA286" i="16"/>
  <c r="A286" i="16"/>
  <c r="AA285" i="16"/>
  <c r="A285" i="16"/>
  <c r="AA284" i="16"/>
  <c r="A284" i="16"/>
  <c r="AA283" i="16"/>
  <c r="A283" i="16"/>
  <c r="AA282" i="16"/>
  <c r="A282" i="16"/>
  <c r="AA281" i="16"/>
  <c r="A281" i="16"/>
  <c r="AA280" i="16"/>
  <c r="A280" i="16"/>
  <c r="AA279" i="16"/>
  <c r="A279" i="16"/>
  <c r="AA278" i="16"/>
  <c r="B278" i="16"/>
  <c r="A278" i="16"/>
  <c r="AA277" i="16"/>
  <c r="B277" i="16"/>
  <c r="A277" i="16"/>
  <c r="B287" i="16"/>
  <c r="B279" i="16"/>
  <c r="B280" i="16"/>
  <c r="B281" i="16"/>
  <c r="B282" i="16"/>
  <c r="B283" i="16"/>
  <c r="B284" i="16"/>
  <c r="B285" i="16"/>
  <c r="B286" i="16"/>
  <c r="B288" i="16"/>
  <c r="B289" i="16"/>
  <c r="AA479" i="16" l="1"/>
  <c r="F479" i="16"/>
  <c r="C319" i="16"/>
  <c r="C443" i="16"/>
  <c r="C378" i="16"/>
  <c r="C336" i="16"/>
  <c r="C321" i="16"/>
  <c r="B443" i="16"/>
  <c r="B378" i="16"/>
  <c r="B336" i="16"/>
  <c r="B321" i="16"/>
  <c r="B319" i="16"/>
  <c r="J443" i="16"/>
  <c r="E443" i="16"/>
  <c r="G443" i="16" s="1"/>
  <c r="D443" i="16"/>
  <c r="A443" i="16"/>
  <c r="J378" i="16"/>
  <c r="E378" i="16"/>
  <c r="G378" i="16" s="1"/>
  <c r="D378" i="16"/>
  <c r="A378" i="16"/>
  <c r="J336" i="16"/>
  <c r="E336" i="16"/>
  <c r="G336" i="16" s="1"/>
  <c r="D336" i="16"/>
  <c r="A336" i="16"/>
  <c r="J321" i="16"/>
  <c r="E321" i="16"/>
  <c r="G321" i="16" s="1"/>
  <c r="D321" i="16"/>
  <c r="A321" i="16"/>
  <c r="J319" i="16"/>
  <c r="E319" i="16"/>
  <c r="G319" i="16" s="1"/>
  <c r="D319" i="16"/>
  <c r="A319" i="16"/>
  <c r="J444" i="16"/>
  <c r="J379" i="16"/>
  <c r="J337" i="16"/>
  <c r="J322" i="16"/>
  <c r="J320" i="16"/>
  <c r="E444" i="16"/>
  <c r="G444" i="16" s="1"/>
  <c r="D444" i="16"/>
  <c r="E379" i="16"/>
  <c r="G379" i="16" s="1"/>
  <c r="D379" i="16"/>
  <c r="E337" i="16"/>
  <c r="G337" i="16" s="1"/>
  <c r="D337" i="16"/>
  <c r="E322" i="16"/>
  <c r="G322" i="16" s="1"/>
  <c r="D322" i="16"/>
  <c r="E320" i="16"/>
  <c r="G320" i="16" s="1"/>
  <c r="D320" i="16"/>
  <c r="A444" i="16"/>
  <c r="A379" i="16"/>
  <c r="A337" i="16"/>
  <c r="A322" i="16"/>
  <c r="A320" i="16"/>
  <c r="B4" i="16"/>
  <c r="C4" i="16"/>
  <c r="D4" i="16"/>
  <c r="F4" i="16" s="1"/>
  <c r="E4" i="16"/>
  <c r="G4" i="16" s="1"/>
  <c r="I4" i="16"/>
  <c r="J4" i="16"/>
  <c r="B9" i="16"/>
  <c r="C9" i="16"/>
  <c r="D9" i="16"/>
  <c r="F9" i="16" s="1"/>
  <c r="E9" i="16"/>
  <c r="G9" i="16" s="1"/>
  <c r="I9" i="16"/>
  <c r="J9" i="16"/>
  <c r="B8" i="16"/>
  <c r="C8" i="16"/>
  <c r="D8" i="16"/>
  <c r="F8" i="16" s="1"/>
  <c r="E8" i="16"/>
  <c r="G8" i="16" s="1"/>
  <c r="J8" i="16"/>
  <c r="B7" i="16"/>
  <c r="C7" i="16"/>
  <c r="D7" i="16"/>
  <c r="F7" i="16" s="1"/>
  <c r="E7" i="16"/>
  <c r="G7" i="16" s="1"/>
  <c r="I7" i="16"/>
  <c r="J7" i="16"/>
  <c r="B11" i="16"/>
  <c r="C11" i="16"/>
  <c r="D11" i="16"/>
  <c r="F11" i="16" s="1"/>
  <c r="E11" i="16"/>
  <c r="G11" i="16" s="1"/>
  <c r="I11" i="16"/>
  <c r="J11" i="16"/>
  <c r="B5" i="16"/>
  <c r="C5" i="16"/>
  <c r="D5" i="16"/>
  <c r="F5" i="16" s="1"/>
  <c r="E5" i="16"/>
  <c r="G5" i="16" s="1"/>
  <c r="I5" i="16"/>
  <c r="J5" i="16"/>
  <c r="B10" i="16"/>
  <c r="C10" i="16"/>
  <c r="D10" i="16"/>
  <c r="F10" i="16" s="1"/>
  <c r="E10" i="16"/>
  <c r="G10" i="16" s="1"/>
  <c r="I10" i="16"/>
  <c r="J10" i="16"/>
  <c r="B13" i="16"/>
  <c r="C13" i="16"/>
  <c r="D13" i="16"/>
  <c r="F13" i="16" s="1"/>
  <c r="E13" i="16"/>
  <c r="G13" i="16" s="1"/>
  <c r="I13" i="16"/>
  <c r="J13" i="16"/>
  <c r="B6" i="16"/>
  <c r="C6" i="16"/>
  <c r="D6" i="16"/>
  <c r="F6" i="16" s="1"/>
  <c r="E6" i="16"/>
  <c r="G6" i="16" s="1"/>
  <c r="I6" i="16"/>
  <c r="J6" i="16"/>
  <c r="B12" i="16"/>
  <c r="C12" i="16"/>
  <c r="D12" i="16"/>
  <c r="F12" i="16" s="1"/>
  <c r="E12" i="16"/>
  <c r="G12" i="16" s="1"/>
  <c r="I12" i="16"/>
  <c r="J12" i="16"/>
  <c r="I58" i="16"/>
  <c r="I60" i="16"/>
  <c r="I57" i="16"/>
  <c r="I61" i="16"/>
  <c r="I53" i="16"/>
  <c r="I19" i="16"/>
  <c r="I231" i="16"/>
  <c r="I50" i="16"/>
  <c r="I67" i="16"/>
  <c r="I232" i="16"/>
  <c r="I15" i="16"/>
  <c r="I59" i="16"/>
  <c r="I52" i="16"/>
  <c r="I55" i="16"/>
  <c r="I20" i="16"/>
  <c r="I230" i="16"/>
  <c r="I56" i="16"/>
  <c r="I54" i="16"/>
  <c r="I233" i="16"/>
  <c r="I68" i="16"/>
  <c r="I17" i="16"/>
  <c r="I16" i="16"/>
  <c r="I51" i="16"/>
  <c r="I21" i="16"/>
  <c r="I62" i="16"/>
  <c r="I234" i="16"/>
  <c r="I64" i="16"/>
  <c r="I176" i="16"/>
  <c r="I147" i="16"/>
  <c r="I45" i="16"/>
  <c r="I125" i="16"/>
  <c r="I212" i="16"/>
  <c r="I158" i="16"/>
  <c r="I27" i="16"/>
  <c r="I165" i="16"/>
  <c r="I210" i="16"/>
  <c r="I116" i="16"/>
  <c r="I22" i="16"/>
  <c r="I145" i="16"/>
  <c r="I146" i="16"/>
  <c r="I159" i="16"/>
  <c r="I202" i="16"/>
  <c r="I181" i="16"/>
  <c r="I183" i="16"/>
  <c r="I238" i="16"/>
  <c r="I113" i="16"/>
  <c r="I143" i="16"/>
  <c r="I161" i="16"/>
  <c r="I164" i="16"/>
  <c r="I240" i="16"/>
  <c r="I254" i="16"/>
  <c r="I23" i="16"/>
  <c r="I276" i="16"/>
  <c r="I110" i="16"/>
  <c r="I118" i="16"/>
  <c r="I128" i="16"/>
  <c r="I156" i="16"/>
  <c r="I157" i="16"/>
  <c r="I211" i="16"/>
  <c r="I218" i="16"/>
  <c r="I259" i="16"/>
  <c r="I260" i="16"/>
  <c r="I76" i="16"/>
  <c r="I79" i="16"/>
  <c r="I80" i="16"/>
  <c r="I81" i="16"/>
  <c r="I84" i="16"/>
  <c r="I198" i="16"/>
  <c r="I207" i="16"/>
  <c r="I235" i="16"/>
  <c r="I248" i="16"/>
  <c r="I266" i="16"/>
  <c r="I267" i="16"/>
  <c r="I270" i="16"/>
  <c r="I39" i="16"/>
  <c r="I40" i="16"/>
  <c r="I41" i="16"/>
  <c r="I42" i="16"/>
  <c r="I144" i="16"/>
  <c r="I244" i="16"/>
  <c r="I33" i="16"/>
  <c r="I31" i="16"/>
  <c r="I32" i="16"/>
  <c r="I30" i="16"/>
  <c r="I162" i="16"/>
  <c r="I111" i="16"/>
  <c r="I117" i="16"/>
  <c r="I186" i="16"/>
  <c r="I124" i="16"/>
  <c r="I38" i="16"/>
  <c r="I236" i="16"/>
  <c r="I237" i="16"/>
  <c r="I251" i="16"/>
  <c r="I252" i="16"/>
  <c r="I150" i="16"/>
  <c r="I224" i="16"/>
  <c r="I182" i="16"/>
  <c r="I173" i="16"/>
  <c r="I44" i="16"/>
  <c r="I48" i="16"/>
  <c r="I49" i="16"/>
  <c r="I132" i="16"/>
  <c r="I151" i="16"/>
  <c r="I153" i="16"/>
  <c r="I154" i="16"/>
  <c r="I274" i="16"/>
  <c r="I196" i="16"/>
  <c r="I35" i="16"/>
  <c r="I219" i="16"/>
  <c r="I220" i="16"/>
  <c r="I221" i="16"/>
  <c r="I227" i="16"/>
  <c r="I228" i="16"/>
  <c r="I229" i="16"/>
  <c r="I225" i="16"/>
  <c r="I138" i="16"/>
  <c r="I139" i="16"/>
  <c r="I140" i="16"/>
  <c r="I141" i="16"/>
  <c r="I142" i="16"/>
  <c r="I209" i="16"/>
  <c r="I123" i="16"/>
  <c r="I82" i="16"/>
  <c r="I85" i="16"/>
  <c r="I105" i="16"/>
  <c r="I249" i="16"/>
  <c r="I261" i="16"/>
  <c r="AA292" i="16"/>
  <c r="I292" i="16"/>
  <c r="I26" i="16"/>
  <c r="I37" i="16"/>
  <c r="I43" i="16"/>
  <c r="I46" i="16"/>
  <c r="I119" i="16"/>
  <c r="I120" i="16"/>
  <c r="I121" i="16"/>
  <c r="I155" i="16"/>
  <c r="I163" i="16"/>
  <c r="I258" i="16"/>
  <c r="I273" i="16"/>
  <c r="I83" i="16"/>
  <c r="I265" i="16"/>
  <c r="I86" i="16"/>
  <c r="I168" i="16"/>
  <c r="I256" i="16"/>
  <c r="I167" i="16"/>
  <c r="I178" i="16"/>
  <c r="I185" i="16"/>
  <c r="I208" i="16"/>
  <c r="I271" i="16"/>
  <c r="I29" i="16"/>
  <c r="I122" i="16"/>
  <c r="I187" i="16"/>
  <c r="I191" i="16"/>
  <c r="I193" i="16"/>
  <c r="I199" i="16"/>
  <c r="I205" i="16"/>
  <c r="I189" i="16"/>
  <c r="I36" i="16"/>
  <c r="I100" i="16"/>
  <c r="I94" i="16"/>
  <c r="I179" i="16"/>
  <c r="I255" i="16"/>
  <c r="I257" i="16"/>
  <c r="I172" i="16"/>
  <c r="I70" i="16"/>
  <c r="I107" i="16"/>
  <c r="I108" i="16"/>
  <c r="I149" i="16"/>
  <c r="I65" i="16"/>
  <c r="I66" i="16"/>
  <c r="I262" i="16"/>
  <c r="I177" i="16"/>
  <c r="I101" i="16"/>
  <c r="I250" i="16"/>
  <c r="I174" i="16"/>
  <c r="I175" i="16"/>
  <c r="I180" i="16"/>
  <c r="I112" i="16"/>
  <c r="I169" i="16"/>
  <c r="I126" i="16"/>
  <c r="I253" i="16"/>
  <c r="I131" i="16"/>
  <c r="I129" i="16"/>
  <c r="I106" i="16"/>
  <c r="I217" i="16"/>
  <c r="I115" i="16"/>
  <c r="I69" i="16"/>
  <c r="I25" i="16"/>
  <c r="I170" i="16"/>
  <c r="I171" i="16"/>
  <c r="I78" i="16"/>
  <c r="I188" i="16"/>
  <c r="I190" i="16"/>
  <c r="I192" i="16"/>
  <c r="I194" i="16"/>
  <c r="I195" i="16"/>
  <c r="I197" i="16"/>
  <c r="I200" i="16"/>
  <c r="I201" i="16"/>
  <c r="I203" i="16"/>
  <c r="I204" i="16"/>
  <c r="I206" i="16"/>
  <c r="I272" i="16"/>
  <c r="I184" i="16"/>
  <c r="I160" i="16"/>
  <c r="I103" i="16"/>
  <c r="I104" i="16"/>
  <c r="I264" i="16"/>
  <c r="I239" i="16"/>
  <c r="I223" i="16"/>
  <c r="I246" i="16"/>
  <c r="I28" i="16"/>
  <c r="I87" i="16"/>
  <c r="I245" i="16"/>
  <c r="I215" i="16"/>
  <c r="I247" i="16"/>
  <c r="I213" i="16"/>
  <c r="I214" i="16"/>
  <c r="I130" i="16"/>
  <c r="I216" i="16"/>
  <c r="I241" i="16"/>
  <c r="I242" i="16"/>
  <c r="I243" i="16"/>
  <c r="I34" i="16"/>
  <c r="I75" i="16"/>
  <c r="I77" i="16"/>
  <c r="I109" i="16"/>
  <c r="I114" i="16"/>
  <c r="I134" i="16"/>
  <c r="I102" i="16"/>
  <c r="I14" i="16"/>
  <c r="I226" i="16"/>
  <c r="I166" i="16"/>
  <c r="I133" i="16"/>
  <c r="I152" i="16"/>
  <c r="I222" i="16"/>
  <c r="I47" i="16"/>
  <c r="I275" i="16"/>
  <c r="I137" i="16"/>
  <c r="AA293" i="16"/>
  <c r="I293" i="16"/>
  <c r="I148" i="16"/>
  <c r="I93" i="16"/>
  <c r="I24" i="16"/>
  <c r="I71" i="16"/>
  <c r="I72" i="16"/>
  <c r="I73" i="16"/>
  <c r="I74" i="16"/>
  <c r="I88" i="16"/>
  <c r="I89" i="16"/>
  <c r="I90" i="16"/>
  <c r="I91" i="16"/>
  <c r="I92" i="16"/>
  <c r="I95" i="16"/>
  <c r="I96" i="16"/>
  <c r="I97" i="16"/>
  <c r="I98" i="16"/>
  <c r="I263" i="16"/>
  <c r="I268" i="16"/>
  <c r="I269" i="16"/>
  <c r="I99" i="16"/>
  <c r="I135" i="16"/>
  <c r="I136" i="16"/>
  <c r="B356" i="16"/>
  <c r="C356" i="16"/>
  <c r="D356" i="16"/>
  <c r="E356" i="16"/>
  <c r="G356" i="16" s="1"/>
  <c r="I356" i="16"/>
  <c r="J356" i="16"/>
  <c r="D357" i="16"/>
  <c r="F357" i="16" s="1"/>
  <c r="E357" i="16"/>
  <c r="G357" i="16" s="1"/>
  <c r="I357" i="16"/>
  <c r="J357" i="16"/>
  <c r="B332" i="16"/>
  <c r="C332" i="16"/>
  <c r="D332" i="16"/>
  <c r="E332" i="16"/>
  <c r="G332" i="16" s="1"/>
  <c r="I332" i="16"/>
  <c r="J332" i="16"/>
  <c r="B348" i="16"/>
  <c r="C348" i="16"/>
  <c r="D348" i="16"/>
  <c r="F348" i="16" s="1"/>
  <c r="E348" i="16"/>
  <c r="G348" i="16" s="1"/>
  <c r="I348" i="16"/>
  <c r="J348" i="16"/>
  <c r="D333" i="16"/>
  <c r="E333" i="16"/>
  <c r="G333" i="16" s="1"/>
  <c r="I333" i="16"/>
  <c r="J333" i="16"/>
  <c r="D349" i="16"/>
  <c r="E349" i="16"/>
  <c r="G349" i="16" s="1"/>
  <c r="I349" i="16"/>
  <c r="J349" i="16"/>
  <c r="B338" i="16"/>
  <c r="C338" i="16"/>
  <c r="D338" i="16"/>
  <c r="E338" i="16"/>
  <c r="G338" i="16" s="1"/>
  <c r="I338" i="16"/>
  <c r="J338" i="16"/>
  <c r="B340" i="16"/>
  <c r="C340" i="16"/>
  <c r="D340" i="16"/>
  <c r="E340" i="16"/>
  <c r="G340" i="16" s="1"/>
  <c r="I340" i="16"/>
  <c r="J340" i="16"/>
  <c r="B344" i="16"/>
  <c r="C344" i="16"/>
  <c r="D344" i="16"/>
  <c r="E344" i="16"/>
  <c r="G344" i="16" s="1"/>
  <c r="I344" i="16"/>
  <c r="J344" i="16"/>
  <c r="B352" i="16"/>
  <c r="C352" i="16"/>
  <c r="D352" i="16"/>
  <c r="E352" i="16"/>
  <c r="G352" i="16" s="1"/>
  <c r="I352" i="16"/>
  <c r="J352" i="16"/>
  <c r="D339" i="16"/>
  <c r="E339" i="16"/>
  <c r="G339" i="16" s="1"/>
  <c r="I339" i="16"/>
  <c r="J339" i="16"/>
  <c r="D341" i="16"/>
  <c r="E341" i="16"/>
  <c r="G341" i="16" s="1"/>
  <c r="I341" i="16"/>
  <c r="J341" i="16"/>
  <c r="D345" i="16"/>
  <c r="E345" i="16"/>
  <c r="G345" i="16" s="1"/>
  <c r="I345" i="16"/>
  <c r="J345" i="16"/>
  <c r="D353" i="16"/>
  <c r="F353" i="16" s="1"/>
  <c r="E353" i="16"/>
  <c r="G353" i="16" s="1"/>
  <c r="I353" i="16"/>
  <c r="J353" i="16"/>
  <c r="D450" i="16"/>
  <c r="E450" i="16"/>
  <c r="G450" i="16" s="1"/>
  <c r="I450" i="16"/>
  <c r="J450" i="16"/>
  <c r="B449" i="16"/>
  <c r="C449" i="16"/>
  <c r="D449" i="16"/>
  <c r="E449" i="16"/>
  <c r="G449" i="16" s="1"/>
  <c r="I449" i="16"/>
  <c r="J449" i="16"/>
  <c r="B364" i="16"/>
  <c r="C364" i="16"/>
  <c r="D364" i="16"/>
  <c r="E364" i="16"/>
  <c r="G364" i="16" s="1"/>
  <c r="I364" i="16"/>
  <c r="J364" i="16"/>
  <c r="B427" i="16"/>
  <c r="C427" i="16"/>
  <c r="D427" i="16"/>
  <c r="E427" i="16"/>
  <c r="G427" i="16" s="1"/>
  <c r="I427" i="16"/>
  <c r="J427" i="16"/>
  <c r="D365" i="16"/>
  <c r="E365" i="16"/>
  <c r="G365" i="16" s="1"/>
  <c r="I365" i="16"/>
  <c r="J365" i="16"/>
  <c r="D428" i="16"/>
  <c r="E428" i="16"/>
  <c r="G428" i="16" s="1"/>
  <c r="I428" i="16"/>
  <c r="J428" i="16"/>
  <c r="B312" i="16"/>
  <c r="C312" i="16"/>
  <c r="D312" i="16"/>
  <c r="E312" i="16"/>
  <c r="G312" i="16" s="1"/>
  <c r="I312" i="16"/>
  <c r="J312" i="16"/>
  <c r="D311" i="16"/>
  <c r="E311" i="16"/>
  <c r="G311" i="16" s="1"/>
  <c r="I311" i="16"/>
  <c r="J311" i="16"/>
  <c r="D452" i="16"/>
  <c r="E452" i="16"/>
  <c r="G452" i="16" s="1"/>
  <c r="J452" i="16"/>
  <c r="B451" i="16"/>
  <c r="C451" i="16"/>
  <c r="D451" i="16"/>
  <c r="E451" i="16"/>
  <c r="G451" i="16" s="1"/>
  <c r="J451" i="16"/>
  <c r="B329" i="16"/>
  <c r="C329" i="16"/>
  <c r="D329" i="16"/>
  <c r="E329" i="16"/>
  <c r="G329" i="16" s="1"/>
  <c r="I329" i="16"/>
  <c r="J329" i="16"/>
  <c r="D330" i="16"/>
  <c r="E330" i="16"/>
  <c r="G330" i="16" s="1"/>
  <c r="I330" i="16"/>
  <c r="J330" i="16"/>
  <c r="B331" i="16"/>
  <c r="C331" i="16"/>
  <c r="D331" i="16"/>
  <c r="F331" i="16" s="1"/>
  <c r="E331" i="16"/>
  <c r="G331" i="16" s="1"/>
  <c r="I331" i="16"/>
  <c r="J331" i="16"/>
  <c r="B393" i="16"/>
  <c r="C393" i="16"/>
  <c r="D393" i="16"/>
  <c r="E393" i="16"/>
  <c r="G393" i="16" s="1"/>
  <c r="I393" i="16"/>
  <c r="J393" i="16"/>
  <c r="D394" i="16"/>
  <c r="E394" i="16"/>
  <c r="G394" i="16" s="1"/>
  <c r="I394" i="16"/>
  <c r="J394" i="16"/>
  <c r="B342" i="16"/>
  <c r="C342" i="16"/>
  <c r="D342" i="16"/>
  <c r="E342" i="16"/>
  <c r="G342" i="16" s="1"/>
  <c r="I342" i="16"/>
  <c r="J342" i="16"/>
  <c r="B350" i="16"/>
  <c r="C350" i="16"/>
  <c r="D350" i="16"/>
  <c r="E350" i="16"/>
  <c r="G350" i="16" s="1"/>
  <c r="I350" i="16"/>
  <c r="J350" i="16"/>
  <c r="D343" i="16"/>
  <c r="E343" i="16"/>
  <c r="G343" i="16" s="1"/>
  <c r="I343" i="16"/>
  <c r="J343" i="16"/>
  <c r="D351" i="16"/>
  <c r="E351" i="16"/>
  <c r="G351" i="16" s="1"/>
  <c r="I351" i="16"/>
  <c r="J351" i="16"/>
  <c r="B429" i="16"/>
  <c r="C429" i="16"/>
  <c r="D429" i="16"/>
  <c r="E429" i="16"/>
  <c r="G429" i="16" s="1"/>
  <c r="I429" i="16"/>
  <c r="J429" i="16"/>
  <c r="D430" i="16"/>
  <c r="E430" i="16"/>
  <c r="G430" i="16" s="1"/>
  <c r="I430" i="16"/>
  <c r="J430" i="16"/>
  <c r="B334" i="16"/>
  <c r="C334" i="16"/>
  <c r="D334" i="16"/>
  <c r="E334" i="16"/>
  <c r="G334" i="16" s="1"/>
  <c r="I334" i="16"/>
  <c r="J334" i="16"/>
  <c r="B407" i="16"/>
  <c r="C407" i="16"/>
  <c r="D407" i="16"/>
  <c r="E407" i="16"/>
  <c r="G407" i="16" s="1"/>
  <c r="I407" i="16"/>
  <c r="J407" i="16"/>
  <c r="B409" i="16"/>
  <c r="C409" i="16"/>
  <c r="D409" i="16"/>
  <c r="E409" i="16"/>
  <c r="G409" i="16" s="1"/>
  <c r="I409" i="16"/>
  <c r="J409" i="16"/>
  <c r="D335" i="16"/>
  <c r="E335" i="16"/>
  <c r="G335" i="16" s="1"/>
  <c r="I335" i="16"/>
  <c r="J335" i="16"/>
  <c r="D408" i="16"/>
  <c r="E408" i="16"/>
  <c r="G408" i="16" s="1"/>
  <c r="I408" i="16"/>
  <c r="J408" i="16"/>
  <c r="D410" i="16"/>
  <c r="E410" i="16"/>
  <c r="G410" i="16" s="1"/>
  <c r="I410" i="16"/>
  <c r="J410" i="16"/>
  <c r="B315" i="16"/>
  <c r="C315" i="16"/>
  <c r="D315" i="16"/>
  <c r="E315" i="16"/>
  <c r="G315" i="16" s="1"/>
  <c r="I315" i="16"/>
  <c r="J315" i="16"/>
  <c r="B313" i="16"/>
  <c r="C313" i="16"/>
  <c r="D313" i="16"/>
  <c r="E313" i="16"/>
  <c r="G313" i="16" s="1"/>
  <c r="I313" i="16"/>
  <c r="J313" i="16"/>
  <c r="D314" i="16"/>
  <c r="E314" i="16"/>
  <c r="G314" i="16" s="1"/>
  <c r="I314" i="16"/>
  <c r="J314" i="16"/>
  <c r="D316" i="16"/>
  <c r="E316" i="16"/>
  <c r="G316" i="16" s="1"/>
  <c r="I316" i="16"/>
  <c r="J316" i="16"/>
  <c r="B368" i="16"/>
  <c r="C368" i="16"/>
  <c r="D368" i="16"/>
  <c r="E368" i="16"/>
  <c r="G368" i="16" s="1"/>
  <c r="I368" i="16"/>
  <c r="J368" i="16"/>
  <c r="B376" i="16"/>
  <c r="C376" i="16"/>
  <c r="D376" i="16"/>
  <c r="E376" i="16"/>
  <c r="G376" i="16" s="1"/>
  <c r="I376" i="16"/>
  <c r="J376" i="16"/>
  <c r="D369" i="16"/>
  <c r="E369" i="16"/>
  <c r="G369" i="16" s="1"/>
  <c r="I369" i="16"/>
  <c r="J369" i="16"/>
  <c r="D377" i="16"/>
  <c r="E377" i="16"/>
  <c r="G377" i="16" s="1"/>
  <c r="I377" i="16"/>
  <c r="J377" i="16"/>
  <c r="D412" i="16"/>
  <c r="E412" i="16"/>
  <c r="G412" i="16" s="1"/>
  <c r="I412" i="16"/>
  <c r="J412" i="16"/>
  <c r="B411" i="16"/>
  <c r="C411" i="16"/>
  <c r="D411" i="16"/>
  <c r="E411" i="16"/>
  <c r="G411" i="16" s="1"/>
  <c r="I411" i="16"/>
  <c r="J411" i="16"/>
  <c r="B388" i="16"/>
  <c r="C388" i="16"/>
  <c r="D388" i="16"/>
  <c r="E388" i="16"/>
  <c r="G388" i="16" s="1"/>
  <c r="I388" i="16"/>
  <c r="J388" i="16"/>
  <c r="D389" i="16"/>
  <c r="I389" i="16"/>
  <c r="J389" i="16"/>
  <c r="B390" i="16"/>
  <c r="C390" i="16"/>
  <c r="D390" i="16"/>
  <c r="F390" i="16" s="1"/>
  <c r="E390" i="16"/>
  <c r="G390" i="16" s="1"/>
  <c r="I390" i="16"/>
  <c r="J390" i="16"/>
  <c r="B397" i="16"/>
  <c r="C397" i="16"/>
  <c r="D397" i="16"/>
  <c r="E397" i="16"/>
  <c r="G397" i="16" s="1"/>
  <c r="I397" i="16"/>
  <c r="J397" i="16"/>
  <c r="D398" i="16"/>
  <c r="E398" i="16"/>
  <c r="G398" i="16" s="1"/>
  <c r="I398" i="16"/>
  <c r="J398" i="16"/>
  <c r="D419" i="16"/>
  <c r="E419" i="16"/>
  <c r="G419" i="16" s="1"/>
  <c r="I419" i="16"/>
  <c r="J419" i="16"/>
  <c r="B420" i="16"/>
  <c r="C420" i="16"/>
  <c r="D420" i="16"/>
  <c r="E420" i="16"/>
  <c r="G420" i="16" s="1"/>
  <c r="I420" i="16"/>
  <c r="J420" i="16"/>
  <c r="B372" i="16"/>
  <c r="C372" i="16"/>
  <c r="D372" i="16"/>
  <c r="E372" i="16"/>
  <c r="G372" i="16" s="1"/>
  <c r="I372" i="16"/>
  <c r="J372" i="16"/>
  <c r="B323" i="16"/>
  <c r="C323" i="16"/>
  <c r="D323" i="16"/>
  <c r="E323" i="16"/>
  <c r="G323" i="16" s="1"/>
  <c r="I323" i="16"/>
  <c r="J323" i="16"/>
  <c r="B325" i="16"/>
  <c r="C325" i="16"/>
  <c r="D325" i="16"/>
  <c r="E325" i="16"/>
  <c r="G325" i="16" s="1"/>
  <c r="I325" i="16"/>
  <c r="J325" i="16"/>
  <c r="B374" i="16"/>
  <c r="C374" i="16"/>
  <c r="D374" i="16"/>
  <c r="E374" i="16"/>
  <c r="G374" i="16" s="1"/>
  <c r="I374" i="16"/>
  <c r="J374" i="16"/>
  <c r="D324" i="16"/>
  <c r="E324" i="16"/>
  <c r="G324" i="16" s="1"/>
  <c r="I324" i="16"/>
  <c r="J324" i="16"/>
  <c r="D326" i="16"/>
  <c r="E326" i="16"/>
  <c r="G326" i="16" s="1"/>
  <c r="I326" i="16"/>
  <c r="J326" i="16"/>
  <c r="D328" i="16"/>
  <c r="E328" i="16"/>
  <c r="G328" i="16" s="1"/>
  <c r="I328" i="16"/>
  <c r="J328" i="16"/>
  <c r="D373" i="16"/>
  <c r="F373" i="16" s="1"/>
  <c r="E373" i="16"/>
  <c r="G373" i="16" s="1"/>
  <c r="I373" i="16"/>
  <c r="J373" i="16"/>
  <c r="D375" i="16"/>
  <c r="F375" i="16" s="1"/>
  <c r="E375" i="16"/>
  <c r="G375" i="16" s="1"/>
  <c r="I375" i="16"/>
  <c r="J375" i="16"/>
  <c r="B399" i="16"/>
  <c r="C399" i="16"/>
  <c r="D399" i="16"/>
  <c r="E399" i="16"/>
  <c r="G399" i="16" s="1"/>
  <c r="I399" i="16"/>
  <c r="J399" i="16"/>
  <c r="D400" i="16"/>
  <c r="E400" i="16"/>
  <c r="G400" i="16" s="1"/>
  <c r="I400" i="16"/>
  <c r="J400" i="16"/>
  <c r="D454" i="16"/>
  <c r="E454" i="16"/>
  <c r="G454" i="16" s="1"/>
  <c r="I454" i="16"/>
  <c r="J454" i="16"/>
  <c r="B327" i="16"/>
  <c r="C327" i="16"/>
  <c r="D327" i="16"/>
  <c r="F327" i="16" s="1"/>
  <c r="E327" i="16"/>
  <c r="G327" i="16" s="1"/>
  <c r="I327" i="16"/>
  <c r="J327" i="16"/>
  <c r="B453" i="16"/>
  <c r="C453" i="16"/>
  <c r="D453" i="16"/>
  <c r="E453" i="16"/>
  <c r="G453" i="16" s="1"/>
  <c r="I453" i="16"/>
  <c r="J453" i="16"/>
  <c r="D385" i="16"/>
  <c r="E385" i="16"/>
  <c r="G385" i="16" s="1"/>
  <c r="I385" i="16"/>
  <c r="J385" i="16"/>
  <c r="B384" i="16"/>
  <c r="C384" i="16"/>
  <c r="D384" i="16"/>
  <c r="E384" i="16"/>
  <c r="G384" i="16" s="1"/>
  <c r="I384" i="16"/>
  <c r="J384" i="16"/>
  <c r="B358" i="16"/>
  <c r="C358" i="16"/>
  <c r="D358" i="16"/>
  <c r="F358" i="16" s="1"/>
  <c r="E358" i="16"/>
  <c r="G358" i="16" s="1"/>
  <c r="I358" i="16"/>
  <c r="J358" i="16"/>
  <c r="B360" i="16"/>
  <c r="C360" i="16"/>
  <c r="D360" i="16"/>
  <c r="E360" i="16"/>
  <c r="G360" i="16" s="1"/>
  <c r="I360" i="16"/>
  <c r="J360" i="16"/>
  <c r="D359" i="16"/>
  <c r="F359" i="16" s="1"/>
  <c r="E359" i="16"/>
  <c r="G359" i="16" s="1"/>
  <c r="I359" i="16"/>
  <c r="J359" i="16"/>
  <c r="D361" i="16"/>
  <c r="F361" i="16" s="1"/>
  <c r="E361" i="16"/>
  <c r="G361" i="16" s="1"/>
  <c r="I361" i="16"/>
  <c r="J361" i="16"/>
  <c r="B414" i="16"/>
  <c r="C414" i="16"/>
  <c r="D414" i="16"/>
  <c r="E414" i="16"/>
  <c r="G414" i="16" s="1"/>
  <c r="I414" i="16"/>
  <c r="J414" i="16"/>
  <c r="D413" i="16"/>
  <c r="E413" i="16"/>
  <c r="G413" i="16" s="1"/>
  <c r="I413" i="16"/>
  <c r="J413" i="16"/>
  <c r="B416" i="16"/>
  <c r="C416" i="16"/>
  <c r="D416" i="16"/>
  <c r="E416" i="16"/>
  <c r="G416" i="16" s="1"/>
  <c r="I416" i="16"/>
  <c r="J416" i="16"/>
  <c r="D415" i="16"/>
  <c r="E415" i="16"/>
  <c r="G415" i="16" s="1"/>
  <c r="I415" i="16"/>
  <c r="J415" i="16"/>
  <c r="B418" i="16"/>
  <c r="C418" i="16"/>
  <c r="D418" i="16"/>
  <c r="E418" i="16"/>
  <c r="G418" i="16" s="1"/>
  <c r="I418" i="16"/>
  <c r="J418" i="16"/>
  <c r="D417" i="16"/>
  <c r="E417" i="16"/>
  <c r="G417" i="16" s="1"/>
  <c r="I417" i="16"/>
  <c r="J417" i="16"/>
  <c r="B346" i="16"/>
  <c r="C346" i="16"/>
  <c r="D346" i="16"/>
  <c r="E346" i="16"/>
  <c r="G346" i="16" s="1"/>
  <c r="I346" i="16"/>
  <c r="J346" i="16"/>
  <c r="D347" i="16"/>
  <c r="E347" i="16"/>
  <c r="G347" i="16" s="1"/>
  <c r="I347" i="16"/>
  <c r="J347" i="16"/>
  <c r="B386" i="16"/>
  <c r="C386" i="16"/>
  <c r="D386" i="16"/>
  <c r="E386" i="16"/>
  <c r="G386" i="16" s="1"/>
  <c r="I386" i="16"/>
  <c r="J386" i="16"/>
  <c r="D387" i="16"/>
  <c r="I387" i="16"/>
  <c r="J387" i="16"/>
  <c r="B431" i="16"/>
  <c r="C431" i="16"/>
  <c r="D431" i="16"/>
  <c r="E431" i="16"/>
  <c r="G431" i="16" s="1"/>
  <c r="I431" i="16"/>
  <c r="J431" i="16"/>
  <c r="D432" i="16"/>
  <c r="F432" i="16" s="1"/>
  <c r="E432" i="16"/>
  <c r="G432" i="16" s="1"/>
  <c r="I432" i="16"/>
  <c r="J432" i="16"/>
  <c r="B433" i="16"/>
  <c r="C433" i="16"/>
  <c r="D433" i="16"/>
  <c r="E433" i="16"/>
  <c r="G433" i="16" s="1"/>
  <c r="I433" i="16"/>
  <c r="J433" i="16"/>
  <c r="B317" i="16"/>
  <c r="C317" i="16"/>
  <c r="D317" i="16"/>
  <c r="E317" i="16"/>
  <c r="G317" i="16" s="1"/>
  <c r="I317" i="16"/>
  <c r="J317" i="16"/>
  <c r="D318" i="16"/>
  <c r="E318" i="16"/>
  <c r="G318" i="16" s="1"/>
  <c r="I318" i="16"/>
  <c r="J318" i="16"/>
  <c r="B447" i="16"/>
  <c r="C447" i="16"/>
  <c r="D447" i="16"/>
  <c r="E447" i="16"/>
  <c r="G447" i="16" s="1"/>
  <c r="I447" i="16"/>
  <c r="J447" i="16"/>
  <c r="D448" i="16"/>
  <c r="E448" i="16"/>
  <c r="G448" i="16" s="1"/>
  <c r="I448" i="16"/>
  <c r="J448" i="16"/>
  <c r="B354" i="16"/>
  <c r="C354" i="16"/>
  <c r="D354" i="16"/>
  <c r="F354" i="16" s="1"/>
  <c r="E354" i="16"/>
  <c r="G354" i="16" s="1"/>
  <c r="I354" i="16"/>
  <c r="J354" i="16"/>
  <c r="D355" i="16"/>
  <c r="E355" i="16"/>
  <c r="G355" i="16" s="1"/>
  <c r="I355" i="16"/>
  <c r="J355" i="16"/>
  <c r="B362" i="16"/>
  <c r="C362" i="16"/>
  <c r="D362" i="16"/>
  <c r="F362" i="16" s="1"/>
  <c r="E362" i="16"/>
  <c r="G362" i="16" s="1"/>
  <c r="I362" i="16"/>
  <c r="J362" i="16"/>
  <c r="D363" i="16"/>
  <c r="E363" i="16"/>
  <c r="G363" i="16" s="1"/>
  <c r="I363" i="16"/>
  <c r="J363" i="16"/>
  <c r="D436" i="16"/>
  <c r="E436" i="16"/>
  <c r="G436" i="16" s="1"/>
  <c r="I436" i="16"/>
  <c r="J436" i="16"/>
  <c r="D438" i="16"/>
  <c r="E438" i="16"/>
  <c r="G438" i="16" s="1"/>
  <c r="I438" i="16"/>
  <c r="J438" i="16"/>
  <c r="D440" i="16"/>
  <c r="E440" i="16"/>
  <c r="G440" i="16" s="1"/>
  <c r="I440" i="16"/>
  <c r="J440" i="16"/>
  <c r="D442" i="16"/>
  <c r="E442" i="16"/>
  <c r="G442" i="16" s="1"/>
  <c r="I442" i="16"/>
  <c r="J442" i="16"/>
  <c r="B435" i="16"/>
  <c r="C435" i="16"/>
  <c r="D435" i="16"/>
  <c r="F435" i="16" s="1"/>
  <c r="E435" i="16"/>
  <c r="G435" i="16" s="1"/>
  <c r="I435" i="16"/>
  <c r="J435" i="16"/>
  <c r="L435" i="16"/>
  <c r="B437" i="16"/>
  <c r="C437" i="16"/>
  <c r="D437" i="16"/>
  <c r="F437" i="16" s="1"/>
  <c r="E437" i="16"/>
  <c r="G437" i="16" s="1"/>
  <c r="I437" i="16"/>
  <c r="J437" i="16"/>
  <c r="B439" i="16"/>
  <c r="C439" i="16"/>
  <c r="D439" i="16"/>
  <c r="F439" i="16" s="1"/>
  <c r="E439" i="16"/>
  <c r="G439" i="16" s="1"/>
  <c r="I439" i="16"/>
  <c r="J439" i="16"/>
  <c r="B441" i="16"/>
  <c r="C441" i="16"/>
  <c r="D441" i="16"/>
  <c r="F441" i="16" s="1"/>
  <c r="E441" i="16"/>
  <c r="G441" i="16" s="1"/>
  <c r="I441" i="16"/>
  <c r="J441" i="16"/>
  <c r="B370" i="16"/>
  <c r="C370" i="16"/>
  <c r="D370" i="16"/>
  <c r="E370" i="16"/>
  <c r="G370" i="16" s="1"/>
  <c r="I370" i="16"/>
  <c r="J370" i="16"/>
  <c r="D371" i="16"/>
  <c r="E371" i="16"/>
  <c r="G371" i="16" s="1"/>
  <c r="I371" i="16"/>
  <c r="J371" i="16"/>
  <c r="B382" i="16"/>
  <c r="C382" i="16"/>
  <c r="D382" i="16"/>
  <c r="E382" i="16"/>
  <c r="G382" i="16" s="1"/>
  <c r="I382" i="16"/>
  <c r="J382" i="16"/>
  <c r="D383" i="16"/>
  <c r="E383" i="16"/>
  <c r="G383" i="16" s="1"/>
  <c r="I383" i="16"/>
  <c r="J383" i="16"/>
  <c r="B434" i="16"/>
  <c r="C434" i="16"/>
  <c r="D434" i="16"/>
  <c r="E434" i="16"/>
  <c r="G434" i="16" s="1"/>
  <c r="I434" i="16"/>
  <c r="J434" i="16"/>
  <c r="B423" i="16"/>
  <c r="C423" i="16"/>
  <c r="D423" i="16"/>
  <c r="E423" i="16"/>
  <c r="G423" i="16" s="1"/>
  <c r="I423" i="16"/>
  <c r="J423" i="16"/>
  <c r="D424" i="16"/>
  <c r="E424" i="16"/>
  <c r="G424" i="16" s="1"/>
  <c r="I424" i="16"/>
  <c r="J424" i="16"/>
  <c r="D396" i="16"/>
  <c r="E396" i="16"/>
  <c r="G396" i="16" s="1"/>
  <c r="I396" i="16"/>
  <c r="J396" i="16"/>
  <c r="B395" i="16"/>
  <c r="C395" i="16"/>
  <c r="D395" i="16"/>
  <c r="E395" i="16"/>
  <c r="G395" i="16" s="1"/>
  <c r="I395" i="16"/>
  <c r="J395" i="16"/>
  <c r="D402" i="16"/>
  <c r="E402" i="16"/>
  <c r="G402" i="16" s="1"/>
  <c r="I402" i="16"/>
  <c r="J402" i="16"/>
  <c r="D404" i="16"/>
  <c r="E404" i="16"/>
  <c r="G404" i="16" s="1"/>
  <c r="I404" i="16"/>
  <c r="J404" i="16"/>
  <c r="D406" i="16"/>
  <c r="E406" i="16"/>
  <c r="G406" i="16" s="1"/>
  <c r="I406" i="16"/>
  <c r="J406" i="16"/>
  <c r="B401" i="16"/>
  <c r="C401" i="16"/>
  <c r="D401" i="16"/>
  <c r="E401" i="16"/>
  <c r="G401" i="16" s="1"/>
  <c r="I401" i="16"/>
  <c r="J401" i="16"/>
  <c r="B403" i="16"/>
  <c r="C403" i="16"/>
  <c r="D403" i="16"/>
  <c r="E403" i="16"/>
  <c r="G403" i="16" s="1"/>
  <c r="I403" i="16"/>
  <c r="J403" i="16"/>
  <c r="B405" i="16"/>
  <c r="C405" i="16"/>
  <c r="D405" i="16"/>
  <c r="E405" i="16"/>
  <c r="G405" i="16" s="1"/>
  <c r="I405" i="16"/>
  <c r="J405" i="16"/>
  <c r="B425" i="16"/>
  <c r="C425" i="16"/>
  <c r="D425" i="16"/>
  <c r="E425" i="16"/>
  <c r="G425" i="16" s="1"/>
  <c r="D426" i="16"/>
  <c r="E426" i="16"/>
  <c r="G426" i="16" s="1"/>
  <c r="B366" i="16"/>
  <c r="C366" i="16"/>
  <c r="D366" i="16"/>
  <c r="E366" i="16"/>
  <c r="G366" i="16" s="1"/>
  <c r="I366" i="16"/>
  <c r="J366" i="16"/>
  <c r="D367" i="16"/>
  <c r="E367" i="16"/>
  <c r="G367" i="16" s="1"/>
  <c r="I367" i="16"/>
  <c r="J367" i="16"/>
  <c r="D422" i="16"/>
  <c r="E422" i="16"/>
  <c r="G422" i="16" s="1"/>
  <c r="I422" i="16"/>
  <c r="J422" i="16"/>
  <c r="B421" i="16"/>
  <c r="C421" i="16"/>
  <c r="D421" i="16"/>
  <c r="E421" i="16"/>
  <c r="G421" i="16" s="1"/>
  <c r="I421" i="16"/>
  <c r="J421" i="16"/>
  <c r="B445" i="16"/>
  <c r="C445" i="16"/>
  <c r="D445" i="16"/>
  <c r="E445" i="16"/>
  <c r="G445" i="16" s="1"/>
  <c r="I445" i="16"/>
  <c r="J445" i="16"/>
  <c r="D446" i="16"/>
  <c r="E446" i="16"/>
  <c r="G446" i="16" s="1"/>
  <c r="I446" i="16"/>
  <c r="J446" i="16"/>
  <c r="B391" i="16"/>
  <c r="C391" i="16"/>
  <c r="D391" i="16"/>
  <c r="E391" i="16"/>
  <c r="G391" i="16" s="1"/>
  <c r="I391" i="16"/>
  <c r="J391" i="16"/>
  <c r="E381" i="16"/>
  <c r="G381" i="16" s="1"/>
  <c r="D392" i="16"/>
  <c r="E392" i="16"/>
  <c r="G392" i="16" s="1"/>
  <c r="B380" i="16"/>
  <c r="C380" i="16"/>
  <c r="E380" i="16"/>
  <c r="G380" i="16" s="1"/>
  <c r="B463" i="16"/>
  <c r="C463" i="16"/>
  <c r="D463" i="16"/>
  <c r="E463" i="16"/>
  <c r="G463" i="16" s="1"/>
  <c r="I463" i="16"/>
  <c r="J463" i="16"/>
  <c r="B477" i="16"/>
  <c r="C477" i="16"/>
  <c r="D477" i="16"/>
  <c r="E477" i="16"/>
  <c r="G477" i="16" s="1"/>
  <c r="I477" i="16"/>
  <c r="J477" i="16"/>
  <c r="B459" i="16"/>
  <c r="C459" i="16"/>
  <c r="D459" i="16"/>
  <c r="E459" i="16"/>
  <c r="G459" i="16" s="1"/>
  <c r="I459" i="16"/>
  <c r="J459" i="16"/>
  <c r="B457" i="16"/>
  <c r="C457" i="16"/>
  <c r="D457" i="16"/>
  <c r="E457" i="16"/>
  <c r="G457" i="16" s="1"/>
  <c r="I457" i="16"/>
  <c r="J457" i="16"/>
  <c r="B462" i="16"/>
  <c r="C462" i="16"/>
  <c r="D462" i="16"/>
  <c r="E462" i="16"/>
  <c r="G462" i="16" s="1"/>
  <c r="I462" i="16"/>
  <c r="J462" i="16"/>
  <c r="B464" i="16"/>
  <c r="C464" i="16"/>
  <c r="D464" i="16"/>
  <c r="E464" i="16"/>
  <c r="G464" i="16" s="1"/>
  <c r="I464" i="16"/>
  <c r="J464" i="16"/>
  <c r="B468" i="16"/>
  <c r="C468" i="16"/>
  <c r="D468" i="16"/>
  <c r="E468" i="16"/>
  <c r="G468" i="16" s="1"/>
  <c r="I468" i="16"/>
  <c r="J468" i="16"/>
  <c r="B472" i="16"/>
  <c r="C472" i="16"/>
  <c r="D472" i="16"/>
  <c r="E472" i="16"/>
  <c r="G472" i="16" s="1"/>
  <c r="I472" i="16"/>
  <c r="J472" i="16"/>
  <c r="B466" i="16"/>
  <c r="C466" i="16"/>
  <c r="D466" i="16"/>
  <c r="E466" i="16"/>
  <c r="G466" i="16" s="1"/>
  <c r="I466" i="16"/>
  <c r="J466" i="16"/>
  <c r="B467" i="16"/>
  <c r="C467" i="16"/>
  <c r="D467" i="16"/>
  <c r="E467" i="16"/>
  <c r="G467" i="16" s="1"/>
  <c r="I467" i="16"/>
  <c r="J467" i="16"/>
  <c r="B455" i="16"/>
  <c r="C455" i="16"/>
  <c r="D455" i="16"/>
  <c r="E455" i="16"/>
  <c r="G455" i="16" s="1"/>
  <c r="I455" i="16"/>
  <c r="J455" i="16"/>
  <c r="B456" i="16"/>
  <c r="C456" i="16"/>
  <c r="D456" i="16"/>
  <c r="E456" i="16"/>
  <c r="G456" i="16" s="1"/>
  <c r="I456" i="16"/>
  <c r="J456" i="16"/>
  <c r="B469" i="16"/>
  <c r="C469" i="16"/>
  <c r="D469" i="16"/>
  <c r="E469" i="16"/>
  <c r="G469" i="16" s="1"/>
  <c r="I469" i="16"/>
  <c r="J469" i="16"/>
  <c r="B470" i="16"/>
  <c r="C470" i="16"/>
  <c r="D470" i="16"/>
  <c r="E470" i="16"/>
  <c r="G470" i="16" s="1"/>
  <c r="I470" i="16"/>
  <c r="J470" i="16"/>
  <c r="B471" i="16"/>
  <c r="C471" i="16"/>
  <c r="D471" i="16"/>
  <c r="E471" i="16"/>
  <c r="G471" i="16" s="1"/>
  <c r="I471" i="16"/>
  <c r="J471" i="16"/>
  <c r="B458" i="16"/>
  <c r="C458" i="16"/>
  <c r="D458" i="16"/>
  <c r="E458" i="16"/>
  <c r="G458" i="16" s="1"/>
  <c r="I458" i="16"/>
  <c r="B473" i="16"/>
  <c r="C473" i="16"/>
  <c r="D473" i="16"/>
  <c r="E473" i="16"/>
  <c r="G473" i="16" s="1"/>
  <c r="I473" i="16"/>
  <c r="J473" i="16"/>
  <c r="B475" i="16"/>
  <c r="C475" i="16"/>
  <c r="D475" i="16"/>
  <c r="E475" i="16"/>
  <c r="G475" i="16" s="1"/>
  <c r="I475" i="16"/>
  <c r="J475" i="16"/>
  <c r="B474" i="16"/>
  <c r="C474" i="16"/>
  <c r="D474" i="16"/>
  <c r="E474" i="16"/>
  <c r="G474" i="16" s="1"/>
  <c r="I474" i="16"/>
  <c r="J474" i="16"/>
  <c r="B476" i="16"/>
  <c r="C476" i="16"/>
  <c r="D476" i="16"/>
  <c r="E476" i="16"/>
  <c r="G476" i="16" s="1"/>
  <c r="I476" i="16"/>
  <c r="J476" i="16"/>
  <c r="B465" i="16"/>
  <c r="C465" i="16"/>
  <c r="D465" i="16"/>
  <c r="E465" i="16"/>
  <c r="G465" i="16" s="1"/>
  <c r="I465" i="16"/>
  <c r="J465" i="16"/>
  <c r="B478" i="16"/>
  <c r="C478" i="16"/>
  <c r="D478" i="16"/>
  <c r="E478" i="16"/>
  <c r="G478" i="16" s="1"/>
  <c r="I478" i="16"/>
  <c r="J478" i="16"/>
  <c r="B460" i="16"/>
  <c r="C460" i="16"/>
  <c r="D460" i="16"/>
  <c r="E460" i="16"/>
  <c r="G460" i="16" s="1"/>
  <c r="I460" i="16"/>
  <c r="J460" i="16"/>
  <c r="B461" i="16"/>
  <c r="C461" i="16"/>
  <c r="D461" i="16"/>
  <c r="E461" i="16"/>
  <c r="G461" i="16" s="1"/>
  <c r="I461" i="16"/>
  <c r="J461" i="16"/>
  <c r="B486" i="16"/>
  <c r="C486" i="16"/>
  <c r="D486" i="16"/>
  <c r="E486" i="16"/>
  <c r="G486" i="16" s="1"/>
  <c r="I486" i="16"/>
  <c r="J486" i="16"/>
  <c r="O486" i="16"/>
  <c r="B552" i="16"/>
  <c r="C552" i="16"/>
  <c r="D552" i="16"/>
  <c r="E552" i="16"/>
  <c r="G552" i="16" s="1"/>
  <c r="I552" i="16"/>
  <c r="J552" i="16"/>
  <c r="O552" i="16"/>
  <c r="B553" i="16"/>
  <c r="C553" i="16"/>
  <c r="D553" i="16"/>
  <c r="E553" i="16"/>
  <c r="G553" i="16" s="1"/>
  <c r="I553" i="16"/>
  <c r="J553" i="16"/>
  <c r="B509" i="16"/>
  <c r="C509" i="16"/>
  <c r="D509" i="16"/>
  <c r="E509" i="16"/>
  <c r="G509" i="16" s="1"/>
  <c r="I509" i="16"/>
  <c r="J509" i="16"/>
  <c r="B545" i="16"/>
  <c r="C545" i="16"/>
  <c r="D545" i="16"/>
  <c r="E545" i="16"/>
  <c r="G545" i="16" s="1"/>
  <c r="I545" i="16"/>
  <c r="J545" i="16"/>
  <c r="B481" i="16"/>
  <c r="C481" i="16"/>
  <c r="D481" i="16"/>
  <c r="E481" i="16"/>
  <c r="G481" i="16" s="1"/>
  <c r="I481" i="16"/>
  <c r="J481" i="16"/>
  <c r="B496" i="16"/>
  <c r="C496" i="16"/>
  <c r="D496" i="16"/>
  <c r="E496" i="16"/>
  <c r="G496" i="16" s="1"/>
  <c r="I496" i="16"/>
  <c r="J496" i="16"/>
  <c r="O496" i="16"/>
  <c r="B541" i="16"/>
  <c r="C541" i="16"/>
  <c r="D541" i="16"/>
  <c r="E541" i="16"/>
  <c r="G541" i="16" s="1"/>
  <c r="I541" i="16"/>
  <c r="J541" i="16"/>
  <c r="B526" i="16"/>
  <c r="C526" i="16"/>
  <c r="D526" i="16"/>
  <c r="E526" i="16"/>
  <c r="G526" i="16" s="1"/>
  <c r="I526" i="16"/>
  <c r="J526" i="16"/>
  <c r="B513" i="16"/>
  <c r="C513" i="16"/>
  <c r="D513" i="16"/>
  <c r="E513" i="16"/>
  <c r="G513" i="16" s="1"/>
  <c r="I513" i="16"/>
  <c r="J513" i="16"/>
  <c r="B517" i="16"/>
  <c r="C517" i="16"/>
  <c r="D517" i="16"/>
  <c r="E517" i="16"/>
  <c r="G517" i="16" s="1"/>
  <c r="I517" i="16"/>
  <c r="J517" i="16"/>
  <c r="O517" i="16"/>
  <c r="B485" i="16"/>
  <c r="C485" i="16"/>
  <c r="D485" i="16"/>
  <c r="E485" i="16"/>
  <c r="G485" i="16" s="1"/>
  <c r="I485" i="16"/>
  <c r="J485" i="16"/>
  <c r="B527" i="16"/>
  <c r="C527" i="16"/>
  <c r="D527" i="16"/>
  <c r="E527" i="16"/>
  <c r="G527" i="16" s="1"/>
  <c r="I527" i="16"/>
  <c r="J527" i="16"/>
  <c r="B554" i="16"/>
  <c r="C554" i="16"/>
  <c r="D554" i="16"/>
  <c r="E554" i="16"/>
  <c r="G554" i="16" s="1"/>
  <c r="I554" i="16"/>
  <c r="J554" i="16"/>
  <c r="B525" i="16"/>
  <c r="C525" i="16"/>
  <c r="D525" i="16"/>
  <c r="E525" i="16"/>
  <c r="G525" i="16" s="1"/>
  <c r="I525" i="16"/>
  <c r="J525" i="16"/>
  <c r="O525" i="16"/>
  <c r="B519" i="16"/>
  <c r="C519" i="16"/>
  <c r="D519" i="16"/>
  <c r="E519" i="16"/>
  <c r="G519" i="16" s="1"/>
  <c r="I519" i="16"/>
  <c r="J519" i="16"/>
  <c r="B531" i="16"/>
  <c r="C531" i="16"/>
  <c r="D531" i="16"/>
  <c r="E531" i="16"/>
  <c r="G531" i="16" s="1"/>
  <c r="I531" i="16"/>
  <c r="J531" i="16"/>
  <c r="B532" i="16"/>
  <c r="C532" i="16"/>
  <c r="D532" i="16"/>
  <c r="E532" i="16"/>
  <c r="G532" i="16" s="1"/>
  <c r="I532" i="16"/>
  <c r="J532" i="16"/>
  <c r="O532" i="16"/>
  <c r="B492" i="16"/>
  <c r="C492" i="16"/>
  <c r="D492" i="16"/>
  <c r="E492" i="16"/>
  <c r="G492" i="16" s="1"/>
  <c r="I492" i="16"/>
  <c r="J492" i="16"/>
  <c r="B516" i="16"/>
  <c r="C516" i="16"/>
  <c r="D516" i="16"/>
  <c r="E516" i="16"/>
  <c r="G516" i="16" s="1"/>
  <c r="I516" i="16"/>
  <c r="J516" i="16"/>
  <c r="O516" i="16"/>
  <c r="B500" i="16"/>
  <c r="C500" i="16"/>
  <c r="D500" i="16"/>
  <c r="E500" i="16"/>
  <c r="G500" i="16" s="1"/>
  <c r="I500" i="16"/>
  <c r="J500" i="16"/>
  <c r="O500" i="16"/>
  <c r="B534" i="16"/>
  <c r="C534" i="16"/>
  <c r="D534" i="16"/>
  <c r="E534" i="16"/>
  <c r="G534" i="16" s="1"/>
  <c r="I534" i="16"/>
  <c r="J534" i="16"/>
  <c r="B504" i="16"/>
  <c r="C504" i="16"/>
  <c r="D504" i="16"/>
  <c r="E504" i="16"/>
  <c r="G504" i="16" s="1"/>
  <c r="I504" i="16"/>
  <c r="J504" i="16"/>
  <c r="B490" i="16"/>
  <c r="C490" i="16"/>
  <c r="D490" i="16"/>
  <c r="E490" i="16"/>
  <c r="G490" i="16" s="1"/>
  <c r="I490" i="16"/>
  <c r="J490" i="16"/>
  <c r="O490" i="16"/>
  <c r="B514" i="16"/>
  <c r="C514" i="16"/>
  <c r="D514" i="16"/>
  <c r="E514" i="16"/>
  <c r="G514" i="16" s="1"/>
  <c r="I514" i="16"/>
  <c r="J514" i="16"/>
  <c r="B528" i="16"/>
  <c r="C528" i="16"/>
  <c r="D528" i="16"/>
  <c r="E528" i="16"/>
  <c r="G528" i="16" s="1"/>
  <c r="I528" i="16"/>
  <c r="J528" i="16"/>
  <c r="B507" i="16"/>
  <c r="C507" i="16"/>
  <c r="D507" i="16"/>
  <c r="E507" i="16"/>
  <c r="G507" i="16" s="1"/>
  <c r="I507" i="16"/>
  <c r="J507" i="16"/>
  <c r="B556" i="16"/>
  <c r="C556" i="16"/>
  <c r="D556" i="16"/>
  <c r="E556" i="16"/>
  <c r="G556" i="16" s="1"/>
  <c r="I556" i="16"/>
  <c r="J556" i="16"/>
  <c r="O556" i="16"/>
  <c r="B535" i="16"/>
  <c r="C535" i="16"/>
  <c r="D535" i="16"/>
  <c r="E535" i="16"/>
  <c r="G535" i="16" s="1"/>
  <c r="I535" i="16"/>
  <c r="J535" i="16"/>
  <c r="B497" i="16"/>
  <c r="C497" i="16"/>
  <c r="D497" i="16"/>
  <c r="F497" i="16" s="1"/>
  <c r="E497" i="16"/>
  <c r="G497" i="16" s="1"/>
  <c r="I497" i="16"/>
  <c r="J497" i="16"/>
  <c r="O497" i="16"/>
  <c r="B484" i="16"/>
  <c r="C484" i="16"/>
  <c r="D484" i="16"/>
  <c r="E484" i="16"/>
  <c r="G484" i="16" s="1"/>
  <c r="I484" i="16"/>
  <c r="J484" i="16"/>
  <c r="O484" i="16"/>
  <c r="B501" i="16"/>
  <c r="C501" i="16"/>
  <c r="D501" i="16"/>
  <c r="E501" i="16"/>
  <c r="G501" i="16" s="1"/>
  <c r="I501" i="16"/>
  <c r="J501" i="16"/>
  <c r="O501" i="16"/>
  <c r="B539" i="16"/>
  <c r="C539" i="16"/>
  <c r="D539" i="16"/>
  <c r="E539" i="16"/>
  <c r="G539" i="16" s="1"/>
  <c r="I539" i="16"/>
  <c r="J539" i="16"/>
  <c r="O539" i="16"/>
  <c r="B543" i="16"/>
  <c r="C543" i="16"/>
  <c r="D543" i="16"/>
  <c r="E543" i="16"/>
  <c r="G543" i="16" s="1"/>
  <c r="I543" i="16"/>
  <c r="J543" i="16"/>
  <c r="O543" i="16"/>
  <c r="B483" i="16"/>
  <c r="C483" i="16"/>
  <c r="D483" i="16"/>
  <c r="E483" i="16"/>
  <c r="G483" i="16" s="1"/>
  <c r="I483" i="16"/>
  <c r="J483" i="16"/>
  <c r="O483" i="16"/>
  <c r="B540" i="16"/>
  <c r="C540" i="16"/>
  <c r="D540" i="16"/>
  <c r="E540" i="16"/>
  <c r="G540" i="16" s="1"/>
  <c r="I540" i="16"/>
  <c r="J540" i="16"/>
  <c r="B499" i="16"/>
  <c r="C499" i="16"/>
  <c r="D499" i="16"/>
  <c r="E499" i="16"/>
  <c r="G499" i="16" s="1"/>
  <c r="I499" i="16"/>
  <c r="J499" i="16"/>
  <c r="B557" i="16"/>
  <c r="C557" i="16"/>
  <c r="D557" i="16"/>
  <c r="E557" i="16"/>
  <c r="G557" i="16" s="1"/>
  <c r="I557" i="16"/>
  <c r="J557" i="16"/>
  <c r="O557" i="16"/>
  <c r="B536" i="16"/>
  <c r="C536" i="16"/>
  <c r="D536" i="16"/>
  <c r="E536" i="16"/>
  <c r="G536" i="16" s="1"/>
  <c r="I536" i="16"/>
  <c r="J536" i="16"/>
  <c r="O536" i="16"/>
  <c r="B482" i="16"/>
  <c r="C482" i="16"/>
  <c r="D482" i="16"/>
  <c r="E482" i="16"/>
  <c r="G482" i="16" s="1"/>
  <c r="I482" i="16"/>
  <c r="J482" i="16"/>
  <c r="B555" i="16"/>
  <c r="C555" i="16"/>
  <c r="D555" i="16"/>
  <c r="E555" i="16"/>
  <c r="G555" i="16" s="1"/>
  <c r="I555" i="16"/>
  <c r="J555" i="16"/>
  <c r="O555" i="16"/>
  <c r="B551" i="16"/>
  <c r="C551" i="16"/>
  <c r="D551" i="16"/>
  <c r="E551" i="16"/>
  <c r="G551" i="16" s="1"/>
  <c r="I551" i="16"/>
  <c r="J551" i="16"/>
  <c r="O551" i="16"/>
  <c r="B547" i="16"/>
  <c r="C547" i="16"/>
  <c r="D547" i="16"/>
  <c r="E547" i="16"/>
  <c r="G547" i="16" s="1"/>
  <c r="I547" i="16"/>
  <c r="J547" i="16"/>
  <c r="B548" i="16"/>
  <c r="C548" i="16"/>
  <c r="D548" i="16"/>
  <c r="E548" i="16"/>
  <c r="G548" i="16" s="1"/>
  <c r="I548" i="16"/>
  <c r="J548" i="16"/>
  <c r="O548" i="16"/>
  <c r="B549" i="16"/>
  <c r="C549" i="16"/>
  <c r="D549" i="16"/>
  <c r="E549" i="16"/>
  <c r="G549" i="16" s="1"/>
  <c r="I549" i="16"/>
  <c r="J549" i="16"/>
  <c r="B491" i="16"/>
  <c r="C491" i="16"/>
  <c r="D491" i="16"/>
  <c r="E491" i="16"/>
  <c r="G491" i="16" s="1"/>
  <c r="I491" i="16"/>
  <c r="J491" i="16"/>
  <c r="O491" i="16"/>
  <c r="B515" i="16"/>
  <c r="C515" i="16"/>
  <c r="D515" i="16"/>
  <c r="E515" i="16"/>
  <c r="G515" i="16" s="1"/>
  <c r="I515" i="16"/>
  <c r="J515" i="16"/>
  <c r="O515" i="16"/>
  <c r="B512" i="16"/>
  <c r="C512" i="16"/>
  <c r="D512" i="16"/>
  <c r="E512" i="16"/>
  <c r="G512" i="16" s="1"/>
  <c r="I512" i="16"/>
  <c r="J512" i="16"/>
  <c r="O512" i="16"/>
  <c r="B521" i="16"/>
  <c r="C521" i="16"/>
  <c r="D521" i="16"/>
  <c r="E521" i="16"/>
  <c r="G521" i="16" s="1"/>
  <c r="I521" i="16"/>
  <c r="J521" i="16"/>
  <c r="B495" i="16"/>
  <c r="C495" i="16"/>
  <c r="D495" i="16"/>
  <c r="E495" i="16"/>
  <c r="G495" i="16" s="1"/>
  <c r="I495" i="16"/>
  <c r="J495" i="16"/>
  <c r="B537" i="16"/>
  <c r="C537" i="16"/>
  <c r="D537" i="16"/>
  <c r="E537" i="16"/>
  <c r="G537" i="16" s="1"/>
  <c r="I537" i="16"/>
  <c r="J537" i="16"/>
  <c r="O537" i="16"/>
  <c r="B559" i="16"/>
  <c r="C559" i="16"/>
  <c r="D559" i="16"/>
  <c r="E559" i="16"/>
  <c r="G559" i="16" s="1"/>
  <c r="I559" i="16"/>
  <c r="J559" i="16"/>
  <c r="B487" i="16"/>
  <c r="C487" i="16"/>
  <c r="D487" i="16"/>
  <c r="E487" i="16"/>
  <c r="G487" i="16" s="1"/>
  <c r="I487" i="16"/>
  <c r="J487" i="16"/>
  <c r="B564" i="16"/>
  <c r="C564" i="16"/>
  <c r="D564" i="16"/>
  <c r="E564" i="16"/>
  <c r="G564" i="16" s="1"/>
  <c r="I564" i="16"/>
  <c r="J564" i="16"/>
  <c r="B508" i="16"/>
  <c r="C508" i="16"/>
  <c r="D508" i="16"/>
  <c r="E508" i="16"/>
  <c r="G508" i="16" s="1"/>
  <c r="I508" i="16"/>
  <c r="J508" i="16"/>
  <c r="B529" i="16"/>
  <c r="C529" i="16"/>
  <c r="D529" i="16"/>
  <c r="E529" i="16"/>
  <c r="G529" i="16" s="1"/>
  <c r="I529" i="16"/>
  <c r="J529" i="16"/>
  <c r="B494" i="16"/>
  <c r="C494" i="16"/>
  <c r="D494" i="16"/>
  <c r="E494" i="16"/>
  <c r="G494" i="16" s="1"/>
  <c r="I494" i="16"/>
  <c r="J494" i="16"/>
  <c r="O494" i="16"/>
  <c r="B518" i="16"/>
  <c r="C518" i="16"/>
  <c r="D518" i="16"/>
  <c r="E518" i="16"/>
  <c r="G518" i="16" s="1"/>
  <c r="I518" i="16"/>
  <c r="J518" i="16"/>
  <c r="O518" i="16"/>
  <c r="B542" i="16"/>
  <c r="C542" i="16"/>
  <c r="D542" i="16"/>
  <c r="E542" i="16"/>
  <c r="G542" i="16" s="1"/>
  <c r="I542" i="16"/>
  <c r="J542" i="16"/>
  <c r="O542" i="16"/>
  <c r="B520" i="16"/>
  <c r="C520" i="16"/>
  <c r="D520" i="16"/>
  <c r="E520" i="16"/>
  <c r="G520" i="16" s="1"/>
  <c r="I520" i="16"/>
  <c r="J520" i="16"/>
  <c r="O520" i="16"/>
  <c r="B493" i="16"/>
  <c r="C493" i="16"/>
  <c r="D493" i="16"/>
  <c r="I493" i="16"/>
  <c r="J493" i="16"/>
  <c r="O493" i="16"/>
  <c r="B522" i="16"/>
  <c r="C522" i="16"/>
  <c r="D522" i="16"/>
  <c r="E522" i="16"/>
  <c r="G522" i="16" s="1"/>
  <c r="I522" i="16"/>
  <c r="J522" i="16"/>
  <c r="B488" i="16"/>
  <c r="C488" i="16"/>
  <c r="D488" i="16"/>
  <c r="E488" i="16"/>
  <c r="G488" i="16" s="1"/>
  <c r="I488" i="16"/>
  <c r="J488" i="16"/>
  <c r="B562" i="16"/>
  <c r="C562" i="16"/>
  <c r="D562" i="16"/>
  <c r="E562" i="16"/>
  <c r="G562" i="16" s="1"/>
  <c r="I562" i="16"/>
  <c r="J562" i="16"/>
  <c r="B480" i="16"/>
  <c r="C480" i="16"/>
  <c r="D480" i="16"/>
  <c r="E480" i="16"/>
  <c r="G480" i="16" s="1"/>
  <c r="I480" i="16"/>
  <c r="J480" i="16"/>
  <c r="O480" i="16"/>
  <c r="B511" i="16"/>
  <c r="C511" i="16"/>
  <c r="D511" i="16"/>
  <c r="E511" i="16"/>
  <c r="G511" i="16" s="1"/>
  <c r="I511" i="16"/>
  <c r="J511" i="16"/>
  <c r="B489" i="16"/>
  <c r="C489" i="16"/>
  <c r="D489" i="16"/>
  <c r="E489" i="16"/>
  <c r="G489" i="16" s="1"/>
  <c r="I489" i="16"/>
  <c r="J489" i="16"/>
  <c r="B498" i="16"/>
  <c r="C498" i="16"/>
  <c r="D498" i="16"/>
  <c r="E498" i="16"/>
  <c r="G498" i="16" s="1"/>
  <c r="I498" i="16"/>
  <c r="J498" i="16"/>
  <c r="B544" i="16"/>
  <c r="C544" i="16"/>
  <c r="D544" i="16"/>
  <c r="F544" i="16" s="1"/>
  <c r="E544" i="16"/>
  <c r="G544" i="16" s="1"/>
  <c r="I544" i="16"/>
  <c r="J544" i="16"/>
  <c r="O544" i="16"/>
  <c r="B523" i="16"/>
  <c r="C523" i="16"/>
  <c r="D523" i="16"/>
  <c r="E523" i="16"/>
  <c r="G523" i="16" s="1"/>
  <c r="I523" i="16"/>
  <c r="J523" i="16"/>
  <c r="B524" i="16"/>
  <c r="C524" i="16"/>
  <c r="D524" i="16"/>
  <c r="E524" i="16"/>
  <c r="G524" i="16" s="1"/>
  <c r="I524" i="16"/>
  <c r="J524" i="16"/>
  <c r="B530" i="16"/>
  <c r="C530" i="16"/>
  <c r="D530" i="16"/>
  <c r="E530" i="16"/>
  <c r="G530" i="16" s="1"/>
  <c r="I530" i="16"/>
  <c r="J530" i="16"/>
  <c r="B503" i="16"/>
  <c r="C503" i="16"/>
  <c r="D503" i="16"/>
  <c r="E503" i="16"/>
  <c r="G503" i="16" s="1"/>
  <c r="I503" i="16"/>
  <c r="J503" i="16"/>
  <c r="B510" i="16"/>
  <c r="C510" i="16"/>
  <c r="D510" i="16"/>
  <c r="E510" i="16"/>
  <c r="G510" i="16" s="1"/>
  <c r="I510" i="16"/>
  <c r="J510" i="16"/>
  <c r="B502" i="16"/>
  <c r="C502" i="16"/>
  <c r="D502" i="16"/>
  <c r="E502" i="16"/>
  <c r="G502" i="16" s="1"/>
  <c r="I502" i="16"/>
  <c r="J502" i="16"/>
  <c r="B533" i="16"/>
  <c r="C533" i="16"/>
  <c r="D533" i="16"/>
  <c r="E533" i="16"/>
  <c r="G533" i="16" s="1"/>
  <c r="I533" i="16"/>
  <c r="J533" i="16"/>
  <c r="O533" i="16"/>
  <c r="B560" i="16"/>
  <c r="C560" i="16"/>
  <c r="D560" i="16"/>
  <c r="E560" i="16"/>
  <c r="G560" i="16" s="1"/>
  <c r="I560" i="16"/>
  <c r="J560" i="16"/>
  <c r="O560" i="16"/>
  <c r="B561" i="16"/>
  <c r="C561" i="16"/>
  <c r="D561" i="16"/>
  <c r="E561" i="16"/>
  <c r="G561" i="16" s="1"/>
  <c r="I561" i="16"/>
  <c r="J561" i="16"/>
  <c r="O561" i="16"/>
  <c r="B558" i="16"/>
  <c r="C558" i="16"/>
  <c r="D558" i="16"/>
  <c r="E558" i="16"/>
  <c r="G558" i="16" s="1"/>
  <c r="I558" i="16"/>
  <c r="J558" i="16"/>
  <c r="O558" i="16"/>
  <c r="B538" i="16"/>
  <c r="C538" i="16"/>
  <c r="D538" i="16"/>
  <c r="E538" i="16"/>
  <c r="G538" i="16" s="1"/>
  <c r="I538" i="16"/>
  <c r="J538" i="16"/>
  <c r="B546" i="16"/>
  <c r="C546" i="16"/>
  <c r="D546" i="16"/>
  <c r="E546" i="16"/>
  <c r="G546" i="16" s="1"/>
  <c r="I546" i="16"/>
  <c r="J546" i="16"/>
  <c r="B550" i="16"/>
  <c r="C550" i="16"/>
  <c r="D550" i="16"/>
  <c r="E550" i="16"/>
  <c r="G550" i="16" s="1"/>
  <c r="I550" i="16"/>
  <c r="J550" i="16"/>
  <c r="B563" i="16"/>
  <c r="C563" i="16"/>
  <c r="D563" i="16"/>
  <c r="E563" i="16"/>
  <c r="G563" i="16" s="1"/>
  <c r="I563" i="16"/>
  <c r="J563" i="16"/>
  <c r="B505" i="16"/>
  <c r="C505" i="16"/>
  <c r="D505" i="16"/>
  <c r="E505" i="16"/>
  <c r="G505" i="16" s="1"/>
  <c r="I505" i="16"/>
  <c r="J505" i="16"/>
  <c r="B569" i="16"/>
  <c r="C569" i="16"/>
  <c r="D569" i="16"/>
  <c r="E569" i="16"/>
  <c r="G569" i="16" s="1"/>
  <c r="I569" i="16"/>
  <c r="J569" i="16"/>
  <c r="B570" i="16"/>
  <c r="C570" i="16"/>
  <c r="D570" i="16"/>
  <c r="E570" i="16"/>
  <c r="G570" i="16" s="1"/>
  <c r="I570" i="16"/>
  <c r="J570" i="16"/>
  <c r="B578" i="16"/>
  <c r="C578" i="16"/>
  <c r="D578" i="16"/>
  <c r="E578" i="16"/>
  <c r="G578" i="16" s="1"/>
  <c r="I578" i="16"/>
  <c r="J578" i="16"/>
  <c r="B574" i="16"/>
  <c r="C574" i="16"/>
  <c r="D574" i="16"/>
  <c r="E574" i="16"/>
  <c r="G574" i="16" s="1"/>
  <c r="I574" i="16"/>
  <c r="J574" i="16"/>
  <c r="B577" i="16"/>
  <c r="C577" i="16"/>
  <c r="D577" i="16"/>
  <c r="E577" i="16"/>
  <c r="G577" i="16" s="1"/>
  <c r="I577" i="16"/>
  <c r="J577" i="16"/>
  <c r="B571" i="16"/>
  <c r="C571" i="16"/>
  <c r="D571" i="16"/>
  <c r="E571" i="16"/>
  <c r="G571" i="16" s="1"/>
  <c r="I571" i="16"/>
  <c r="J571" i="16"/>
  <c r="B576" i="16"/>
  <c r="C576" i="16"/>
  <c r="D576" i="16"/>
  <c r="E576" i="16"/>
  <c r="G576" i="16" s="1"/>
  <c r="I576" i="16"/>
  <c r="J576" i="16"/>
  <c r="B573" i="16"/>
  <c r="D573" i="16"/>
  <c r="E573" i="16"/>
  <c r="G573" i="16" s="1"/>
  <c r="I573" i="16"/>
  <c r="J573" i="16"/>
  <c r="B572" i="16"/>
  <c r="C572" i="16"/>
  <c r="D572" i="16"/>
  <c r="E572" i="16"/>
  <c r="G572" i="16" s="1"/>
  <c r="I572" i="16"/>
  <c r="J572" i="16"/>
  <c r="B575" i="16"/>
  <c r="C575" i="16"/>
  <c r="D575" i="16"/>
  <c r="E575" i="16"/>
  <c r="G575" i="16" s="1"/>
  <c r="I575" i="16"/>
  <c r="J575" i="16"/>
  <c r="B579" i="16"/>
  <c r="C579" i="16"/>
  <c r="D579" i="16"/>
  <c r="E579" i="16"/>
  <c r="G579" i="16" s="1"/>
  <c r="I579" i="16"/>
  <c r="J579" i="16"/>
  <c r="AA443" i="16" l="1"/>
  <c r="F443" i="16"/>
  <c r="AA378" i="16"/>
  <c r="F378" i="16"/>
  <c r="AA336" i="16"/>
  <c r="F336" i="16"/>
  <c r="AA321" i="16"/>
  <c r="F321" i="16"/>
  <c r="AA319" i="16"/>
  <c r="F319" i="16"/>
  <c r="AA444" i="16"/>
  <c r="F444" i="16"/>
  <c r="AA379" i="16"/>
  <c r="F379" i="16"/>
  <c r="AA337" i="16"/>
  <c r="F337" i="16"/>
  <c r="AA322" i="16"/>
  <c r="F322" i="16"/>
  <c r="AA320" i="16"/>
  <c r="F320" i="16"/>
  <c r="AA356" i="16"/>
  <c r="F356" i="16"/>
  <c r="AA332" i="16"/>
  <c r="F332" i="16"/>
  <c r="AA333" i="16"/>
  <c r="F333" i="16"/>
  <c r="AA349" i="16"/>
  <c r="F349" i="16"/>
  <c r="AA338" i="16"/>
  <c r="F338" i="16"/>
  <c r="AA340" i="16"/>
  <c r="F340" i="16"/>
  <c r="AA344" i="16"/>
  <c r="F344" i="16"/>
  <c r="AA352" i="16"/>
  <c r="F352" i="16"/>
  <c r="AA339" i="16"/>
  <c r="F339" i="16"/>
  <c r="AA341" i="16"/>
  <c r="F341" i="16"/>
  <c r="AA345" i="16"/>
  <c r="F345" i="16"/>
  <c r="AA450" i="16"/>
  <c r="F450" i="16"/>
  <c r="AA449" i="16"/>
  <c r="F449" i="16"/>
  <c r="AA364" i="16"/>
  <c r="F364" i="16"/>
  <c r="AA427" i="16"/>
  <c r="F427" i="16"/>
  <c r="AA365" i="16"/>
  <c r="F365" i="16"/>
  <c r="AA428" i="16"/>
  <c r="F428" i="16"/>
  <c r="AA312" i="16"/>
  <c r="F312" i="16"/>
  <c r="AA311" i="16"/>
  <c r="F311" i="16"/>
  <c r="AA452" i="16"/>
  <c r="F452" i="16"/>
  <c r="AA451" i="16"/>
  <c r="F451" i="16"/>
  <c r="AA329" i="16"/>
  <c r="F329" i="16"/>
  <c r="AA330" i="16"/>
  <c r="F330" i="16"/>
  <c r="AA393" i="16"/>
  <c r="F393" i="16"/>
  <c r="AA394" i="16"/>
  <c r="F394" i="16"/>
  <c r="AA342" i="16"/>
  <c r="F342" i="16"/>
  <c r="AA350" i="16"/>
  <c r="F350" i="16"/>
  <c r="AA343" i="16"/>
  <c r="F343" i="16"/>
  <c r="AA351" i="16"/>
  <c r="F351" i="16"/>
  <c r="AA429" i="16"/>
  <c r="F429" i="16"/>
  <c r="AA430" i="16"/>
  <c r="F430" i="16"/>
  <c r="AA334" i="16"/>
  <c r="F334" i="16"/>
  <c r="AA407" i="16"/>
  <c r="F407" i="16"/>
  <c r="AA409" i="16"/>
  <c r="F409" i="16"/>
  <c r="AA335" i="16"/>
  <c r="F335" i="16"/>
  <c r="AA408" i="16"/>
  <c r="F408" i="16"/>
  <c r="AA410" i="16"/>
  <c r="F410" i="16"/>
  <c r="AA315" i="16"/>
  <c r="F315" i="16"/>
  <c r="AA313" i="16"/>
  <c r="F313" i="16"/>
  <c r="AA314" i="16"/>
  <c r="F314" i="16"/>
  <c r="AA316" i="16"/>
  <c r="F316" i="16"/>
  <c r="AA368" i="16"/>
  <c r="F368" i="16"/>
  <c r="AA376" i="16"/>
  <c r="F376" i="16"/>
  <c r="AA369" i="16"/>
  <c r="F369" i="16"/>
  <c r="AA377" i="16"/>
  <c r="F377" i="16"/>
  <c r="AA412" i="16"/>
  <c r="F412" i="16"/>
  <c r="AA411" i="16"/>
  <c r="F411" i="16"/>
  <c r="AA388" i="16"/>
  <c r="F388" i="16"/>
  <c r="AA389" i="16"/>
  <c r="F389" i="16"/>
  <c r="AA397" i="16"/>
  <c r="F397" i="16"/>
  <c r="AA398" i="16"/>
  <c r="F398" i="16"/>
  <c r="AA419" i="16"/>
  <c r="F419" i="16"/>
  <c r="AA420" i="16"/>
  <c r="F420" i="16"/>
  <c r="AA372" i="16"/>
  <c r="F372" i="16"/>
  <c r="AA323" i="16"/>
  <c r="F323" i="16"/>
  <c r="AA325" i="16"/>
  <c r="F325" i="16"/>
  <c r="AA374" i="16"/>
  <c r="F374" i="16"/>
  <c r="AA324" i="16"/>
  <c r="F324" i="16"/>
  <c r="AA326" i="16"/>
  <c r="F326" i="16"/>
  <c r="AA328" i="16"/>
  <c r="F328" i="16"/>
  <c r="AA399" i="16"/>
  <c r="F399" i="16"/>
  <c r="AA400" i="16"/>
  <c r="F400" i="16"/>
  <c r="AA454" i="16"/>
  <c r="F454" i="16"/>
  <c r="AA453" i="16"/>
  <c r="F453" i="16"/>
  <c r="AA385" i="16"/>
  <c r="F385" i="16"/>
  <c r="AA384" i="16"/>
  <c r="F384" i="16"/>
  <c r="AA360" i="16"/>
  <c r="F360" i="16"/>
  <c r="AA414" i="16"/>
  <c r="F414" i="16"/>
  <c r="AA413" i="16"/>
  <c r="F413" i="16"/>
  <c r="AA416" i="16"/>
  <c r="F416" i="16"/>
  <c r="AA415" i="16"/>
  <c r="F415" i="16"/>
  <c r="AA418" i="16"/>
  <c r="F418" i="16"/>
  <c r="AA417" i="16"/>
  <c r="F417" i="16"/>
  <c r="AA346" i="16"/>
  <c r="F346" i="16"/>
  <c r="AA347" i="16"/>
  <c r="F347" i="16"/>
  <c r="AA386" i="16"/>
  <c r="F386" i="16"/>
  <c r="AA387" i="16"/>
  <c r="F387" i="16"/>
  <c r="AA431" i="16"/>
  <c r="F431" i="16"/>
  <c r="AA433" i="16"/>
  <c r="F433" i="16"/>
  <c r="AA317" i="16"/>
  <c r="F317" i="16"/>
  <c r="AA318" i="16"/>
  <c r="F318" i="16"/>
  <c r="AA447" i="16"/>
  <c r="F447" i="16"/>
  <c r="AA448" i="16"/>
  <c r="F448" i="16"/>
  <c r="AA355" i="16"/>
  <c r="F355" i="16"/>
  <c r="AA363" i="16"/>
  <c r="F363" i="16"/>
  <c r="AA436" i="16"/>
  <c r="F436" i="16"/>
  <c r="AA438" i="16"/>
  <c r="F438" i="16"/>
  <c r="AA440" i="16"/>
  <c r="F440" i="16"/>
  <c r="AA442" i="16"/>
  <c r="F442" i="16"/>
  <c r="AA370" i="16"/>
  <c r="F370" i="16"/>
  <c r="AA371" i="16"/>
  <c r="F371" i="16"/>
  <c r="AA382" i="16"/>
  <c r="F382" i="16"/>
  <c r="AA383" i="16"/>
  <c r="F383" i="16"/>
  <c r="AA434" i="16"/>
  <c r="F434" i="16"/>
  <c r="AA423" i="16"/>
  <c r="F423" i="16"/>
  <c r="AA424" i="16"/>
  <c r="F424" i="16"/>
  <c r="AA396" i="16"/>
  <c r="F396" i="16"/>
  <c r="AA395" i="16"/>
  <c r="F395" i="16"/>
  <c r="AA402" i="16"/>
  <c r="F402" i="16"/>
  <c r="AA404" i="16"/>
  <c r="F404" i="16"/>
  <c r="AA406" i="16"/>
  <c r="F406" i="16"/>
  <c r="AA401" i="16"/>
  <c r="F401" i="16"/>
  <c r="AA403" i="16"/>
  <c r="F403" i="16"/>
  <c r="AA405" i="16"/>
  <c r="F405" i="16"/>
  <c r="AA425" i="16"/>
  <c r="F425" i="16"/>
  <c r="AA426" i="16"/>
  <c r="F426" i="16"/>
  <c r="AA366" i="16"/>
  <c r="F366" i="16"/>
  <c r="AA367" i="16"/>
  <c r="F367" i="16"/>
  <c r="AA422" i="16"/>
  <c r="F422" i="16"/>
  <c r="AA421" i="16"/>
  <c r="F421" i="16"/>
  <c r="AA445" i="16"/>
  <c r="F445" i="16"/>
  <c r="AA446" i="16"/>
  <c r="F446" i="16"/>
  <c r="AA391" i="16"/>
  <c r="F391" i="16"/>
  <c r="AA392" i="16"/>
  <c r="F392" i="16"/>
  <c r="AA463" i="16"/>
  <c r="F463" i="16"/>
  <c r="AA477" i="16"/>
  <c r="F477" i="16"/>
  <c r="AA459" i="16"/>
  <c r="F459" i="16"/>
  <c r="AA457" i="16"/>
  <c r="F457" i="16"/>
  <c r="AA462" i="16"/>
  <c r="F462" i="16"/>
  <c r="AA464" i="16"/>
  <c r="F464" i="16"/>
  <c r="AA468" i="16"/>
  <c r="F468" i="16"/>
  <c r="AA472" i="16"/>
  <c r="F472" i="16"/>
  <c r="AA466" i="16"/>
  <c r="F466" i="16"/>
  <c r="AA467" i="16"/>
  <c r="F467" i="16"/>
  <c r="AA455" i="16"/>
  <c r="F455" i="16"/>
  <c r="AA456" i="16"/>
  <c r="F456" i="16"/>
  <c r="AA469" i="16"/>
  <c r="F469" i="16"/>
  <c r="AA470" i="16"/>
  <c r="F470" i="16"/>
  <c r="AA471" i="16"/>
  <c r="F471" i="16"/>
  <c r="AA458" i="16"/>
  <c r="F458" i="16"/>
  <c r="AA473" i="16"/>
  <c r="F473" i="16"/>
  <c r="AA475" i="16"/>
  <c r="F475" i="16"/>
  <c r="AA474" i="16"/>
  <c r="F474" i="16"/>
  <c r="AA476" i="16"/>
  <c r="F476" i="16"/>
  <c r="AA465" i="16"/>
  <c r="F465" i="16"/>
  <c r="AA478" i="16"/>
  <c r="F478" i="16"/>
  <c r="AA460" i="16"/>
  <c r="F460" i="16"/>
  <c r="AA461" i="16"/>
  <c r="F461" i="16"/>
  <c r="AA486" i="16"/>
  <c r="F486" i="16"/>
  <c r="AA552" i="16"/>
  <c r="F552" i="16"/>
  <c r="AA553" i="16"/>
  <c r="F553" i="16"/>
  <c r="AA509" i="16"/>
  <c r="F509" i="16"/>
  <c r="AA545" i="16"/>
  <c r="F545" i="16"/>
  <c r="AA481" i="16"/>
  <c r="F481" i="16"/>
  <c r="AA496" i="16"/>
  <c r="F496" i="16"/>
  <c r="AA541" i="16"/>
  <c r="F541" i="16"/>
  <c r="AA526" i="16"/>
  <c r="F526" i="16"/>
  <c r="AA513" i="16"/>
  <c r="F513" i="16"/>
  <c r="AA517" i="16"/>
  <c r="F517" i="16"/>
  <c r="AA485" i="16"/>
  <c r="F485" i="16"/>
  <c r="AA527" i="16"/>
  <c r="F527" i="16"/>
  <c r="AA554" i="16"/>
  <c r="F554" i="16"/>
  <c r="AA525" i="16"/>
  <c r="F525" i="16"/>
  <c r="AA519" i="16"/>
  <c r="F519" i="16"/>
  <c r="AA531" i="16"/>
  <c r="F531" i="16"/>
  <c r="AA532" i="16"/>
  <c r="F532" i="16"/>
  <c r="AA492" i="16"/>
  <c r="F492" i="16"/>
  <c r="AA516" i="16"/>
  <c r="F516" i="16"/>
  <c r="AA500" i="16"/>
  <c r="F500" i="16"/>
  <c r="AA534" i="16"/>
  <c r="F534" i="16"/>
  <c r="AA504" i="16"/>
  <c r="F504" i="16"/>
  <c r="AA490" i="16"/>
  <c r="F490" i="16"/>
  <c r="AA514" i="16"/>
  <c r="F514" i="16"/>
  <c r="AA528" i="16"/>
  <c r="F528" i="16"/>
  <c r="AA507" i="16"/>
  <c r="F507" i="16"/>
  <c r="AA556" i="16"/>
  <c r="F556" i="16"/>
  <c r="AA535" i="16"/>
  <c r="F535" i="16"/>
  <c r="AA484" i="16"/>
  <c r="F484" i="16"/>
  <c r="AA501" i="16"/>
  <c r="F501" i="16"/>
  <c r="AA539" i="16"/>
  <c r="F539" i="16"/>
  <c r="AA543" i="16"/>
  <c r="F543" i="16"/>
  <c r="AA483" i="16"/>
  <c r="F483" i="16"/>
  <c r="AA540" i="16"/>
  <c r="F540" i="16"/>
  <c r="AA499" i="16"/>
  <c r="F499" i="16"/>
  <c r="AA557" i="16"/>
  <c r="F557" i="16"/>
  <c r="AA536" i="16"/>
  <c r="F536" i="16"/>
  <c r="AA482" i="16"/>
  <c r="F482" i="16"/>
  <c r="AA555" i="16"/>
  <c r="F555" i="16"/>
  <c r="AA551" i="16"/>
  <c r="F551" i="16"/>
  <c r="AA547" i="16"/>
  <c r="F547" i="16"/>
  <c r="AA548" i="16"/>
  <c r="F548" i="16"/>
  <c r="AA549" i="16"/>
  <c r="F549" i="16"/>
  <c r="AA491" i="16"/>
  <c r="F491" i="16"/>
  <c r="AA515" i="16"/>
  <c r="F515" i="16"/>
  <c r="AA512" i="16"/>
  <c r="F512" i="16"/>
  <c r="AA521" i="16"/>
  <c r="F521" i="16"/>
  <c r="AA495" i="16"/>
  <c r="F495" i="16"/>
  <c r="AA537" i="16"/>
  <c r="F537" i="16"/>
  <c r="AA559" i="16"/>
  <c r="F559" i="16"/>
  <c r="AA487" i="16"/>
  <c r="F487" i="16"/>
  <c r="AA564" i="16"/>
  <c r="F564" i="16"/>
  <c r="AA508" i="16"/>
  <c r="F508" i="16"/>
  <c r="AA529" i="16"/>
  <c r="F529" i="16"/>
  <c r="AA494" i="16"/>
  <c r="F494" i="16"/>
  <c r="AA518" i="16"/>
  <c r="F518" i="16"/>
  <c r="AA542" i="16"/>
  <c r="F542" i="16"/>
  <c r="AA520" i="16"/>
  <c r="F520" i="16"/>
  <c r="AA493" i="16"/>
  <c r="F493" i="16"/>
  <c r="AA522" i="16"/>
  <c r="F522" i="16"/>
  <c r="AA488" i="16"/>
  <c r="F488" i="16"/>
  <c r="AA562" i="16"/>
  <c r="F562" i="16"/>
  <c r="AA480" i="16"/>
  <c r="F480" i="16"/>
  <c r="AA511" i="16"/>
  <c r="F511" i="16"/>
  <c r="AA489" i="16"/>
  <c r="F489" i="16"/>
  <c r="AA498" i="16"/>
  <c r="F498" i="16"/>
  <c r="AA523" i="16"/>
  <c r="F523" i="16"/>
  <c r="AA524" i="16"/>
  <c r="F524" i="16"/>
  <c r="AA530" i="16"/>
  <c r="F530" i="16"/>
  <c r="AA503" i="16"/>
  <c r="F503" i="16"/>
  <c r="AA510" i="16"/>
  <c r="F510" i="16"/>
  <c r="AA502" i="16"/>
  <c r="F502" i="16"/>
  <c r="AA533" i="16"/>
  <c r="F533" i="16"/>
  <c r="AA560" i="16"/>
  <c r="F560" i="16"/>
  <c r="AA561" i="16"/>
  <c r="F561" i="16"/>
  <c r="AA558" i="16"/>
  <c r="F558" i="16"/>
  <c r="AA538" i="16"/>
  <c r="F538" i="16"/>
  <c r="AA546" i="16"/>
  <c r="F546" i="16"/>
  <c r="AA550" i="16"/>
  <c r="F550" i="16"/>
  <c r="AA563" i="16"/>
  <c r="F563" i="16"/>
  <c r="AA505" i="16"/>
  <c r="F505" i="16"/>
  <c r="AA569" i="16"/>
  <c r="F569" i="16"/>
  <c r="AA570" i="16"/>
  <c r="F570" i="16"/>
  <c r="AA578" i="16"/>
  <c r="F578" i="16"/>
  <c r="AA574" i="16"/>
  <c r="F574" i="16"/>
  <c r="AA577" i="16"/>
  <c r="F577" i="16"/>
  <c r="AA571" i="16"/>
  <c r="F571" i="16"/>
  <c r="AA576" i="16"/>
  <c r="F576" i="16"/>
  <c r="AA573" i="16"/>
  <c r="F573" i="16"/>
  <c r="AA572" i="16"/>
  <c r="F572" i="16"/>
  <c r="AA575" i="16"/>
  <c r="F575" i="16"/>
  <c r="AA579" i="16"/>
  <c r="F579" i="16"/>
  <c r="AA331" i="16"/>
  <c r="AA327" i="16"/>
  <c r="AA435" i="16"/>
  <c r="AA437" i="16"/>
  <c r="AA439" i="16"/>
  <c r="AA441" i="16"/>
  <c r="AA357" i="16"/>
  <c r="AA348" i="16"/>
  <c r="AA353" i="16"/>
  <c r="AA390" i="16"/>
  <c r="AA373" i="16"/>
  <c r="AA375" i="16"/>
  <c r="AA358" i="16"/>
  <c r="AA359" i="16"/>
  <c r="AA361" i="16"/>
  <c r="AA432" i="16"/>
  <c r="AA354" i="16"/>
  <c r="AA362" i="16"/>
  <c r="AA497" i="16"/>
  <c r="AA4" i="16"/>
  <c r="AA9" i="16"/>
  <c r="AA8" i="16"/>
  <c r="AA7" i="16"/>
  <c r="AA11" i="16"/>
  <c r="AA5" i="16"/>
  <c r="AA10" i="16"/>
  <c r="AA13" i="16"/>
  <c r="AA6" i="16"/>
  <c r="AA12" i="16"/>
  <c r="AA58" i="16"/>
  <c r="AA60" i="16"/>
  <c r="AA57" i="16"/>
  <c r="AA61" i="16"/>
  <c r="AA53" i="16"/>
  <c r="AA19" i="16"/>
  <c r="AA231" i="16"/>
  <c r="AA50" i="16"/>
  <c r="AA67" i="16"/>
  <c r="AA232" i="16"/>
  <c r="AA15" i="16"/>
  <c r="AA59" i="16"/>
  <c r="AA52" i="16"/>
  <c r="AA55" i="16"/>
  <c r="AA20" i="16"/>
  <c r="AA230" i="16"/>
  <c r="AA56" i="16"/>
  <c r="AA54" i="16"/>
  <c r="AA233" i="16"/>
  <c r="AA68" i="16"/>
  <c r="AA17" i="16"/>
  <c r="AA16" i="16"/>
  <c r="AA51" i="16"/>
  <c r="AA21" i="16"/>
  <c r="AA62" i="16"/>
  <c r="AA234" i="16"/>
  <c r="AA18" i="16"/>
  <c r="AA63" i="16"/>
  <c r="AA64" i="16"/>
  <c r="AA176" i="16"/>
  <c r="AA147" i="16"/>
  <c r="AA45" i="16"/>
  <c r="AA125" i="16"/>
  <c r="AA212" i="16"/>
  <c r="AA158" i="16"/>
  <c r="AA27" i="16"/>
  <c r="AA165" i="16"/>
  <c r="AA210" i="16"/>
  <c r="AA116" i="16"/>
  <c r="AA22" i="16"/>
  <c r="AA145" i="16"/>
  <c r="AA146" i="16"/>
  <c r="AA159" i="16"/>
  <c r="AA202" i="16"/>
  <c r="AA181" i="16"/>
  <c r="AA183" i="16"/>
  <c r="AA238" i="16"/>
  <c r="AA113" i="16"/>
  <c r="AA143" i="16"/>
  <c r="AA161" i="16"/>
  <c r="AA164" i="16"/>
  <c r="AA240" i="16"/>
  <c r="AA254" i="16"/>
  <c r="AA23" i="16"/>
  <c r="AA276" i="16"/>
  <c r="AA110" i="16"/>
  <c r="AA118" i="16"/>
  <c r="AA128" i="16"/>
  <c r="AA156" i="16"/>
  <c r="AA157" i="16"/>
  <c r="AA211" i="16"/>
  <c r="AA218" i="16"/>
  <c r="AA259" i="16"/>
  <c r="AA260" i="16"/>
  <c r="AA76" i="16"/>
  <c r="AA79" i="16"/>
  <c r="AA80" i="16"/>
  <c r="AA81" i="16"/>
  <c r="AA84" i="16"/>
  <c r="AA198" i="16"/>
  <c r="AA207" i="16"/>
  <c r="AA235" i="16"/>
  <c r="AA248" i="16"/>
  <c r="AA266" i="16"/>
  <c r="AA267" i="16"/>
  <c r="AA270" i="16"/>
  <c r="AA39" i="16"/>
  <c r="AA40" i="16"/>
  <c r="AA41" i="16"/>
  <c r="AA42" i="16"/>
  <c r="AA144" i="16"/>
  <c r="AA244" i="16"/>
  <c r="AA33" i="16"/>
  <c r="AA31" i="16"/>
  <c r="AA32" i="16"/>
  <c r="AA30" i="16"/>
  <c r="AA127" i="16"/>
  <c r="AA162" i="16"/>
  <c r="AA111" i="16"/>
  <c r="AA117" i="16"/>
  <c r="AA186" i="16"/>
  <c r="AA124" i="16"/>
  <c r="AA38" i="16"/>
  <c r="AA236" i="16"/>
  <c r="AA237" i="16"/>
  <c r="AA251" i="16"/>
  <c r="AA252" i="16"/>
  <c r="AA150" i="16"/>
  <c r="AA224" i="16"/>
  <c r="AA182" i="16"/>
  <c r="AA173" i="16"/>
  <c r="AA44" i="16"/>
  <c r="AA48" i="16"/>
  <c r="AA49" i="16"/>
  <c r="AA132" i="16"/>
  <c r="AA151" i="16"/>
  <c r="AA153" i="16"/>
  <c r="AA154" i="16"/>
  <c r="AA274" i="16"/>
  <c r="AA196" i="16"/>
  <c r="AA35" i="16"/>
  <c r="AA219" i="16"/>
  <c r="AA220" i="16"/>
  <c r="AA221" i="16"/>
  <c r="AA227" i="16"/>
  <c r="AA228" i="16"/>
  <c r="AA229" i="16"/>
  <c r="AA225" i="16"/>
  <c r="AA138" i="16"/>
  <c r="AA139" i="16"/>
  <c r="AA140" i="16"/>
  <c r="AA141" i="16"/>
  <c r="AA142" i="16"/>
  <c r="AA209" i="16"/>
  <c r="AA123" i="16"/>
  <c r="AA82" i="16"/>
  <c r="AA85" i="16"/>
  <c r="AA105" i="16"/>
  <c r="AA249" i="16"/>
  <c r="AA261" i="16"/>
  <c r="AA26" i="16"/>
  <c r="AA37" i="16"/>
  <c r="AA43" i="16"/>
  <c r="AA46" i="16"/>
  <c r="AA119" i="16"/>
  <c r="AA120" i="16"/>
  <c r="AA121" i="16"/>
  <c r="AA155" i="16"/>
  <c r="AA163" i="16"/>
  <c r="AA258" i="16"/>
  <c r="AA273" i="16"/>
  <c r="AA83" i="16"/>
  <c r="AA265" i="16"/>
  <c r="AA86" i="16"/>
  <c r="AA168" i="16"/>
  <c r="AA256" i="16"/>
  <c r="AA167" i="16"/>
  <c r="AA178" i="16"/>
  <c r="AA185" i="16"/>
  <c r="AA208" i="16"/>
  <c r="AA271" i="16"/>
  <c r="AA29" i="16"/>
  <c r="AA122" i="16"/>
  <c r="AA187" i="16"/>
  <c r="AA191" i="16"/>
  <c r="AA193" i="16"/>
  <c r="AA199" i="16"/>
  <c r="AA205" i="16"/>
  <c r="AA189" i="16"/>
  <c r="AA36" i="16"/>
  <c r="AA100" i="16"/>
  <c r="AA94" i="16"/>
  <c r="AA179" i="16"/>
  <c r="AA255" i="16"/>
  <c r="AA257" i="16"/>
  <c r="AA172" i="16"/>
  <c r="AA70" i="16"/>
  <c r="AA107" i="16"/>
  <c r="AA108" i="16"/>
  <c r="AA149" i="16"/>
  <c r="AA65" i="16"/>
  <c r="AA66" i="16"/>
  <c r="AA262" i="16"/>
  <c r="AA177" i="16"/>
  <c r="AA101" i="16"/>
  <c r="AA250" i="16"/>
  <c r="AA174" i="16"/>
  <c r="AA175" i="16"/>
  <c r="AA180" i="16"/>
  <c r="AA112" i="16"/>
  <c r="AA169" i="16"/>
  <c r="AA126" i="16"/>
  <c r="AA253" i="16"/>
  <c r="AA131" i="16"/>
  <c r="AA129" i="16"/>
  <c r="AA106" i="16"/>
  <c r="AA217" i="16"/>
  <c r="AA115" i="16"/>
  <c r="AA69" i="16"/>
  <c r="AA25" i="16"/>
  <c r="AA170" i="16"/>
  <c r="AA171" i="16"/>
  <c r="AA78" i="16"/>
  <c r="AA188" i="16"/>
  <c r="AA190" i="16"/>
  <c r="AA192" i="16"/>
  <c r="AA194" i="16"/>
  <c r="AA195" i="16"/>
  <c r="AA197" i="16"/>
  <c r="AA200" i="16"/>
  <c r="AA201" i="16"/>
  <c r="AA203" i="16"/>
  <c r="AA204" i="16"/>
  <c r="AA206" i="16"/>
  <c r="AA272" i="16"/>
  <c r="AA184" i="16"/>
  <c r="AA160" i="16"/>
  <c r="AA103" i="16"/>
  <c r="AA104" i="16"/>
  <c r="AA264" i="16"/>
  <c r="AA239" i="16"/>
  <c r="AA223" i="16"/>
  <c r="AA246" i="16"/>
  <c r="AA28" i="16"/>
  <c r="AA87" i="16"/>
  <c r="AA245" i="16"/>
  <c r="AA215" i="16"/>
  <c r="AA247" i="16"/>
  <c r="AA213" i="16"/>
  <c r="AA214" i="16"/>
  <c r="AA130" i="16"/>
  <c r="AA216" i="16"/>
  <c r="AA241" i="16"/>
  <c r="AA242" i="16"/>
  <c r="AA243" i="16"/>
  <c r="AA34" i="16"/>
  <c r="AA75" i="16"/>
  <c r="AA77" i="16"/>
  <c r="AA109" i="16"/>
  <c r="AA114" i="16"/>
  <c r="AA134" i="16"/>
  <c r="AA102" i="16"/>
  <c r="AA14" i="16"/>
  <c r="AA226" i="16"/>
  <c r="AA166" i="16"/>
  <c r="AA133" i="16"/>
  <c r="AA152" i="16"/>
  <c r="AA222" i="16"/>
  <c r="AA47" i="16"/>
  <c r="AA275" i="16"/>
  <c r="AA137" i="16"/>
  <c r="AA148" i="16"/>
  <c r="AA93" i="16"/>
  <c r="AA24" i="16"/>
  <c r="AA71" i="16"/>
  <c r="AA72" i="16"/>
  <c r="AA73" i="16"/>
  <c r="AA74" i="16"/>
  <c r="AA88" i="16"/>
  <c r="AA89" i="16"/>
  <c r="AA90" i="16"/>
  <c r="AA91" i="16"/>
  <c r="AA92" i="16"/>
  <c r="AA95" i="16"/>
  <c r="AA96" i="16"/>
  <c r="AA97" i="16"/>
  <c r="AA98" i="16"/>
  <c r="AA263" i="16"/>
  <c r="AA268" i="16"/>
  <c r="AA269" i="16"/>
  <c r="AA99" i="16"/>
  <c r="AA135" i="16"/>
  <c r="AA136" i="16"/>
  <c r="AA544" i="16"/>
  <c r="E14" i="32" l="1"/>
  <c r="L34" i="31"/>
  <c r="M35" i="31"/>
  <c r="L119" i="31"/>
  <c r="L118" i="31" s="1"/>
  <c r="L100" i="31"/>
  <c r="B182" i="16"/>
  <c r="B64" i="16"/>
  <c r="B14" i="16"/>
  <c r="B22" i="16"/>
  <c r="B24" i="16"/>
  <c r="B25" i="16"/>
  <c r="B26" i="16"/>
  <c r="B27" i="16"/>
  <c r="B29" i="16"/>
  <c r="B34" i="16"/>
  <c r="B35" i="16"/>
  <c r="B36" i="16"/>
  <c r="B37" i="16"/>
  <c r="B44" i="16"/>
  <c r="B38" i="16"/>
  <c r="B43" i="16"/>
  <c r="B45" i="16"/>
  <c r="B46" i="16"/>
  <c r="B47" i="16"/>
  <c r="B48" i="16"/>
  <c r="B49" i="16"/>
  <c r="B65" i="16"/>
  <c r="B66" i="16"/>
  <c r="B69" i="16"/>
  <c r="B70" i="16"/>
  <c r="B71" i="16"/>
  <c r="B72" i="16"/>
  <c r="B73" i="16"/>
  <c r="B74" i="16"/>
  <c r="B75" i="16"/>
  <c r="B78" i="16"/>
  <c r="B76" i="16"/>
  <c r="B77" i="16"/>
  <c r="B79" i="16"/>
  <c r="B80" i="16"/>
  <c r="B81" i="16"/>
  <c r="B82" i="16"/>
  <c r="B83" i="16"/>
  <c r="B84" i="16"/>
  <c r="B85" i="16"/>
  <c r="B86" i="16"/>
  <c r="B88" i="16"/>
  <c r="B89" i="16"/>
  <c r="B90" i="16"/>
  <c r="B91" i="16"/>
  <c r="B92" i="16"/>
  <c r="B93" i="16"/>
  <c r="B94" i="16"/>
  <c r="B95" i="16"/>
  <c r="B96" i="16"/>
  <c r="B97" i="16"/>
  <c r="B98" i="16"/>
  <c r="B99" i="16"/>
  <c r="B100" i="16"/>
  <c r="B101" i="16"/>
  <c r="B102" i="16"/>
  <c r="B103" i="16"/>
  <c r="B104" i="16"/>
  <c r="B105" i="16"/>
  <c r="B132" i="16"/>
  <c r="B150" i="16"/>
  <c r="B155" i="16"/>
  <c r="B158" i="16"/>
  <c r="B161" i="16"/>
  <c r="B198" i="16"/>
  <c r="B208" i="16"/>
  <c r="B235" i="16"/>
  <c r="B236" i="16"/>
  <c r="B237" i="16"/>
  <c r="B238" i="16"/>
  <c r="B154" i="16"/>
  <c r="B239" i="16"/>
  <c r="B240" i="16"/>
  <c r="B241" i="16"/>
  <c r="B243" i="16"/>
  <c r="B244" i="16"/>
  <c r="B248" i="16"/>
  <c r="B249" i="16"/>
  <c r="B250" i="16"/>
  <c r="B251" i="16"/>
  <c r="B252" i="16"/>
  <c r="B253" i="16"/>
  <c r="B254" i="16"/>
  <c r="B258" i="16"/>
  <c r="B259" i="16"/>
  <c r="B261" i="16"/>
  <c r="B262" i="16"/>
  <c r="B263" i="16"/>
  <c r="B264" i="16"/>
  <c r="B265" i="16"/>
  <c r="B271" i="16"/>
  <c r="B266" i="16"/>
  <c r="B267" i="16"/>
  <c r="B268" i="16"/>
  <c r="B269" i="16"/>
  <c r="B270" i="16"/>
  <c r="B272" i="16"/>
  <c r="B273" i="16"/>
  <c r="B274" i="16"/>
  <c r="B292" i="16"/>
  <c r="B260" i="16"/>
  <c r="B141" i="16"/>
  <c r="B140" i="16"/>
  <c r="B171" i="16"/>
  <c r="B118" i="16"/>
  <c r="B110" i="16"/>
  <c r="B128" i="16"/>
  <c r="B156" i="16"/>
  <c r="B157" i="16"/>
  <c r="B119" i="16"/>
  <c r="B120" i="16"/>
  <c r="B212" i="16"/>
  <c r="B131" i="16"/>
  <c r="B242" i="16"/>
  <c r="B151" i="16"/>
  <c r="B130" i="16"/>
  <c r="B193" i="16"/>
  <c r="B197" i="16"/>
  <c r="B186" i="16"/>
  <c r="B123" i="16"/>
  <c r="B211" i="16"/>
  <c r="B109" i="16"/>
  <c r="B246" i="16"/>
  <c r="B207" i="16"/>
  <c r="B33" i="16"/>
  <c r="B28" i="16"/>
  <c r="B87" i="16"/>
  <c r="B31" i="16"/>
  <c r="B276" i="16"/>
  <c r="B245" i="16"/>
  <c r="B115" i="16"/>
  <c r="B32" i="16"/>
  <c r="B23" i="16"/>
  <c r="B215" i="16"/>
  <c r="B177" i="16"/>
  <c r="B168" i="16"/>
  <c r="B256" i="16"/>
  <c r="B30" i="16"/>
  <c r="B247" i="16"/>
  <c r="B167" i="16"/>
  <c r="B226" i="16"/>
  <c r="B224" i="16"/>
  <c r="B121" i="16"/>
  <c r="B225" i="16"/>
  <c r="B221" i="16"/>
  <c r="B201" i="16"/>
  <c r="B153" i="16"/>
  <c r="B206" i="16"/>
  <c r="B139" i="16"/>
  <c r="B138" i="16"/>
  <c r="B190" i="16"/>
  <c r="B194" i="16"/>
  <c r="B228" i="16"/>
  <c r="B163" i="16"/>
  <c r="B195" i="16"/>
  <c r="B188" i="16"/>
  <c r="B204" i="16"/>
  <c r="B200" i="16"/>
  <c r="B192" i="16"/>
  <c r="B147" i="16"/>
  <c r="B129" i="16"/>
  <c r="B142" i="16"/>
  <c r="B255" i="16"/>
  <c r="B184" i="16"/>
  <c r="B199" i="16"/>
  <c r="B293" i="16"/>
  <c r="B179" i="16"/>
  <c r="B191" i="16"/>
  <c r="B218" i="16"/>
  <c r="B220" i="16"/>
  <c r="B203" i="16"/>
  <c r="B187" i="16"/>
  <c r="B275" i="16"/>
  <c r="B160" i="16"/>
  <c r="B213" i="16"/>
  <c r="B176" i="16"/>
  <c r="B58" i="16"/>
  <c r="B60" i="16"/>
  <c r="B57" i="16"/>
  <c r="B116" i="16"/>
  <c r="B61" i="16"/>
  <c r="B53" i="16"/>
  <c r="B19" i="16"/>
  <c r="B18" i="16"/>
  <c r="B231" i="16"/>
  <c r="B50" i="16"/>
  <c r="B159" i="16"/>
  <c r="B125" i="16"/>
  <c r="B67" i="16"/>
  <c r="B232" i="16"/>
  <c r="B15" i="16"/>
  <c r="B59" i="16"/>
  <c r="B146" i="16"/>
  <c r="B202" i="16"/>
  <c r="B52" i="16"/>
  <c r="B55" i="16"/>
  <c r="B20" i="16"/>
  <c r="B230" i="16"/>
  <c r="B56" i="16"/>
  <c r="B144" i="16"/>
  <c r="B134" i="16"/>
  <c r="B54" i="16"/>
  <c r="B233" i="16"/>
  <c r="B68" i="16"/>
  <c r="B17" i="16"/>
  <c r="B124" i="16"/>
  <c r="B145" i="16"/>
  <c r="B16" i="16"/>
  <c r="B196" i="16"/>
  <c r="B114" i="16"/>
  <c r="B51" i="16"/>
  <c r="B173" i="16"/>
  <c r="B122" i="16"/>
  <c r="B21" i="16"/>
  <c r="B143" i="16"/>
  <c r="B216" i="16"/>
  <c r="B219" i="16"/>
  <c r="B229" i="16"/>
  <c r="B164" i="16"/>
  <c r="B223" i="16"/>
  <c r="B107" i="16"/>
  <c r="B117" i="16"/>
  <c r="B133" i="16"/>
  <c r="B113" i="16"/>
  <c r="B108" i="16"/>
  <c r="B62" i="16"/>
  <c r="B217" i="16"/>
  <c r="B227" i="16"/>
  <c r="B148" i="16"/>
  <c r="B112" i="16"/>
  <c r="B126" i="16"/>
  <c r="B210" i="16"/>
  <c r="B178" i="16"/>
  <c r="B174" i="16"/>
  <c r="B137" i="16"/>
  <c r="B214" i="16"/>
  <c r="B39" i="16"/>
  <c r="B40" i="16"/>
  <c r="B41" i="16"/>
  <c r="B170" i="16"/>
  <c r="B42" i="16"/>
  <c r="B169" i="16"/>
  <c r="B136" i="16"/>
  <c r="B209" i="16"/>
  <c r="B149" i="16"/>
  <c r="B185" i="16"/>
  <c r="B152" i="16"/>
  <c r="B234" i="16"/>
  <c r="B257" i="16"/>
  <c r="B205" i="16"/>
  <c r="B135" i="16"/>
  <c r="B189" i="16"/>
  <c r="B63" i="16"/>
  <c r="B127" i="16"/>
  <c r="B222" i="16"/>
  <c r="B172" i="16"/>
  <c r="B111" i="16"/>
  <c r="B183" i="16"/>
  <c r="B162" i="16"/>
  <c r="B181" i="16"/>
  <c r="B180" i="16"/>
  <c r="B166" i="16"/>
  <c r="B106" i="16"/>
  <c r="B165" i="16"/>
  <c r="B175" i="16"/>
  <c r="L73" i="31"/>
  <c r="L72" i="31"/>
  <c r="L71" i="31"/>
  <c r="E19" i="32"/>
  <c r="H46" i="32"/>
  <c r="H45" i="32"/>
  <c r="M21" i="32"/>
  <c r="M20" i="32"/>
  <c r="M22" i="32" s="1"/>
  <c r="E20" i="32"/>
  <c r="H48" i="32"/>
  <c r="H40" i="32"/>
  <c r="H41" i="32"/>
  <c r="H44" i="32"/>
  <c r="H42" i="32"/>
  <c r="H43" i="32"/>
  <c r="H39" i="32"/>
  <c r="H37" i="32"/>
  <c r="H38" i="32"/>
  <c r="H36" i="32"/>
  <c r="H35" i="32"/>
  <c r="H34" i="32"/>
  <c r="H33" i="32"/>
  <c r="R71" i="31"/>
  <c r="V421" i="31"/>
  <c r="N14" i="32"/>
  <c r="L37" i="31"/>
  <c r="L36" i="31"/>
  <c r="L35" i="31"/>
  <c r="L101" i="31"/>
  <c r="L122" i="31"/>
  <c r="L69" i="31" l="1"/>
  <c r="L99" i="31"/>
  <c r="L106" i="31"/>
  <c r="L116" i="31"/>
  <c r="L90" i="31"/>
  <c r="H47" i="32"/>
  <c r="L33" i="31"/>
  <c r="M62" i="31"/>
  <c r="M33" i="31" l="1"/>
  <c r="M34" i="31"/>
  <c r="A579" i="16"/>
  <c r="A575" i="16"/>
  <c r="A572" i="16"/>
  <c r="A573" i="16"/>
  <c r="A576" i="16"/>
  <c r="A571" i="16"/>
  <c r="A577" i="16"/>
  <c r="A574" i="16"/>
  <c r="A578" i="16"/>
  <c r="A570" i="16"/>
  <c r="A569" i="16"/>
  <c r="A505" i="16"/>
  <c r="A563" i="16"/>
  <c r="A550" i="16"/>
  <c r="A546" i="16"/>
  <c r="A538" i="16"/>
  <c r="A558" i="16"/>
  <c r="A561" i="16"/>
  <c r="A560" i="16"/>
  <c r="A533" i="16"/>
  <c r="A502" i="16"/>
  <c r="A510" i="16"/>
  <c r="A503" i="16"/>
  <c r="A530" i="16"/>
  <c r="A524" i="16"/>
  <c r="A523" i="16"/>
  <c r="A544" i="16"/>
  <c r="A498" i="16"/>
  <c r="A489" i="16"/>
  <c r="A511" i="16"/>
  <c r="A480" i="16"/>
  <c r="A562" i="16"/>
  <c r="A488" i="16"/>
  <c r="A522" i="16"/>
  <c r="A493" i="16"/>
  <c r="A520" i="16"/>
  <c r="A542" i="16"/>
  <c r="A518" i="16"/>
  <c r="A494" i="16"/>
  <c r="A529" i="16"/>
  <c r="A508" i="16"/>
  <c r="A564" i="16"/>
  <c r="A487" i="16"/>
  <c r="A559" i="16"/>
  <c r="A537" i="16"/>
  <c r="A495" i="16"/>
  <c r="A521" i="16"/>
  <c r="A512" i="16"/>
  <c r="A515" i="16"/>
  <c r="A491" i="16"/>
  <c r="A549" i="16"/>
  <c r="A548" i="16"/>
  <c r="A547" i="16"/>
  <c r="A551" i="16"/>
  <c r="A555" i="16"/>
  <c r="A482" i="16"/>
  <c r="A536" i="16"/>
  <c r="A557" i="16"/>
  <c r="A499" i="16"/>
  <c r="A540" i="16"/>
  <c r="A483" i="16"/>
  <c r="A543" i="16"/>
  <c r="A539" i="16"/>
  <c r="A501" i="16"/>
  <c r="A484" i="16"/>
  <c r="A497" i="16"/>
  <c r="A535" i="16"/>
  <c r="A556" i="16"/>
  <c r="A507" i="16"/>
  <c r="A528" i="16"/>
  <c r="A514" i="16"/>
  <c r="A490" i="16"/>
  <c r="A504" i="16"/>
  <c r="A534" i="16"/>
  <c r="A500" i="16"/>
  <c r="A516" i="16"/>
  <c r="A492" i="16"/>
  <c r="A532" i="16"/>
  <c r="A531" i="16"/>
  <c r="A519" i="16"/>
  <c r="A525" i="16"/>
  <c r="A554" i="16"/>
  <c r="A527" i="16"/>
  <c r="A485" i="16"/>
  <c r="A517" i="16"/>
  <c r="A513" i="16"/>
  <c r="A526" i="16"/>
  <c r="A541" i="16"/>
  <c r="A496" i="16"/>
  <c r="A481" i="16"/>
  <c r="A545" i="16"/>
  <c r="A509" i="16"/>
  <c r="A553" i="16"/>
  <c r="A552" i="16"/>
  <c r="A486" i="16"/>
  <c r="A461" i="16"/>
  <c r="A460" i="16"/>
  <c r="A478" i="16"/>
  <c r="A465" i="16"/>
  <c r="A476" i="16"/>
  <c r="A474" i="16"/>
  <c r="A475" i="16"/>
  <c r="A473" i="16"/>
  <c r="A458" i="16"/>
  <c r="A471" i="16"/>
  <c r="A470" i="16"/>
  <c r="A469" i="16"/>
  <c r="A456" i="16"/>
  <c r="A455" i="16"/>
  <c r="A467" i="16"/>
  <c r="A466" i="16"/>
  <c r="A472" i="16"/>
  <c r="A468" i="16"/>
  <c r="A464" i="16"/>
  <c r="A462" i="16"/>
  <c r="A457" i="16"/>
  <c r="A459" i="16"/>
  <c r="A477" i="16"/>
  <c r="A463" i="16"/>
  <c r="A380" i="16"/>
  <c r="A392" i="16"/>
  <c r="A381" i="16"/>
  <c r="A391" i="16"/>
  <c r="A446" i="16"/>
  <c r="A445" i="16"/>
  <c r="A421" i="16"/>
  <c r="A422" i="16"/>
  <c r="A367" i="16"/>
  <c r="A366" i="16"/>
  <c r="A426" i="16"/>
  <c r="A425" i="16"/>
  <c r="A405" i="16"/>
  <c r="A403" i="16"/>
  <c r="A401" i="16"/>
  <c r="A406" i="16"/>
  <c r="A404" i="16"/>
  <c r="A402" i="16"/>
  <c r="A395" i="16"/>
  <c r="A396" i="16"/>
  <c r="A424" i="16"/>
  <c r="A423" i="16"/>
  <c r="A434" i="16"/>
  <c r="A383" i="16"/>
  <c r="A382" i="16"/>
  <c r="A371" i="16"/>
  <c r="A370" i="16"/>
  <c r="A441" i="16"/>
  <c r="A439" i="16"/>
  <c r="A437" i="16"/>
  <c r="A435" i="16"/>
  <c r="A442" i="16"/>
  <c r="A440" i="16"/>
  <c r="A438" i="16"/>
  <c r="A436" i="16"/>
  <c r="A363" i="16"/>
  <c r="A362" i="16"/>
  <c r="A355" i="16"/>
  <c r="A354" i="16"/>
  <c r="A448" i="16"/>
  <c r="A447" i="16"/>
  <c r="A318" i="16"/>
  <c r="A317" i="16"/>
  <c r="A433" i="16"/>
  <c r="A432" i="16"/>
  <c r="A431" i="16"/>
  <c r="A386" i="16"/>
  <c r="A347" i="16"/>
  <c r="A346" i="16"/>
  <c r="A417" i="16"/>
  <c r="A418" i="16"/>
  <c r="A415" i="16"/>
  <c r="A416" i="16"/>
  <c r="A413" i="16"/>
  <c r="A414" i="16"/>
  <c r="A361" i="16"/>
  <c r="A359" i="16"/>
  <c r="A360" i="16"/>
  <c r="A358" i="16"/>
  <c r="A384" i="16"/>
  <c r="A385" i="16"/>
  <c r="A453" i="16"/>
  <c r="A327" i="16"/>
  <c r="A454" i="16"/>
  <c r="A400" i="16"/>
  <c r="A399" i="16"/>
  <c r="A375" i="16"/>
  <c r="A373" i="16"/>
  <c r="A328" i="16"/>
  <c r="A326" i="16"/>
  <c r="A324" i="16"/>
  <c r="A374" i="16"/>
  <c r="A325" i="16"/>
  <c r="A323" i="16"/>
  <c r="A372" i="16"/>
  <c r="A420" i="16"/>
  <c r="A419" i="16"/>
  <c r="A398" i="16"/>
  <c r="A397" i="16"/>
  <c r="A390" i="16"/>
  <c r="A388" i="16"/>
  <c r="A411" i="16"/>
  <c r="A412" i="16"/>
  <c r="A377" i="16"/>
  <c r="A369" i="16"/>
  <c r="A376" i="16"/>
  <c r="A368" i="16"/>
  <c r="A316" i="16"/>
  <c r="A314" i="16"/>
  <c r="A313" i="16"/>
  <c r="A315" i="16"/>
  <c r="A410" i="16"/>
  <c r="A408" i="16"/>
  <c r="A335" i="16"/>
  <c r="A409" i="16"/>
  <c r="A407" i="16"/>
  <c r="A334" i="16"/>
  <c r="A430" i="16"/>
  <c r="A429" i="16"/>
  <c r="A351" i="16"/>
  <c r="A343" i="16"/>
  <c r="A350" i="16"/>
  <c r="A342" i="16"/>
  <c r="A394" i="16"/>
  <c r="A393" i="16"/>
  <c r="A331" i="16"/>
  <c r="A330" i="16"/>
  <c r="A329" i="16"/>
  <c r="A451" i="16"/>
  <c r="A452" i="16"/>
  <c r="A311" i="16"/>
  <c r="A312" i="16"/>
  <c r="A428" i="16"/>
  <c r="A365" i="16"/>
  <c r="A427" i="16"/>
  <c r="A364" i="16"/>
  <c r="A449" i="16"/>
  <c r="A450" i="16"/>
  <c r="A353" i="16"/>
  <c r="A345" i="16"/>
  <c r="A341" i="16"/>
  <c r="A339" i="16"/>
  <c r="A352" i="16"/>
  <c r="A344" i="16"/>
  <c r="A340" i="16"/>
  <c r="A338" i="16"/>
  <c r="A349" i="16"/>
  <c r="A333" i="16"/>
  <c r="A348" i="16"/>
  <c r="A332" i="16"/>
  <c r="A357" i="16"/>
  <c r="A356" i="16"/>
  <c r="A136" i="16"/>
  <c r="A135" i="16"/>
  <c r="A99" i="16"/>
  <c r="A269" i="16"/>
  <c r="A268" i="16"/>
  <c r="A263" i="16"/>
  <c r="A98" i="16"/>
  <c r="A97" i="16"/>
  <c r="A96" i="16"/>
  <c r="A95" i="16"/>
  <c r="A92" i="16"/>
  <c r="A91" i="16"/>
  <c r="A90" i="16"/>
  <c r="A89" i="16"/>
  <c r="A88" i="16"/>
  <c r="A74" i="16"/>
  <c r="A73" i="16"/>
  <c r="A72" i="16"/>
  <c r="A71" i="16"/>
  <c r="A24" i="16"/>
  <c r="A93" i="16"/>
  <c r="A148" i="16"/>
  <c r="A293" i="16"/>
  <c r="A137" i="16"/>
  <c r="A275" i="16"/>
  <c r="A47" i="16"/>
  <c r="A222" i="16"/>
  <c r="A152" i="16"/>
  <c r="A133" i="16"/>
  <c r="A166" i="16"/>
  <c r="A226" i="16"/>
  <c r="A14" i="16"/>
  <c r="A102" i="16"/>
  <c r="A134" i="16"/>
  <c r="A114" i="16"/>
  <c r="A109" i="16"/>
  <c r="A77" i="16"/>
  <c r="A75" i="16"/>
  <c r="A34" i="16"/>
  <c r="A243" i="16"/>
  <c r="A242" i="16"/>
  <c r="A241" i="16"/>
  <c r="A216" i="16"/>
  <c r="A130" i="16"/>
  <c r="A214" i="16"/>
  <c r="A213" i="16"/>
  <c r="A247" i="16"/>
  <c r="A215" i="16"/>
  <c r="A245" i="16"/>
  <c r="A87" i="16"/>
  <c r="A28" i="16"/>
  <c r="A246" i="16"/>
  <c r="A223" i="16"/>
  <c r="A239" i="16"/>
  <c r="A264" i="16"/>
  <c r="A104" i="16"/>
  <c r="A103" i="16"/>
  <c r="A160" i="16"/>
  <c r="A184" i="16"/>
  <c r="A272" i="16"/>
  <c r="A206" i="16"/>
  <c r="A204" i="16"/>
  <c r="A203" i="16"/>
  <c r="A201" i="16"/>
  <c r="A200" i="16"/>
  <c r="A197" i="16"/>
  <c r="A195" i="16"/>
  <c r="A194" i="16"/>
  <c r="A192" i="16"/>
  <c r="A190" i="16"/>
  <c r="A188" i="16"/>
  <c r="A78" i="16"/>
  <c r="A171" i="16"/>
  <c r="A170" i="16"/>
  <c r="A25" i="16"/>
  <c r="A69" i="16"/>
  <c r="A115" i="16"/>
  <c r="A217" i="16"/>
  <c r="A106" i="16"/>
  <c r="A129" i="16"/>
  <c r="A131" i="16"/>
  <c r="A253" i="16"/>
  <c r="A126" i="16"/>
  <c r="A169" i="16"/>
  <c r="A112" i="16"/>
  <c r="A180" i="16"/>
  <c r="A175" i="16"/>
  <c r="A174" i="16"/>
  <c r="A250" i="16"/>
  <c r="A101" i="16"/>
  <c r="A177" i="16"/>
  <c r="A262" i="16"/>
  <c r="A66" i="16"/>
  <c r="A65" i="16"/>
  <c r="A149" i="16"/>
  <c r="A108" i="16"/>
  <c r="A107" i="16"/>
  <c r="A70" i="16"/>
  <c r="A172" i="16"/>
  <c r="A257" i="16"/>
  <c r="A255" i="16"/>
  <c r="A179" i="16"/>
  <c r="A94" i="16"/>
  <c r="A100" i="16"/>
  <c r="A36" i="16"/>
  <c r="A189" i="16"/>
  <c r="A205" i="16"/>
  <c r="A199" i="16"/>
  <c r="A193" i="16"/>
  <c r="A191" i="16"/>
  <c r="A187" i="16"/>
  <c r="A29" i="16"/>
  <c r="A271" i="16"/>
  <c r="A208" i="16"/>
  <c r="A185" i="16"/>
  <c r="A178" i="16"/>
  <c r="A167" i="16"/>
  <c r="A256" i="16"/>
  <c r="A168" i="16"/>
  <c r="A86" i="16"/>
  <c r="A265" i="16"/>
  <c r="A83" i="16"/>
  <c r="A273" i="16"/>
  <c r="A258" i="16"/>
  <c r="A163" i="16"/>
  <c r="A155" i="16"/>
  <c r="A121" i="16"/>
  <c r="A120" i="16"/>
  <c r="A119" i="16"/>
  <c r="A46" i="16"/>
  <c r="A43" i="16"/>
  <c r="A37" i="16"/>
  <c r="A26" i="16"/>
  <c r="A292" i="16"/>
  <c r="A261" i="16"/>
  <c r="A249" i="16"/>
  <c r="A105" i="16"/>
  <c r="A85" i="16"/>
  <c r="A82" i="16"/>
  <c r="A123" i="16"/>
  <c r="A209" i="16"/>
  <c r="A142" i="16"/>
  <c r="A141" i="16"/>
  <c r="A140" i="16"/>
  <c r="A139" i="16"/>
  <c r="A138" i="16"/>
  <c r="A225" i="16"/>
  <c r="A229" i="16"/>
  <c r="A228" i="16"/>
  <c r="A227" i="16"/>
  <c r="A221" i="16"/>
  <c r="A220" i="16"/>
  <c r="A219" i="16"/>
  <c r="A35" i="16"/>
  <c r="A196" i="16"/>
  <c r="A274" i="16"/>
  <c r="A154" i="16"/>
  <c r="A153" i="16"/>
  <c r="A151" i="16"/>
  <c r="A132" i="16"/>
  <c r="A49" i="16"/>
  <c r="A48" i="16"/>
  <c r="A44" i="16"/>
  <c r="A173" i="16"/>
  <c r="A182" i="16"/>
  <c r="A224" i="16"/>
  <c r="A150" i="16"/>
  <c r="A252" i="16"/>
  <c r="A251" i="16"/>
  <c r="A237" i="16"/>
  <c r="A236" i="16"/>
  <c r="A38" i="16"/>
  <c r="A124" i="16"/>
  <c r="A186" i="16"/>
  <c r="A117" i="16"/>
  <c r="A111" i="16"/>
  <c r="A162" i="16"/>
  <c r="A127" i="16"/>
  <c r="A30" i="16"/>
  <c r="A32" i="16"/>
  <c r="A31" i="16"/>
  <c r="A33" i="16"/>
  <c r="A244" i="16"/>
  <c r="A144" i="16"/>
  <c r="A42" i="16"/>
  <c r="A41" i="16"/>
  <c r="A40" i="16"/>
  <c r="A39" i="16"/>
  <c r="A270" i="16"/>
  <c r="A267" i="16"/>
  <c r="A266" i="16"/>
  <c r="A248" i="16"/>
  <c r="A235" i="16"/>
  <c r="A207" i="16"/>
  <c r="A198" i="16"/>
  <c r="A84" i="16"/>
  <c r="A81" i="16"/>
  <c r="A80" i="16"/>
  <c r="A79" i="16"/>
  <c r="A76" i="16"/>
  <c r="A260" i="16"/>
  <c r="A259" i="16"/>
  <c r="A218" i="16"/>
  <c r="A211" i="16"/>
  <c r="A157" i="16"/>
  <c r="A156" i="16"/>
  <c r="A128" i="16"/>
  <c r="A118" i="16"/>
  <c r="A110" i="16"/>
  <c r="A276" i="16"/>
  <c r="A23" i="16"/>
  <c r="A254" i="16"/>
  <c r="A240" i="16"/>
  <c r="A164" i="16"/>
  <c r="A161" i="16"/>
  <c r="A143" i="16"/>
  <c r="A113" i="16"/>
  <c r="A238" i="16"/>
  <c r="A183" i="16"/>
  <c r="A181" i="16"/>
  <c r="A202" i="16"/>
  <c r="A159" i="16"/>
  <c r="A146" i="16"/>
  <c r="A145" i="16"/>
  <c r="A22" i="16"/>
  <c r="A116" i="16"/>
  <c r="A210" i="16"/>
  <c r="A165" i="16"/>
  <c r="A27" i="16"/>
  <c r="A158" i="16"/>
  <c r="A212" i="16"/>
  <c r="A125" i="16"/>
  <c r="A45" i="16"/>
  <c r="A147" i="16"/>
  <c r="A176" i="16"/>
  <c r="A64" i="16"/>
  <c r="A63" i="16"/>
  <c r="A18" i="16"/>
  <c r="A234" i="16"/>
  <c r="A62" i="16"/>
  <c r="A21" i="16"/>
  <c r="A51" i="16"/>
  <c r="A16" i="16"/>
  <c r="A17" i="16"/>
  <c r="A68" i="16"/>
  <c r="A233" i="16"/>
  <c r="A54" i="16"/>
  <c r="A56" i="16"/>
  <c r="A230" i="16"/>
  <c r="A20" i="16"/>
  <c r="A55" i="16"/>
  <c r="A52" i="16"/>
  <c r="A59" i="16"/>
  <c r="A15" i="16"/>
  <c r="A232" i="16"/>
  <c r="A67" i="16"/>
  <c r="A50" i="16"/>
  <c r="A231" i="16"/>
  <c r="A19" i="16"/>
  <c r="A53" i="16"/>
  <c r="A61" i="16"/>
  <c r="A57" i="16"/>
  <c r="A60" i="16"/>
  <c r="A58" i="16"/>
  <c r="A12" i="16"/>
  <c r="A6" i="16"/>
  <c r="A13" i="16"/>
  <c r="A10" i="16"/>
  <c r="A5" i="16"/>
  <c r="A11" i="16"/>
  <c r="A7" i="16"/>
  <c r="A8" i="16"/>
  <c r="A9" i="16"/>
  <c r="A4" i="16"/>
  <c r="D506" i="16" l="1"/>
  <c r="E506" i="16"/>
  <c r="G506" i="16" s="1"/>
  <c r="C506" i="16"/>
  <c r="B506" i="16"/>
  <c r="A506" i="16"/>
  <c r="I506" i="16"/>
  <c r="AA506" i="16" l="1"/>
  <c r="F50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tc={ADF86E4F-A7BA-CC43-A750-F52571C0DDFB}</author>
    <author>tc={D39868AF-6C95-485E-B12A-3D531A187E11}</author>
    <author>tc={8A9C6E57-0856-43F1-90B9-10FF49930DA6}</author>
    <author>tc={EFD7CBE1-54C4-49E2-9C2D-8250B08D5001}</author>
    <author>tc={796E653E-CBE8-DC46-91E4-5E6B75D96210}</author>
    <author>tc={5681B57D-2B86-4884-A816-9DC253DD08D8}</author>
    <author>tc={3A46B890-93DC-CF40-9FB0-24786178528A}</author>
    <author>tc={D68C0571-91C8-5044-B80F-B519AF8515E1}</author>
    <author>tc={3C841A8C-D744-423E-A544-80413CCA6814}</author>
    <author>tc={0B68B2A2-DF48-4211-B4A8-60488C42C181}</author>
    <author>tc={C34A994F-0105-48A8-B2F9-26C775177883}</author>
    <author>tc={6FBFF341-BE6E-4B61-A69A-206B0A9EBB80}</author>
    <author>tc={0C312A3F-0A01-4AAE-86AC-85C14C3FCA4F}</author>
    <author>tc={7D0E8122-8650-4105-B871-D2A4067A95FF}</author>
    <author>tc={23893A98-493C-4941-9D64-8D6B7AD633E4}</author>
    <author>tc={BBAA8818-7541-4252-AB2E-9E8F0EAE6F02}</author>
    <author>tc={1C04F86F-EADE-4CFB-A165-87D83754D4C6}</author>
    <author>tc={0218C5A3-13B9-4F93-A5E2-BFDC7C455619}</author>
    <author>tc={86C631FF-6476-43E4-9FB0-8983FCB718BC}</author>
    <author>tc={4CF26E08-75F6-442D-AAD2-D8830EE8A0CA}</author>
    <author>tc={D4D91147-9ADA-4A26-AD13-2251677FC16F}</author>
    <author>tc={7CF4D032-D7B0-224E-BE30-D1CD308586EF}</author>
    <author>tc={91090162-34BA-4FA8-970F-8813D6EF086F}</author>
    <author>tc={3EBBD00C-FEAB-4844-8831-4C17F6E24E52}</author>
    <author>tc={BC99A50B-8D0A-46DD-A2C4-46D63C0753E0}</author>
    <author>tc={633E095B-10CE-4D9C-BCE1-4832DCE9A633}</author>
    <author>tc={71F91E03-0B0E-4F97-A91E-78915D709EDC}</author>
    <author>tc={089BB868-560F-4AE0-9F60-771C22832B80}</author>
    <author>tc={2D46736F-EE30-4FCA-991A-B22DA20FFB1F}</author>
    <author>tc={15770DF0-9082-4D26-9B66-F74A71982FB3}</author>
    <author>tc={CCC6CC34-013B-4C31-ADF3-9DB30F4FD205}</author>
    <author>tc={09994156-15F3-B44A-894C-87C78F26C300}</author>
    <author>tc={403D9AB3-D852-401D-8CEB-50A5BDC47DF7}</author>
    <author>tc={D9C8563A-0C06-4A86-B57E-0FD4040572E2}</author>
    <author>tc={4ADD4323-F3B9-481E-8561-019E27A7964D}</author>
    <author>tc={47B27EEE-09C2-48CF-8367-3BAE9576923A}</author>
    <author>tc={867490FD-F05A-BB4E-BA1C-DFF3E025938A}</author>
    <author>tc={1A9B0FB2-B18D-4B4E-87ED-F3FE07E4D55D}</author>
    <author>tc={5C5F7BEF-8514-5A42-8022-0AD1EC7CDFFF}</author>
    <author>tc={913EF799-A961-400C-B399-70AA54CA4043}</author>
    <author>tc={3C9DAE79-39F9-4F07-9DF7-48F801117B4D}</author>
    <author>tc={FE5398DB-AF50-D44E-8DB5-4F1E40BC0324}</author>
    <author>tc={E911A4FF-99D5-49E3-929D-1B4779A3E440}</author>
    <author>tc={4C72878A-2156-40B9-9BE7-31E56E69B35D}</author>
  </authors>
  <commentList>
    <comment ref="I1" authorId="0" shapeId="0" xr:uid="{ADF86E4F-A7BA-CC43-A750-F52571C0DDFB}">
      <text>
        <t>[스레드 댓글]
사용 중인 버전의 Excel에서 이 스레드 댓글을 읽을 수 있지만 파일을 이후 버전의 Excel에서 열면 편집 내용이 모두 제거됩니다. 자세한 정보: https://go.microsoft.com/fwlink/?linkid=870924.
댓글:
    수정 시간: 2026. 2. 3. 오후 6:58:19</t>
      </text>
    </comment>
    <comment ref="M14" authorId="1" shapeId="0" xr:uid="{D39868AF-6C95-485E-B12A-3D531A187E11}">
      <text>
        <t xml:space="preserve">[스레드 댓글]
사용 중인 버전의 Excel에서 이 스레드 댓글을 읽을 수 있지만 파일을 이후 버전의 Excel에서 열면 편집 내용이 모두 제거됩니다. 자세한 정보: https://go.microsoft.com/fwlink/?linkid=870924.
댓글:
    +9.4%: DNDM 소프트런칭 확대로 인한 사용량 증가 </t>
      </text>
    </comment>
    <comment ref="L26" authorId="2" shapeId="0" xr:uid="{8A9C6E57-0856-43F1-90B9-10FF49930DA6}">
      <text>
        <t>[스레드 댓글]
사용 중인 버전의 Excel에서 이 스레드 댓글을 읽을 수 있지만 파일을 이후 버전의 Excel에서 열면 편집 내용이 모두 제거됩니다. 자세한 정보: https://go.microsoft.com/fwlink/?linkid=870924.
댓글:
    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
      </text>
    </comment>
    <comment ref="M26" authorId="3" shapeId="0" xr:uid="{EFD7CBE1-54C4-49E2-9C2D-8250B08D5001}">
      <text>
        <t>[스레드 댓글]
사용 중인 버전의 Excel에서 이 스레드 댓글을 읽을 수 있지만 파일을 이후 버전의 Excel에서 열면 편집 내용이 모두 제거됩니다. 자세한 정보: https://go.microsoft.com/fwlink/?linkid=870924.
댓글:
    -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
      </text>
    </comment>
    <comment ref="H34" authorId="4" shapeId="0" xr:uid="{796E653E-CBE8-DC46-91E4-5E6B75D96210}">
      <text>
        <t>[스레드 댓글]
사용 중인 버전의 Excel에서 이 스레드 댓글을 읽을 수 있지만 파일을 이후 버전의 Excel에서 열면 편집 내용이 모두 제거됩니다. 자세한 정보: https://go.microsoft.com/fwlink/?linkid=870924.
댓글:
    장우현</t>
      </text>
    </comment>
    <comment ref="L79" authorId="5" shapeId="0" xr:uid="{5681B57D-2B86-4884-A816-9DC253DD08D8}">
      <text>
        <t xml:space="preserve">[스레드 댓글]
사용 중인 버전의 Excel에서 이 스레드 댓글을 읽을 수 있지만 파일을 이후 버전의 Excel에서 열면 편집 내용이 모두 제거됩니다. 자세한 정보: https://go.microsoft.com/fwlink/?linkid=870924.
댓글:
    빌드하는 QA 환경의 머신들이 감소(고사양의 빌드머신의 사용량 감소)로 비용 감소  </t>
      </text>
    </comment>
    <comment ref="H90" authorId="6" shapeId="0" xr:uid="{3A46B890-93DC-CF40-9FB0-24786178528A}">
      <text>
        <t>[스레드 댓글]
사용 중인 버전의 Excel에서 이 스레드 댓글을 읽을 수 있지만 파일을 이후 버전의 Excel에서 열면 편집 내용이 모두 제거됩니다. 자세한 정보: https://go.microsoft.com/fwlink/?linkid=870924.
댓글:
    사용중으로보이는데....</t>
      </text>
    </comment>
    <comment ref="H99" authorId="7" shapeId="0" xr:uid="{D68C0571-91C8-5044-B80F-B519AF8515E1}">
      <text>
        <t>[스레드 댓글]
사용 중인 버전의 Excel에서 이 스레드 댓글을 읽을 수 있지만 파일을 이후 버전의 Excel에서 열면 편집 내용이 모두 제거됩니다. 자세한 정보: https://go.microsoft.com/fwlink/?linkid=870924.
댓글:
    실제사용하나?</t>
      </text>
    </comment>
    <comment ref="M102" authorId="8" shapeId="0" xr:uid="{3C841A8C-D744-423E-A544-80413CCA6814}">
      <text>
        <t xml:space="preserve">[스레드 댓글]
사용 중인 버전의 Excel에서 이 스레드 댓글을 읽을 수 있지만 파일을 이후 버전의 Excel에서 열면 편집 내용이 모두 제거됩니다. 자세한 정보: https://go.microsoft.com/fwlink/?linkid=870924.
댓글:
    -39.7%: NEWSTATE 안티치트 EKS 노드 축소 작업으로 사용량 감소 </t>
      </text>
    </comment>
    <comment ref="M109" authorId="9" shapeId="0" xr:uid="{0B68B2A2-DF48-4211-B4A8-60488C42C181}">
      <text>
        <t xml:space="preserve">[스레드 댓글]
사용 중인 버전의 Excel에서 이 스레드 댓글을 읽을 수 있지만 파일을 이후 버전의 Excel에서 열면 편집 내용이 모두 제거됩니다. 자세한 정보: https://go.microsoft.com/fwlink/?linkid=870924.
댓글:
    +34.1%: BLINDSPOT 환경 구성으로 인한 사용량 증가 </t>
      </text>
    </comment>
    <comment ref="L115" authorId="10" shapeId="0" xr:uid="{C34A994F-0105-48A8-B2F9-26C775177883}">
      <text>
        <t>[스레드 댓글]
사용 중인 버전의 Excel에서 이 스레드 댓글을 읽을 수 있지만 파일을 이후 버전의 Excel에서 열면 편집 내용이 모두 제거됩니다. 자세한 정보: https://go.microsoft.com/fwlink/?linkid=870924.
댓글:
    271,524.36/$360,353.39</t>
      </text>
    </comment>
    <comment ref="M120" authorId="11" shapeId="0" xr:uid="{6FBFF341-BE6E-4B61-A69A-206B0A9EBB80}">
      <text>
        <t xml:space="preserve">[스레드 댓글]
사용 중인 버전의 Excel에서 이 스레드 댓글을 읽을 수 있지만 파일을 이후 버전의 Excel에서 열면 편집 내용이 모두 제거됩니다. 자세한 정보: https://go.microsoft.com/fwlink/?linkid=870924.
댓글:
    신규 데이터 수집기들 해당 계정에서 개발 및 배포 진행 중입니다. 3달 정도 증가 감소 반복 예상 </t>
      </text>
    </comment>
    <comment ref="L121" authorId="12" shapeId="0" xr:uid="{0C312A3F-0A01-4AAE-86AC-85C14C3FCA4F}">
      <text>
        <t xml:space="preserve">[스레드 댓글]
사용 중인 버전의 Excel에서 이 스레드 댓글을 읽을 수 있지만 파일을 이후 버전의 Excel에서 열면 편집 내용이 모두 제거됩니다. 자세한 정보: https://go.microsoft.com/fwlink/?linkid=870924.
댓글:
    운영환경 변경 및 작업 추가 대응 중으로 비용 상승 </t>
      </text>
    </comment>
    <comment ref="L123" authorId="13" shapeId="0" xr:uid="{7D0E8122-8650-4105-B871-D2A4067A95FF}">
      <text>
        <t xml:space="preserve">[스레드 댓글]
사용 중인 버전의 Excel에서 이 스레드 댓글을 읽을 수 있지만 파일을 이후 버전의 Excel에서 열면 편집 내용이 모두 제거됩니다. 자세한 정보: https://go.microsoft.com/fwlink/?linkid=870924.
댓글:
    Abyss of Dungeons(DNDM)의 소프트 런칭 국가 확장에 따라, 봇을 추가하고 테스트를 진행하는 과정에서 발생 </t>
      </text>
    </comment>
    <comment ref="L154" authorId="14" shapeId="0" xr:uid="{23893A98-493C-4941-9D64-8D6B7AD633E4}">
      <text>
        <t xml:space="preserve">[스레드 댓글]
사용 중인 버전의 Excel에서 이 스레드 댓글을 읽을 수 있지만 파일을 이후 버전의 Excel에서 열면 편집 내용이 모두 제거됩니다. 자세한 정보: https://go.microsoft.com/fwlink/?linkid=870924.
댓글:
    inZOI 런칭이후 트래픽 감소에 따라 지속적으로 컴팩션작업을 해온 결과 </t>
      </text>
    </comment>
    <comment ref="H157" authorId="15" shapeId="0" xr:uid="{BBAA8818-7541-4252-AB2E-9E8F0EAE6F02}">
      <text>
        <t xml:space="preserve">[스레드 댓글]
사용 중인 버전의 Excel에서 이 스레드 댓글을 읽을 수 있지만 파일을 이후 버전의 Excel에서 열면 편집 내용이 모두 제거됩니다. 자세한 정보: https://go.microsoft.com/fwlink/?linkid=870924.
댓글:
    (라이브 전) 테스트환경 계정 </t>
      </text>
    </comment>
    <comment ref="L157" authorId="16" shapeId="0" xr:uid="{1C04F86F-EADE-4CFB-A165-87D83754D4C6}">
      <text>
        <t xml:space="preserve">[스레드 댓글]
사용 중인 버전의 Excel에서 이 스레드 댓글을 읽을 수 있지만 파일을 이후 버전의 Excel에서 열면 편집 내용이 모두 제거됩니다. 자세한 정보: https://go.microsoft.com/fwlink/?linkid=870924.
댓글:
    6월 소프트런칭 서비스지역 확장 작업으로 인해  신규 서비스 환경 추가와 테스트로 인해 비용 증가 </t>
      </text>
    </comment>
    <comment ref="M163" authorId="17" shapeId="0" xr:uid="{0218C5A3-13B9-4F93-A5E2-BFDC7C455619}">
      <text>
        <t xml:space="preserve">[스레드 댓글]
사용 중인 버전의 Excel에서 이 스레드 댓글을 읽을 수 있지만 파일을 이후 버전의 Excel에서 열면 편집 내용이 모두 제거됩니다. 자세한 정보: https://go.microsoft.com/fwlink/?linkid=870924.
댓글:
    - Thinkingdata 솔루션 도입을 Flyway Games와 PoC 진행 중
- 데이터가 적재됨에 따라 비용이 올라갈 수 있음
</t>
      </text>
    </comment>
    <comment ref="M220" authorId="18" shapeId="0" xr:uid="{86C631FF-6476-43E4-9FB0-8983FCB718BC}">
      <text>
        <t>[스레드 댓글]
사용 중인 버전의 Excel에서 이 스레드 댓글을 읽을 수 있지만 파일을 이후 버전의 Excel에서 열면 편집 내용이 모두 제거됩니다. 자세한 정보: https://go.microsoft.com/fwlink/?linkid=870924.
댓글:
    - prod  환경 세팅 및 prod에서의 단위 테스트로 사용
- 해당 계정의 resource 는 현재 전부 사용하지 않아 이후 감소 로 나올 예정</t>
      </text>
    </comment>
    <comment ref="M221" authorId="19" shapeId="0" xr:uid="{4CF26E08-75F6-442D-AAD2-D8830EE8A0CA}">
      <text>
        <t>[스레드 댓글]
사용 중인 버전의 Excel에서 이 스레드 댓글을 읽을 수 있지만 파일을 이후 버전의 Excel에서 열면 편집 내용이 모두 제거됩니다. 자세한 정보: https://go.microsoft.com/fwlink/?linkid=870924.
댓글:
    qa 환경 세팅 및 개발 팀과의 연동 테스트로 인해 증가</t>
      </text>
    </comment>
    <comment ref="M228" authorId="20" shapeId="0" xr:uid="{D4D91147-9ADA-4A26-AD13-2251677FC16F}">
      <text>
        <t>[스레드 댓글]
사용 중인 버전의 Excel에서 이 스레드 댓글을 읽을 수 있지만 파일을 이후 버전의 Excel에서 열면 편집 내용이 모두 제거됩니다. 자세한 정보: https://go.microsoft.com/fwlink/?linkid=870924.
댓글:
    qa 환경 세팅 및 개발 팀과의 연동 테스트로 인해 증가</t>
      </text>
    </comment>
    <comment ref="H236" authorId="21" shapeId="0" xr:uid="{7CF4D032-D7B0-224E-BE30-D1CD308586EF}">
      <text>
        <t>[스레드 댓글]
사용 중인 버전의 Excel에서 이 스레드 댓글을 읽을 수 있지만 파일을 이후 버전의 Excel에서 열면 편집 내용이 모두 제거됩니다. 자세한 정보: https://go.microsoft.com/fwlink/?linkid=870924.
댓글:
    박효열</t>
      </text>
    </comment>
    <comment ref="L240" authorId="22" shapeId="0" xr:uid="{91090162-34BA-4FA8-970F-8813D6EF086F}">
      <text>
        <t>[스레드 댓글]
사용 중인 버전의 Excel에서 이 스레드 댓글을 읽을 수 있지만 파일을 이후 버전의 Excel에서 열면 편집 내용이 모두 제거됩니다. 자세한 정보: https://go.microsoft.com/fwlink/?linkid=870924.
댓글:
    25년 EBC 크레딧 적용 ($10,000)</t>
      </text>
    </comment>
    <comment ref="M242" authorId="23" shapeId="0" xr:uid="{3EBBD00C-FEAB-4844-8831-4C17F6E24E52}">
      <text>
        <t>[스레드 댓글]
사용 중인 버전의 Excel에서 이 스레드 댓글을 읽을 수 있지만 파일을 이후 버전의 Excel에서 열면 편집 내용이 모두 제거됩니다. 자세한 정보: https://go.microsoft.com/fwlink/?linkid=870924.
댓글:
    HUB 클라우드 이관으로 비용 증가, 2달정도사용 살펴본 후 방안 찾을 예정</t>
      </text>
    </comment>
    <comment ref="M259" authorId="24" shapeId="0" xr:uid="{BC99A50B-8D0A-46DD-A2C4-46D63C0753E0}">
      <text>
        <t xml:space="preserve">[스레드 댓글]
사용 중인 버전의 Excel에서 이 스레드 댓글을 읽을 수 있지만 파일을 이후 버전의 Excel에서 열면 편집 내용이 모두 제거됩니다. 자세한 정보: https://go.microsoft.com/fwlink/?linkid=870924.
댓글:
    -41% : 서비스 종료에 따른 서버 축소 및 스팩변경으로 인하여 비용 감소 </t>
      </text>
    </comment>
    <comment ref="L266" authorId="25" shapeId="0" xr:uid="{633E095B-10CE-4D9C-BCE1-4832DCE9A633}">
      <text>
        <t>[스레드 댓글]
사용 중인 버전의 Excel에서 이 스레드 댓글을 읽을 수 있지만 파일을 이후 버전의 Excel에서 열면 편집 내용이 모두 제거됩니다. 자세한 정보: https://go.microsoft.com/fwlink/?linkid=870924.
댓글:
    4월에 적용된 1분기 MAP 크레딧이 제외되면서 금액이 상승한 것으로 보임</t>
      </text>
    </comment>
    <comment ref="L271" authorId="26" shapeId="0" xr:uid="{71F91E03-0B0E-4F97-A91E-78915D709EDC}">
      <text>
        <t>[스레드 댓글]
사용 중인 버전의 Excel에서 이 스레드 댓글을 읽을 수 있지만 파일을 이후 버전의 Excel에서 열면 편집 내용이 모두 제거됩니다. 자세한 정보: https://go.microsoft.com/fwlink/?linkid=870924.
댓글:
    게임 이벤트용 MongoDB의 사용량이 소폭 감소</t>
      </text>
    </comment>
    <comment ref="M271" authorId="27" shapeId="0" xr:uid="{089BB868-560F-4AE0-9F60-771C22832B80}">
      <text>
        <t xml:space="preserve">[스레드 댓글]
사용 중인 버전의 Excel에서 이 스레드 댓글을 읽을 수 있지만 파일을 이후 버전의 Excel에서 열면 편집 내용이 모두 제거됩니다. 자세한 정보: https://go.microsoft.com/fwlink/?linkid=870924.
댓글:
    지난달에 비해 인프라 변동사항이 없습니다 (MongoDB 사용량이 소폭 감소중) </t>
      </text>
    </comment>
    <comment ref="M368" authorId="28" shapeId="0" xr:uid="{2D46736F-EE30-4FCA-991A-B22DA20FFB1F}">
      <text>
        <t>[스레드 댓글]
사용 중인 버전의 Excel에서 이 스레드 댓글을 읽을 수 있지만 파일을 이후 버전의 Excel에서 열면 편집 내용이 모두 제거됩니다. 자세한 정보: https://go.microsoft.com/fwlink/?linkid=870924.
댓글:
    EBC 18,000,000원 포함</t>
      </text>
    </comment>
    <comment ref="L369" authorId="29" shapeId="0" xr:uid="{15770DF0-9082-4D26-9B66-F74A71982FB3}">
      <text>
        <t>[스레드 댓글]
사용 중인 버전의 Excel에서 이 스레드 댓글을 읽을 수 있지만 파일을 이후 버전의 Excel에서 열면 편집 내용이 모두 제거됩니다. 자세한 정보: https://go.microsoft.com/fwlink/?linkid=870924.
댓글:
    Krafton 홈페이지 CDN 테스트때문에 비용상승</t>
      </text>
    </comment>
    <comment ref="H478" authorId="30" shapeId="0" xr:uid="{CCC6CC34-013B-4C31-ADF3-9DB30F4FD205}">
      <text>
        <t>[스레드 댓글]
사용 중인 버전의 Excel에서 이 스레드 댓글을 읽을 수 있지만 파일을 이후 버전의 Excel에서 열면 편집 내용이 모두 제거됩니다. 자세한 정보: https://go.microsoft.com/fwlink/?linkid=870924.
댓글:
    Datadog_Subnautica2 -&gt; Unknown Worlds 변경</t>
      </text>
    </comment>
    <comment ref="H479" authorId="31" shapeId="0" xr:uid="{09994156-15F3-B44A-894C-87C78F26C300}">
      <text>
        <t>[스레드 댓글]
사용 중인 버전의 Excel에서 이 스레드 댓글을 읽을 수 있지만 파일을 이후 버전의 Excel에서 열면 편집 내용이 모두 제거됩니다. 자세한 정보: https://go.microsoft.com/fwlink/?linkid=870924.
댓글:
    Datadog_Subnautica2 -&gt; Unknown Worlds 변경</t>
      </text>
    </comment>
    <comment ref="L516" authorId="32" shapeId="0" xr:uid="{403D9AB3-D852-401D-8CEB-50A5BDC47DF7}">
      <text>
        <t xml:space="preserve">[스레드 댓글]
사용 중인 버전의 Excel에서 이 스레드 댓글을 읽을 수 있지만 파일을 이후 버전의 Excel에서 열면 편집 내용이 모두 제거됩니다. 자세한 정보: https://go.microsoft.com/fwlink/?linkid=870924.
댓글:
    3월 게임 출시에 맞춰 일시적으로 늘려 운영했으나 4월부터 점진적으로 사용량을 줄이고 있음
</t>
      </text>
    </comment>
    <comment ref="H537" authorId="33" shapeId="0" xr:uid="{D9C8563A-0C06-4A86-B57E-0FD4040572E2}">
      <text>
        <t>[스레드 댓글]
사용 중인 버전의 Excel에서 이 스레드 댓글을 읽을 수 있지만 파일을 이후 버전의 Excel에서 열면 편집 내용이 모두 제거됩니다. 자세한 정보: https://go.microsoft.com/fwlink/?linkid=870924.
댓글:
    자회사 새로 생성하려면 계약서를 수정해야해서 어려움</t>
      </text>
    </comment>
    <comment ref="L537" authorId="34" shapeId="0" xr:uid="{4ADD4323-F3B9-481E-8561-019E27A7964D}">
      <text>
        <t xml:space="preserve">[스레드 댓글]
사용 중인 버전의 Excel에서 이 스레드 댓글을 읽을 수 있지만 파일을 이후 버전의 Excel에서 열면 편집 내용이 모두 제거됩니다. 자세한 정보: https://go.microsoft.com/fwlink/?linkid=870924.
댓글:
    최적화와 환경정리로 인한 비용감소, 7월에는 마케팅하고 소량 로드테스트로 조금 증가할 예정 </t>
      </text>
    </comment>
    <comment ref="M537" authorId="35" shapeId="0" xr:uid="{47B27EEE-09C2-48CF-8367-3BAE9576923A}">
      <text>
        <t>[스레드 댓글]
사용 중인 버전의 Excel에서 이 스레드 댓글을 읽을 수 있지만 파일을 이후 버전의 Excel에서 열면 편집 내용이 모두 제거됩니다. 자세한 정보: https://go.microsoft.com/fwlink/?linkid=870924.
댓글:
    내부에서 진행하는 브라질 2차 베타 테스트로 비용 소폭 상승
6월, 7월도 5월과 유사하게 비용이 나올 것으로 예상</t>
      </text>
    </comment>
    <comment ref="H572" authorId="36" shapeId="0" xr:uid="{867490FD-F05A-BB4E-BA1C-DFF3E025938A}">
      <text>
        <t xml:space="preserve">[스레드 댓글]
사용 중인 버전의 Excel에서 이 스레드 댓글을 읽을 수 있지만 파일을 이후 버전의 Excel에서 열면 편집 내용이 모두 제거됩니다. 자세한 정보: https://go.microsoft.com/fwlink/?linkid=870924.
댓글:
    PUBG PC/Console &amp; Console </t>
      </text>
    </comment>
    <comment ref="H573" authorId="37" shapeId="0" xr:uid="{1A9B0FB2-B18D-4B4E-87ED-F3FE07E4D55D}">
      <text>
        <t xml:space="preserve">[스레드 댓글]
사용 중인 버전의 Excel에서 이 스레드 댓글을 읽을 수 있지만 파일을 이후 버전의 Excel에서 열면 편집 내용이 모두 제거됩니다. 자세한 정보: https://go.microsoft.com/fwlink/?linkid=870924.
댓글:
    PUBG KR/JP service </t>
      </text>
    </comment>
    <comment ref="H574" authorId="38" shapeId="0" xr:uid="{5C5F7BEF-8514-5A42-8022-0AD1EC7CDFFF}">
      <text>
        <t>[스레드 댓글]
사용 중인 버전의 Excel에서 이 스레드 댓글을 읽을 수 있지만 파일을 이후 버전의 Excel에서 열면 편집 내용이 모두 제거됩니다. 자세한 정보: https://go.microsoft.com/fwlink/?linkid=870924.
댓글:
    러시아 Users 크래프톤 계정
현재는 PUBG user 계정, 향후 XTMR 포함 예정</t>
      </text>
    </comment>
    <comment ref="H575" authorId="39" shapeId="0" xr:uid="{913EF799-A961-400C-B399-70AA54CA4043}">
      <text>
        <t>[스레드 댓글]
사용 중인 버전의 Excel에서 이 스레드 댓글을 읽을 수 있지만 파일을 이후 버전의 Excel에서 열면 편집 내용이 모두 제거됩니다. 자세한 정보: https://go.microsoft.com/fwlink/?linkid=870924.
댓글:
    25년 7월부터 Player Support Team 에서 COS 상품 사용 예정 비용 귀속 및 검수요청은 권명숙님</t>
      </text>
    </comment>
    <comment ref="M575" authorId="40" shapeId="0" xr:uid="{3C9DAE79-39F9-4F07-9DF7-48F801117B4D}">
      <text>
        <t>[스레드 댓글]
사용 중인 버전의 Excel에서 이 스레드 댓글을 읽을 수 있지만 파일을 이후 버전의 Excel에서 열면 편집 내용이 모두 제거됩니다. 자세한 정보: https://go.microsoft.com/fwlink/?linkid=870924.
댓글:
    Player Support Team 사용 비용</t>
      </text>
    </comment>
    <comment ref="H577" authorId="41" shapeId="0" xr:uid="{FE5398DB-AF50-D44E-8DB5-4F1E40BC0324}">
      <text>
        <t xml:space="preserve">[스레드 댓글]
사용 중인 버전의 Excel에서 이 스레드 댓글을 읽을 수 있지만 파일을 이후 버전의 Excel에서 열면 편집 내용이 모두 제거됩니다. 자세한 정보: https://go.microsoft.com/fwlink/?linkid=870924.
댓글:
    Service Infra 팀 QA Test 계정 </t>
      </text>
    </comment>
    <comment ref="H578" authorId="42" shapeId="0" xr:uid="{E911A4FF-99D5-49E3-929D-1B4779A3E440}">
      <text>
        <t xml:space="preserve">[스레드 댓글]
사용 중인 버전의 Excel에서 이 스레드 댓글을 읽을 수 있지만 파일을 이후 버전의 Excel에서 열면 편집 내용이 모두 제거됩니다. 자세한 정보: https://go.microsoft.com/fwlink/?linkid=870924.
댓글:
    형상 관리 테스트 계정 </t>
      </text>
    </comment>
    <comment ref="L579" authorId="43" shapeId="0" xr:uid="{4C72878A-2156-40B9-9BE7-31E56E69B35D}">
      <text>
        <t xml:space="preserve">[스레드 댓글]
사용 중인 버전의 Excel에서 이 스레드 댓글을 읽을 수 있지만 파일을 이후 버전의 Excel에서 열면 편집 내용이 모두 제거됩니다. 자세한 정보: https://go.microsoft.com/fwlink/?linkid=870924.
댓글:
    유저수 증가로 인한 머신사용량 증가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tc={9034A153-4F3E-4C69-9DD7-F37C60C85A37}</author>
    <author>tc={E3D96019-1595-4DDD-965F-44BBE0E25A3B}</author>
  </authors>
  <commentList>
    <comment ref="J2" authorId="0" shapeId="0" xr:uid="{9034A153-4F3E-4C69-9DD7-F37C60C85A37}">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H5" authorId="1" shapeId="0" xr:uid="{E3D96019-1595-4DDD-965F-44BBE0E25A3B}">
      <text>
        <t>[스레드 댓글]
사용 중인 버전의 Excel에서 이 스레드 댓글을 읽을 수 있지만 파일을 이후 버전의 Excel에서 열면 편집 내용이 모두 제거됩니다. 자세한 정보: https://go.microsoft.com/fwlink/?linkid=870924.
댓글:
    김태완님으로 변경필요</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tc={CC002D7C-77A6-49B7-8722-EF36C91281C0}</author>
    <author>tc={D9130AEB-0A7C-4288-9086-3B5BD96C9237}</author>
    <author>tc={2E0489F4-9B19-4551-83D8-CEA5C1EAE2C6}</author>
    <author>tc={3B47B248-5DEE-467E-96F9-A4578AFC3466}</author>
    <author>tc={9D04FD04-5E20-4BC3-80A0-E6023136D782}</author>
    <author>tc={2AE477E5-5E36-43F8-8F86-7CBB2544615D}</author>
    <author>Yunseul Lee (이윤슬)</author>
    <author>tc={24052DC3-38EB-4803-A9F5-A54B0852C0C8}</author>
    <author>tc={76AF07A7-5D83-4D1B-A186-5D3D97B5CA6A}</author>
    <author>tc={3C5D5728-6E4F-45AA-86D1-56EA0EAE3885}</author>
    <author>tc={0582C72F-B680-4255-952E-B775B1787CFB}</author>
    <author>tc={FA0DCD6C-E7F8-4AEB-BCA2-E8C730D0F540}</author>
    <author>tc={8D4C6979-E105-4E2D-8C65-83538308E99D}</author>
    <author>tc={65A70FC6-70F3-4D30-8F9E-1D8B870006B8}</author>
    <author>tc={1B11E0B5-4AC1-4AE2-91F2-39F7E8085FCD}</author>
    <author>tc={08049CE7-B454-40A6-8E9E-B04FE3EBE8FD}</author>
  </authors>
  <commentList>
    <comment ref="J2" authorId="0" shapeId="0" xr:uid="{CC002D7C-77A6-49B7-8722-EF36C91281C0}">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G7" authorId="1" shapeId="0" xr:uid="{D9130AEB-0A7C-4288-9086-3B5BD96C9237}">
      <text>
        <t>[스레드 댓글]
사용 중인 버전의 Excel에서 이 스레드 댓글을 읽을 수 있지만 파일을 이후 버전의 Excel에서 열면 편집 내용이 모두 제거됩니다. 자세한 정보: https://go.microsoft.com/fwlink/?linkid=870924.
댓글:
    담당자 확인 요청 상태</t>
      </text>
    </comment>
    <comment ref="I11" authorId="2" shapeId="0" xr:uid="{2E0489F4-9B19-4551-83D8-CEA5C1EAE2C6}">
      <text>
        <t>[스레드 댓글]
사용 중인 버전의 Excel에서 이 스레드 댓글을 읽을 수 있지만 파일을 이후 버전의 Excel에서 열면 편집 내용이 모두 제거됩니다. 자세한 정보: https://go.microsoft.com/fwlink/?linkid=870924.
댓글:
    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
      </text>
    </comment>
    <comment ref="A18" authorId="3" shapeId="0" xr:uid="{3B47B248-5DEE-467E-96F9-A4578AFC3466}">
      <text>
        <t>[스레드 댓글]
사용 중인 버전의 Excel에서 이 스레드 댓글을 읽을 수 있지만 파일을 이후 버전의 Excel에서 열면 편집 내용이 모두 제거됩니다. 자세한 정보: https://go.microsoft.com/fwlink/?linkid=870924.
댓글:
    2023.12.12통합빌링</t>
      </text>
    </comment>
    <comment ref="E21" authorId="4" shapeId="0" xr:uid="{9D04FD04-5E20-4BC3-80A0-E6023136D782}">
      <text>
        <t xml:space="preserve">[스레드 댓글]
사용 중인 버전의 Excel에서 이 스레드 댓글을 읽을 수 있지만 파일을 이후 버전의 Excel에서 열면 편집 내용이 모두 제거됩니다. 자세한 정보: https://go.microsoft.com/fwlink/?linkid=870924.
댓글:
    팀명 변경으로 인한 수정 DL Service Dept. -&gt; DL Service Dev Team -&gt; &gt;AI Agent Dev Team </t>
      </text>
    </comment>
    <comment ref="G47" authorId="5" shapeId="0" xr:uid="{2AE477E5-5E36-43F8-8F86-7CBB2544615D}">
      <text>
        <t xml:space="preserve">[스레드 댓글]
사용 중인 버전의 Excel에서 이 스레드 댓글을 읽을 수 있지만 파일을 이후 버전의 Excel에서 열면 편집 내용이 모두 제거됩니다. 자세한 정보: https://go.microsoft.com/fwlink/?linkid=870924.
댓글:
    ReLU
</t>
      </text>
    </comment>
    <comment ref="A64" authorId="6" shapeId="0" xr:uid="{1758B41E-C486-426F-8C72-23DC9A030526}">
      <text>
        <r>
          <rPr>
            <sz val="11"/>
            <color theme="1"/>
            <rFont val="맑은 고딕"/>
            <family val="2"/>
            <charset val="129"/>
            <scheme val="minor"/>
          </rPr>
          <t xml:space="preserve">Yunseul Lee (이윤슬):
</t>
        </r>
      </text>
    </comment>
    <comment ref="G66" authorId="7" shapeId="0" xr:uid="{24052DC3-38EB-4803-A9F5-A54B0852C0C8}">
      <text>
        <t>[스레드 댓글]
사용 중인 버전의 Excel에서 이 스레드 댓글을 읽을 수 있지만 파일을 이후 버전의 Excel에서 열면 편집 내용이 모두 제거됩니다. 자세한 정보: https://go.microsoft.com/fwlink/?linkid=870924.
댓글:
    원래 박건우</t>
      </text>
    </comment>
    <comment ref="A72" authorId="8" shapeId="0" xr:uid="{76AF07A7-5D83-4D1B-A186-5D3D97B5CA6A}">
      <text>
        <t>[스레드 댓글]
사용 중인 버전의 Excel에서 이 스레드 댓글을 읽을 수 있지만 파일을 이후 버전의 Excel에서 열면 편집 내용이 모두 제거됩니다. 자세한 정보: https://go.microsoft.com/fwlink/?linkid=870924.
댓글:
    23.12.07 빌링통합</t>
      </text>
    </comment>
    <comment ref="A74" authorId="9" shapeId="0" xr:uid="{3C5D5728-6E4F-45AA-86D1-56EA0EAE3885}">
      <text>
        <t>[스레드 댓글]
사용 중인 버전의 Excel에서 이 스레드 댓글을 읽을 수 있지만 파일을 이후 버전의 Excel에서 열면 편집 내용이 모두 제거됩니다. 자세한 정보: https://go.microsoft.com/fwlink/?linkid=870924.
댓글:
    2023.12.22통합빌링</t>
      </text>
    </comment>
    <comment ref="A80" authorId="10" shapeId="0" xr:uid="{0582C72F-B680-4255-952E-B775B1787CFB}">
      <text>
        <t>[스레드 댓글]
사용 중인 버전의 Excel에서 이 스레드 댓글을 읽을 수 있지만 파일을 이후 버전의 Excel에서 열면 편집 내용이 모두 제거됩니다. 자세한 정보: https://go.microsoft.com/fwlink/?linkid=870924.
댓글:
    2023.12.18통합빌링</t>
      </text>
    </comment>
    <comment ref="A81" authorId="11" shapeId="0" xr:uid="{FA0DCD6C-E7F8-4AEB-BCA2-E8C730D0F540}">
      <text>
        <t>[스레드 댓글]
사용 중인 버전의 Excel에서 이 스레드 댓글을 읽을 수 있지만 파일을 이후 버전의 Excel에서 열면 편집 내용이 모두 제거됩니다. 자세한 정보: https://go.microsoft.com/fwlink/?linkid=870924.
댓글:
    2023.12.27통합빌링</t>
      </text>
    </comment>
    <comment ref="A90" authorId="12" shapeId="0" xr:uid="{8D4C6979-E105-4E2D-8C65-83538308E99D}">
      <text>
        <t>[스레드 댓글]
사용 중인 버전의 Excel에서 이 스레드 댓글을 읽을 수 있지만 파일을 이후 버전의 Excel에서 열면 편집 내용이 모두 제거됩니다. 자세한 정보: https://go.microsoft.com/fwlink/?linkid=870924.
댓글:
    ttps://jira.krafton.com/browse/SYSTEM-451</t>
      </text>
    </comment>
    <comment ref="G102" authorId="13" shapeId="0" xr:uid="{65A70FC6-70F3-4D30-8F9E-1D8B870006B8}">
      <text>
        <t>[스레드 댓글]
사용 중인 버전의 Excel에서 이 스레드 댓글을 읽을 수 있지만 파일을 이후 버전의 Excel에서 열면 편집 내용이 모두 제거됩니다. 자세한 정보: https://go.microsoft.com/fwlink/?linkid=870924.
댓글:
    누구인지알수없어파트장지정</t>
      </text>
    </comment>
    <comment ref="H114" authorId="14" shapeId="0" xr:uid="{1B11E0B5-4AC1-4AE2-91F2-39F7E8085FCD}">
      <text>
        <t>[스레드 댓글]
사용 중인 버전의 Excel에서 이 스레드 댓글을 읽을 수 있지만 파일을 이후 버전의 Excel에서 열면 편집 내용이 모두 제거됩니다. 자세한 정보: https://go.microsoft.com/fwlink/?linkid=870924.
댓글:
    김하은님요청으로 문중현님으로 변경</t>
      </text>
    </comment>
    <comment ref="A121" authorId="15" shapeId="0" xr:uid="{08049CE7-B454-40A6-8E9E-B04FE3EBE8FD}">
      <text>
        <t>[스레드 댓글]
사용 중인 버전의 Excel에서 이 스레드 댓글을 읽을 수 있지만 파일을 이후 버전의 Excel에서 열면 편집 내용이 모두 제거됩니다. 자세한 정보: https://go.microsoft.com/fwlink/?linkid=870924.
댓글:
    23.12.26 빌링해지</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tc={DBFD0523-BAD0-4F44-AD78-04CB8AFC83CF}</author>
    <author>tc={8C6B0FAC-C40E-4384-95E4-C383D2A04E51}</author>
    <author>tc={941BDC15-84D8-40AD-89C2-DEA8ACCB464E}</author>
    <author>tc={8376D13C-7FAE-4CF1-B3CB-167AFD985A0C}</author>
    <author>tc={B2C0DD30-FB57-46B5-B2B4-30172E80E72F}</author>
    <author>tc={AA6921F9-5444-48C4-A058-8C0844E87840}</author>
    <author>tc={96485F04-3F76-46C3-A2BF-9208116E63A2}</author>
    <author>tc={2A3469BE-C2C9-4CD1-B4A0-20947308506D}</author>
    <author>tc={2A8A6153-14A6-4DDA-BABE-E00C09569582}</author>
    <author>tc={DF0B68CC-A680-445E-9855-1D3325669AE9}</author>
    <author>tc={A3CD69B2-1C07-47DE-B73B-E2F07A9CC8AA}</author>
    <author>tc={64BA24C1-54C1-4087-8AA3-8DB4579C0661}</author>
    <author>tc={FFA3E287-CD3E-4CDB-AACC-92B04DC4BFF0}</author>
    <author>tc={5301F326-B42D-49B5-891E-CE6054A08371}</author>
    <author>tc={45EB16BD-780A-47F7-8742-CB5F310E4980}</author>
    <author>tc={4E29B3F1-5157-4FE4-973F-3BE64CD08ACA}</author>
    <author>tc={7B834E97-C1C5-4E7C-A0C0-3AE558C6CFBE}</author>
    <author>tc={4AD49B22-18C8-4612-925D-6F0EABF20AE8}</author>
    <author>tc={1965F77D-079C-48B0-89BD-238B5612F1D0}</author>
    <author>tc={5CDCAC05-CB13-4340-8A2F-4EBAF5DC6A62}</author>
    <author>tc={34367A13-54E0-4913-801E-DB4929F07224}</author>
    <author>tc={CB66AFFB-C6C1-4DD4-9265-45CE43C0F179}</author>
    <author>tc={A2C78D7D-1D76-4474-BA64-8E2CD34119AE}</author>
    <author>tc={213920B6-D1D4-414B-B1B8-2248B94B9DFA}</author>
    <author>tc={292FB826-EA9A-4DAB-8D70-53B4EEBFBB7D}</author>
    <author>tc={C3D41689-1E4A-4C34-A012-33A80241D9FF}</author>
    <author>tc={AD06C136-1005-4AEC-9F01-8FB3325399F8}</author>
    <author>tc={E96B2CE4-8DDD-4478-A386-AAA2F980B9D3}</author>
    <author>tc={767097AB-C10E-4A4C-9B02-84D90D852807}</author>
    <author>tc={644D349F-5665-49CA-97CB-866ACC9F9A31}</author>
    <author>tc={6FC86B60-5C51-4CAC-85B3-C29819942FF2}</author>
    <author>tc={DE1A6382-0F85-4877-937B-B5BC22FE93C2}</author>
    <author>tc={E8298E27-2757-4A03-82DE-95D3F302CD03}</author>
    <author>tc={7FFF0C7F-7096-4677-84E7-61CE0EB3A8EC}</author>
    <author>tc={974E1A0E-63BC-415B-AF23-C114A7136D56}</author>
    <author>tc={A27322C6-4B87-4F55-A562-B664B623EB83}</author>
  </authors>
  <commentList>
    <comment ref="J2" authorId="0" shapeId="0" xr:uid="{DBFD0523-BAD0-4F44-AD78-04CB8AFC83CF}">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6" authorId="1" shapeId="0" xr:uid="{8C6B0FAC-C40E-4384-95E4-C383D2A04E51}">
      <text>
        <t>[스레드 댓글]
사용 중인 버전의 Excel에서 이 스레드 댓글을 읽을 수 있지만 파일을 이후 버전의 Excel에서 열면 편집 내용이 모두 제거됩니다. 자세한 정보: https://go.microsoft.com/fwlink/?linkid=870924.
댓글: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7" authorId="2" shapeId="0" xr:uid="{941BDC15-84D8-40AD-89C2-DEA8ACCB464E}">
      <text>
        <t>[스레드 댓글]
사용 중인 버전의 Excel에서 이 스레드 댓글을 읽을 수 있지만 파일을 이후 버전의 Excel에서 열면 편집 내용이 모두 제거됩니다. 자세한 정보: https://go.microsoft.com/fwlink/?linkid=870924.
댓글: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9" authorId="3" shapeId="0" xr:uid="{8376D13C-7FAE-4CF1-B3CB-167AFD985A0C}">
      <text>
        <t>[스레드 댓글]
사용 중인 버전의 Excel에서 이 스레드 댓글을 읽을 수 있지만 파일을 이후 버전의 Excel에서 열면 편집 내용이 모두 제거됩니다. 자세한 정보: https://go.microsoft.com/fwlink/?linkid=870924.
댓글:
    김완건왈 20231226 삭제불가.
BGMI 관련 DB 모니터링 데이터 수집 용도로 Managed Grafana, ADF 서비스 등 운영 중입니다.</t>
      </text>
    </comment>
    <comment ref="E9" authorId="4" shapeId="0" xr:uid="{B2C0DD30-FB57-46B5-B2B4-30172E80E72F}">
      <text>
        <t xml:space="preserve">[스레드 댓글]
사용 중인 버전의 Excel에서 이 스레드 댓글을 읽을 수 있지만 파일을 이후 버전의 Excel에서 열면 편집 내용이 모두 제거됩니다. 자세한 정보: https://go.microsoft.com/fwlink/?linkid=870924.
댓글:
    팀 이름 변경에 따라 수정 [N/A]Data Infra Engineering Team -&gt;  DevData Engineering Team </t>
      </text>
    </comment>
    <comment ref="A14" authorId="5" shapeId="0" xr:uid="{AA6921F9-5444-48C4-A058-8C0844E87840}">
      <text>
        <t>[스레드 댓글]
사용 중인 버전의 Excel에서 이 스레드 댓글을 읽을 수 있지만 파일을 이후 버전의 Excel에서 열면 편집 내용이 모두 제거됩니다. 자세한 정보: https://go.microsoft.com/fwlink/?linkid=870924.
댓글:
    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
      </text>
    </comment>
    <comment ref="A15" authorId="6" shapeId="0" xr:uid="{96485F04-3F76-46C3-A2BF-9208116E63A2}">
      <text>
        <t>[스레드 댓글]
사용 중인 버전의 Excel에서 이 스레드 댓글을 읽을 수 있지만 파일을 이후 버전의 Excel에서 열면 편집 내용이 모두 제거됩니다. 자세한 정보: https://go.microsoft.com/fwlink/?linkid=870924.
댓글:
    김완건왈 20231226 삭제불가. 
	•	삭제 불가
	◦	저희 팀 Azure 서비스 관련 개발 및 테스트 용도 입니다.</t>
      </text>
    </comment>
    <comment ref="A16" authorId="7" shapeId="0" xr:uid="{2A3469BE-C2C9-4CD1-B4A0-20947308506D}">
      <text>
        <t>[스레드 댓글]
사용 중인 버전의 Excel에서 이 스레드 댓글을 읽을 수 있지만 파일을 이후 버전의 Excel에서 열면 편집 내용이 모두 제거됩니다. 자세한 정보: https://go.microsoft.com/fwlink/?linkid=870924.
댓글: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G16" authorId="8" shapeId="0" xr:uid="{2A8A6153-14A6-4DDA-BABE-E00C09569582}">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16" authorId="9" shapeId="0" xr:uid="{DF0B68CC-A680-445E-9855-1D3325669AE9}">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17" authorId="10" shapeId="0" xr:uid="{A3CD69B2-1C07-47DE-B73B-E2F07A9CC8AA}">
      <text>
        <t>[스레드 댓글]
사용 중인 버전의 Excel에서 이 스레드 댓글을 읽을 수 있지만 파일을 이후 버전의 Excel에서 열면 편집 내용이 모두 제거됩니다. 자세한 정보: https://go.microsoft.com/fwlink/?linkid=870924.
댓글:
    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
      </text>
    </comment>
    <comment ref="A20" authorId="11" shapeId="0" xr:uid="{64BA24C1-54C1-4087-8AA3-8DB4579C0661}">
      <text>
        <t>[스레드 댓글]
사용 중인 버전의 Excel에서 이 스레드 댓글을 읽을 수 있지만 파일을 이후 버전의 Excel에서 열면 편집 내용이 모두 제거됩니다. 자세한 정보: https://go.microsoft.com/fwlink/?linkid=870924.
댓글:
    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
      </text>
    </comment>
    <comment ref="A34" authorId="12" shapeId="0" xr:uid="{FFA3E287-CD3E-4CDB-AACC-92B04DC4BFF0}">
      <text>
        <t>[스레드 댓글]
사용 중인 버전의 Excel에서 이 스레드 댓글을 읽을 수 있지만 파일을 이후 버전의 Excel에서 열면 편집 내용이 모두 제거됩니다. 자세한 정보: https://go.microsoft.com/fwlink/?linkid=870924.
댓글:
    김완건왈 20231226 	•	서비스 인프라 팀 or BGMI Devops 팀 확인 필요
	◦	사용한 적이 없어서 정확한 용도를 모르겠습니다. ^^;;
	◦	마감 때까지 조금 더 확인해 보도록 하겠습니다.
답글:
    김완건님이 기여자에 있음</t>
      </text>
    </comment>
    <comment ref="G37" authorId="13" shapeId="0" xr:uid="{5301F326-B42D-49B5-891E-CE6054A08371}">
      <text>
        <t>[스레드 댓글]
사용 중인 버전의 Excel에서 이 스레드 댓글을 읽을 수 있지만 파일을 이후 버전의 Excel에서 열면 편집 내용이 모두 제거됩니다. 자세한 정보: https://go.microsoft.com/fwlink/?linkid=870924.
댓글:
    ReLU로 이동</t>
      </text>
    </comment>
    <comment ref="A40" authorId="14" shapeId="0" xr:uid="{45EB16BD-780A-47F7-8742-CB5F310E4980}">
      <text>
        <t>[스레드 댓글]
사용 중인 버전의 Excel에서 이 스레드 댓글을 읽을 수 있지만 파일을 이후 버전의 Excel에서 열면 편집 내용이 모두 제거됩니다. 자세한 정보: https://go.microsoft.com/fwlink/?linkid=870924.
댓글:
    이제우님이 삭제 confirmed</t>
      </text>
    </comment>
    <comment ref="A43" authorId="15" shapeId="0" xr:uid="{4E29B3F1-5157-4FE4-973F-3BE64CD08ACA}">
      <text>
        <t>[스레드 댓글]
사용 중인 버전의 Excel에서 이 스레드 댓글을 읽을 수 있지만 파일을 이후 버전의 Excel에서 열면 편집 내용이 모두 제거됩니다. 자세한 정보: https://go.microsoft.com/fwlink/?linkid=870924.
댓글:
    박선영님이 삭제 confirmed</t>
      </text>
    </comment>
    <comment ref="G43" authorId="16" shapeId="0" xr:uid="{7B834E97-C1C5-4E7C-A0C0-3AE558C6CFBE}">
      <text>
        <t>[스레드 댓글]
사용 중인 버전의 Excel에서 이 스레드 댓글을 읽을 수 있지만 파일을 이후 버전의 Excel에서 열면 편집 내용이 모두 제거됩니다. 자세한 정보: https://go.microsoft.com/fwlink/?linkid=870924.
댓글:
    ReLU로 이동</t>
      </text>
    </comment>
    <comment ref="A44" authorId="17" shapeId="0" xr:uid="{4AD49B22-18C8-4612-925D-6F0EABF20AE8}">
      <text>
        <t>[스레드 댓글]
사용 중인 버전의 Excel에서 이 스레드 댓글을 읽을 수 있지만 파일을 이후 버전의 Excel에서 열면 편집 내용이 모두 제거됩니다. 자세한 정보: https://go.microsoft.com/fwlink/?linkid=870924.
댓글:
    이기문님이 삭제 confirmed</t>
      </text>
    </comment>
    <comment ref="G44" authorId="18" shapeId="0" xr:uid="{1965F77D-079C-48B0-89BD-238B5612F1D0}">
      <text>
        <t>[스레드 댓글]
사용 중인 버전의 Excel에서 이 스레드 댓글을 읽을 수 있지만 파일을 이후 버전의 Excel에서 열면 편집 내용이 모두 제거됩니다. 자세한 정보: https://go.microsoft.com/fwlink/?linkid=870924.
댓글:
    ReLU로 이동</t>
      </text>
    </comment>
    <comment ref="G46" authorId="19" shapeId="0" xr:uid="{5CDCAC05-CB13-4340-8A2F-4EBAF5DC6A62}">
      <text>
        <t>[스레드 댓글]
사용 중인 버전의 Excel에서 이 스레드 댓글을 읽을 수 있지만 파일을 이후 버전의 Excel에서 열면 편집 내용이 모두 제거됩니다. 자세한 정보: https://go.microsoft.com/fwlink/?linkid=870924.
댓글:
    ReLU로 이동
답글:
    전필규님이 삭제 confirmed</t>
      </text>
    </comment>
    <comment ref="A48" authorId="20" shapeId="0" xr:uid="{34367A13-54E0-4913-801E-DB4929F07224}">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8" authorId="21" shapeId="0" xr:uid="{CB66AFFB-C6C1-4DD4-9265-45CE43C0F179}">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48" authorId="22" shapeId="0" xr:uid="{A2C78D7D-1D76-4474-BA64-8E2CD34119AE}">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49" authorId="23" shapeId="0" xr:uid="{213920B6-D1D4-414B-B1B8-2248B94B9DFA}">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49" authorId="24" shapeId="0" xr:uid="{292FB826-EA9A-4DAB-8D70-53B4EEBFBB7D}">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49" authorId="25" shapeId="0" xr:uid="{C3D41689-1E4A-4C34-A012-33A80241D9FF}">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50" authorId="26" shapeId="0" xr:uid="{AD06C136-1005-4AEC-9F01-8FB3325399F8}">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0" authorId="27" shapeId="0" xr:uid="{E96B2CE4-8DDD-4478-A386-AAA2F980B9D3}">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50" authorId="28" shapeId="0" xr:uid="{767097AB-C10E-4A4C-9B02-84D90D852807}">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51" authorId="29" shapeId="0" xr:uid="{644D349F-5665-49CA-97CB-866ACC9F9A31}">
      <text>
        <t>[스레드 댓글]
사용 중인 버전의 Excel에서 이 스레드 댓글을 읽을 수 있지만 파일을 이후 버전의 Excel에서 열면 편집 내용이 모두 제거됩니다. 자세한 정보: https://go.microsoft.com/fwlink/?linkid=870924.
댓글:
    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
      </text>
    </comment>
    <comment ref="G51" authorId="30" shapeId="0" xr:uid="{6FC86B60-5C51-4CAC-85B3-C29819942FF2}">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H51" authorId="31" shapeId="0" xr:uid="{DE1A6382-0F85-4877-937B-B5BC22FE93C2}">
      <text>
        <t>[스레드 댓글]
사용 중인 버전의 Excel에서 이 스레드 댓글을 읽을 수 있지만 파일을 이후 버전의 Excel에서 열면 편집 내용이 모두 제거됩니다. 자세한 정보: https://go.microsoft.com/fwlink/?linkid=870924.
댓글:
    24년 2월부터는 정승호님이 담당</t>
      </text>
    </comment>
    <comment ref="A55" authorId="32" shapeId="0" xr:uid="{E8298E27-2757-4A03-82DE-95D3F302CD03}">
      <text>
        <t>[스레드 댓글]
사용 중인 버전의 Excel에서 이 스레드 댓글을 읽을 수 있지만 파일을 이후 버전의 Excel에서 열면 편집 내용이 모두 제거됩니다. 자세한 정보: https://go.microsoft.com/fwlink/?linkid=870924.
댓글:
    AzureOpsLAB-Platform-20231227 으로 이름변경. XTRM-Web은 없는 계정</t>
      </text>
    </comment>
    <comment ref="D55" authorId="33" shapeId="0" xr:uid="{7FFF0C7F-7096-4677-84E7-61CE0EB3A8EC}">
      <text>
        <t>[스레드 댓글]
사용 중인 버전의 Excel에서 이 스레드 댓글을 읽을 수 있지만 파일을 이후 버전의 Excel에서 열면 편집 내용이 모두 제거됩니다. 자세한 정보: https://go.microsoft.com/fwlink/?linkid=870924.
댓글:
    2024년1월비용부터는 KRAFTON HQ로 변경하는 것이 타당</t>
      </text>
    </comment>
    <comment ref="A75" authorId="34" shapeId="0" xr:uid="{974E1A0E-63BC-415B-AF23-C114A7136D56}">
      <text>
        <t>[스레드 댓글]
사용 중인 버전의 Excel에서 이 스레드 댓글을 읽을 수 있지만 파일을 이후 버전의 Excel에서 열면 편집 내용이 모두 제거됩니다. 자세한 정보: https://go.microsoft.com/fwlink/?linkid=870924.
댓글:
    These subscription needs to be cancelled and deleted.</t>
      </text>
    </comment>
    <comment ref="A76" authorId="35" shapeId="0" xr:uid="{A27322C6-4B87-4F55-A562-B664B623EB83}">
      <text>
        <t>[스레드 댓글]
사용 중인 버전의 Excel에서 이 스레드 댓글을 읽을 수 있지만 파일을 이후 버전의 Excel에서 열면 편집 내용이 모두 제거됩니다. 자세한 정보: https://go.microsoft.com/fwlink/?linkid=870924.
댓글:
    These subscription needs to be cancelled and deleted.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tc={2909423B-A919-44FC-A413-C6FC34097613}</author>
    <author>tc={8BC6C720-8646-43A2-AF87-6FF4F73FA2CE}</author>
    <author>tc={DD7A20C9-C0E4-4680-8454-00FCECD017D1}</author>
    <author>tc={C68F702C-DE20-40D3-9706-94FF168C5532}</author>
    <author>tc={9460769A-9AE5-4102-9A7B-66B144DBAF00}</author>
    <author>tc={B33259C1-18E6-426B-B4E8-C564A97DDA2E}</author>
    <author>tc={8EDC81E8-E05D-4FBB-8798-79CBB01AF4CA}</author>
    <author>tc={733BEC1A-BA03-48F5-8A97-26D7CCA6E607}</author>
    <author>tc={074BC177-0967-4132-88D5-63CB4E8B52C8}</author>
    <author>tc={8794597A-F0B7-4B00-AECD-7F33DB1056EF}</author>
    <author>tc={7DA9A772-BB3D-4498-A60D-03592CDF025D}</author>
    <author>tc={528B8A46-576A-4088-8761-371BAF12D7B7}</author>
    <author>tc={09043598-0091-8244-ACD0-5BBB799A2859}</author>
  </authors>
  <commentList>
    <comment ref="J2" authorId="0" shapeId="0" xr:uid="{2909423B-A919-44FC-A413-C6FC34097613}">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3" authorId="1" shapeId="0" xr:uid="{8BC6C720-8646-43A2-AF87-6FF4F73FA2CE}">
      <text>
        <t xml:space="preserve">[스레드 댓글]
사용 중인 버전의 Excel에서 이 스레드 댓글을 읽을 수 있지만 파일을 이후 버전의 Excel에서 열면 편집 내용이 모두 제거됩니다. 자세한 정보: https://go.microsoft.com/fwlink/?linkid=870924.
댓글:
    PUBG KR/JP service </t>
      </text>
    </comment>
    <comment ref="G3" authorId="2" shapeId="0" xr:uid="{DD7A20C9-C0E4-4680-8454-00FCECD017D1}">
      <text>
        <t>[스레드 댓글]
사용 중인 버전의 Excel에서 이 스레드 댓글을 읽을 수 있지만 파일을 이후 버전의 Excel에서 열면 편집 내용이 모두 제거됩니다. 자세한 정보: https://go.microsoft.com/fwlink/?linkid=870924.
댓글:
    김민우님의 신규 팀장 채용에 따른 변경 요청에 따라 기존 한정아님에서 김연님으로 변경</t>
      </text>
    </comment>
    <comment ref="A4" authorId="3" shapeId="0" xr:uid="{C68F702C-DE20-40D3-9706-94FF168C5532}">
      <text>
        <t xml:space="preserve">[스레드 댓글]
사용 중인 버전의 Excel에서 이 스레드 댓글을 읽을 수 있지만 파일을 이후 버전의 Excel에서 열면 편집 내용이 모두 제거됩니다. 자세한 정보: https://go.microsoft.com/fwlink/?linkid=870924.
댓글:
    PUBG PC/Console &amp; Console </t>
      </text>
    </comment>
    <comment ref="A5" authorId="4" shapeId="0" xr:uid="{9460769A-9AE5-4102-9A7B-66B144DBAF00}">
      <text>
        <t>[스레드 댓글]
사용 중인 버전의 Excel에서 이 스레드 댓글을 읽을 수 있지만 파일을 이후 버전의 Excel에서 열면 편집 내용이 모두 제거됩니다. 자세한 정보: https://go.microsoft.com/fwlink/?linkid=870924.
댓글:
    XTRM 게임멀티미디어 엔진(원스톱 음성솔루션) 
답글:
    해당 사항은 NS에서 사용하고 있는 사항으로 비용은 NS쪽으로 청구 되어야 합니다. 계정 인계중에 또 담당자 바뀌어서 잠시 홀딩 중에 있었습니다.
답글:
    @Chaewon Jung (정채원) root account 변경</t>
      </text>
    </comment>
    <comment ref="A6" authorId="5" shapeId="0" xr:uid="{B33259C1-18E6-426B-B4E8-C564A97DDA2E}">
      <text>
        <t xml:space="preserve">[스레드 댓글]
사용 중인 버전의 Excel에서 이 스레드 댓글을 읽을 수 있지만 파일을 이후 버전의 Excel에서 열면 편집 내용이 모두 제거됩니다. 자세한 정보: https://go.microsoft.com/fwlink/?linkid=870924.
댓글:
    XTRM R&amp;D 및 Prod </t>
      </text>
    </comment>
    <comment ref="A8" authorId="6" shapeId="0" xr:uid="{8EDC81E8-E05D-4FBB-8798-79CBB01AF4CA}">
      <text>
        <t xml:space="preserve">[스레드 댓글]
사용 중인 버전의 Excel에서 이 스레드 댓글을 읽을 수 있지만 파일을 이후 버전의 Excel에서 열면 편집 내용이 모두 제거됩니다. 자세한 정보: https://go.microsoft.com/fwlink/?linkid=870924.
댓글:
    XTRM Dev&amp;Staging account </t>
      </text>
    </comment>
    <comment ref="A9" authorId="7" shapeId="0" xr:uid="{733BEC1A-BA03-48F5-8A97-26D7CCA6E607}">
      <text>
        <t xml:space="preserve">[스레드 댓글]
사용 중인 버전의 Excel에서 이 스레드 댓글을 읽을 수 있지만 파일을 이후 버전의 Excel에서 열면 편집 내용이 모두 제거됩니다. 자세한 정보: https://go.microsoft.com/fwlink/?linkid=870924.
댓글:
    Service Infra 팀 QA Test 계정 </t>
      </text>
    </comment>
    <comment ref="A10" authorId="8" shapeId="0" xr:uid="{074BC177-0967-4132-88D5-63CB4E8B52C8}">
      <text>
        <t>[스레드 댓글]
사용 중인 버전의 Excel에서 이 스레드 댓글을 읽을 수 있지만 파일을 이후 버전의 Excel에서 열면 편집 내용이 모두 제거됩니다. 자세한 정보: https://go.microsoft.com/fwlink/?linkid=870924.
댓글:
    러시아 Users 크래프톤 계정
현재는 PUBG user 계정, 향후 XTMR 포함 예정</t>
      </text>
    </comment>
    <comment ref="A12" authorId="9" shapeId="0" xr:uid="{8794597A-F0B7-4B00-AECD-7F33DB1056EF}">
      <text>
        <t xml:space="preserve">[스레드 댓글]
사용 중인 버전의 Excel에서 이 스레드 댓글을 읽을 수 있지만 파일을 이후 버전의 Excel에서 열면 편집 내용이 모두 제거됩니다. 자세한 정보: https://go.microsoft.com/fwlink/?linkid=870924.
댓글:
    @Chaewon Jung (정채원) 님, Root account 를 변경 하였습니다. </t>
      </text>
    </comment>
    <comment ref="A13" authorId="10" shapeId="0" xr:uid="{7DA9A772-BB3D-4498-A60D-03592CDF025D}">
      <text>
        <t xml:space="preserve">[스레드 댓글]
사용 중인 버전의 Excel에서 이 스레드 댓글을 읽을 수 있지만 파일을 이후 버전의 Excel에서 열면 편집 내용이 모두 제거됩니다. 자세한 정보: https://go.microsoft.com/fwlink/?linkid=870924.
댓글:
    IM(음성 채팅) </t>
      </text>
    </comment>
    <comment ref="A14" authorId="11" shapeId="0" xr:uid="{528B8A46-576A-4088-8761-371BAF12D7B7}">
      <text>
        <t xml:space="preserve">[스레드 댓글]
사용 중인 버전의 Excel에서 이 스레드 댓글을 읽을 수 있지만 파일을 이후 버전의 Excel에서 열면 편집 내용이 모두 제거됩니다. 자세한 정보: https://go.microsoft.com/fwlink/?linkid=870924.
댓글:
    형상 관리 테스트 계정 </t>
      </text>
    </comment>
    <comment ref="F16" authorId="12" shapeId="0" xr:uid="{09043598-0091-8244-ACD0-5BBB799A2859}">
      <text>
        <t>[스레드 댓글]
사용 중인 버전의 Excel에서 이 스레드 댓글을 읽을 수 있지만 파일을 이후 버전의 Excel에서 열면 편집 내용이 모두 제거됩니다. 자세한 정보: https://go.microsoft.com/fwlink/?linkid=870924.
댓글:
    project AB(구 DNDM)</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tc={59844FD8-FC53-4E65-A3EA-273EB262A267}</author>
    <author>tc={EFA1FA12-BF58-4DA8-B1E2-1A69F4355BF1}</author>
    <author>tc={D59396C7-1A6E-4B0C-A6D7-82E820419371}</author>
    <author>tc={3A108C27-701B-4E34-BF23-FD457A5436FF}</author>
    <author>tc={F8538510-E84F-4059-8E0F-5DDA71F94511}</author>
    <author>tc={C0A8EB5F-80C9-6B4C-8A59-FA42F536E5E5}</author>
    <author>tc={6790C951-5164-3D4C-8FDD-1E5C36787799}</author>
    <author>tc={8C6F91A7-69AE-4D34-9E5E-0BDAAAB62320}</author>
    <author>tc={5156444D-6323-4185-8C38-19F8246DD55C}</author>
    <author>tc={36C6A201-9ED2-46B9-981B-570118EF3795}</author>
    <author>tc={63D9D51F-E0FF-426E-B3CB-C97A113DDB19}</author>
    <author>tc={CC794CB1-B0AF-4982-8F89-AF888F8E22B7}</author>
    <author>tc={D2ADF210-58F1-474D-94CE-9E21F8D0C59A}</author>
    <author>tc={EDB67CCC-AE41-364C-B7FF-E9EB9E1606C3}</author>
    <author>tc={ED752869-EA03-41E5-B5E2-4804D1705A98}</author>
    <author>tc={A6D7DAE9-BE13-4146-89AF-E6CBA3D2ABAE}</author>
  </authors>
  <commentList>
    <comment ref="J2" authorId="0" shapeId="0" xr:uid="{59844FD8-FC53-4E65-A3EA-273EB262A267}">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4" authorId="1" shapeId="0" xr:uid="{EFA1FA12-BF58-4DA8-B1E2-1A69F4355BF1}">
      <text>
        <t>[스레드 댓글]
사용 중인 버전의 Excel에서 이 스레드 댓글을 읽을 수 있지만 파일을 이후 버전의 Excel에서 열면 편집 내용이 모두 제거됩니다. 자세한 정보: https://go.microsoft.com/fwlink/?linkid=870924.
댓글:
    엘리온인프라모니터링</t>
      </text>
    </comment>
    <comment ref="A5" authorId="2" shapeId="0" xr:uid="{D59396C7-1A6E-4B0C-A6D7-82E820419371}">
      <text>
        <t>[스레드 댓글]
사용 중인 버전의 Excel에서 이 스레드 댓글을 읽을 수 있지만 파일을 이후 버전의 Excel에서 열면 편집 내용이 모두 제거됩니다. 자세한 정보: https://go.microsoft.com/fwlink/?linkid=870924.
댓글:
    Service Infra 일반 / Blueward/ Test</t>
      </text>
    </comment>
    <comment ref="E5" authorId="3" shapeId="0" xr:uid="{3A108C27-701B-4E34-BF23-FD457A5436FF}">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A6" authorId="4" shapeId="0" xr:uid="{F8538510-E84F-4059-8E0F-5DDA71F94511}">
      <text>
        <t>[스레드 댓글]
사용 중인 버전의 Excel에서 이 스레드 댓글을 읽을 수 있지만 파일을 이후 버전의 Excel에서 열면 편집 내용이 모두 제거됩니다. 자세한 정보: https://go.microsoft.com/fwlink/?linkid=870924.
댓글:
    Tera console 인프라 모니터링</t>
      </text>
    </comment>
    <comment ref="E7" authorId="5" shapeId="0" xr:uid="{C0A8EB5F-80C9-6B4C-8A59-FA42F536E5E5}">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E8" authorId="6" shapeId="0" xr:uid="{6790C951-5164-3D4C-8FDD-1E5C36787799}">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A10" authorId="7" shapeId="0" xr:uid="{8C6F91A7-69AE-4D34-9E5E-0BDAAAB62320}">
      <text>
        <t xml:space="preserve">[스레드 댓글]
사용 중인 버전의 Excel에서 이 스레드 댓글을 읽을 수 있지만 파일을 이후 버전의 Excel에서 열면 편집 내용이 모두 제거됩니다. 자세한 정보: https://go.microsoft.com/fwlink/?linkid=870924.
댓글:
    Moonbrakers 게임 서비스
</t>
      </text>
    </comment>
    <comment ref="E10" authorId="8" shapeId="0" xr:uid="{5156444D-6323-4185-8C38-19F8246DD55C}">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A15" authorId="9" shapeId="0" xr:uid="{36C6A201-9ED2-46B9-981B-570118EF3795}">
      <text>
        <t>[스레드 댓글]
사용 중인 버전의 Excel에서 이 스레드 댓글을 읽을 수 있지만 파일을 이후 버전의 Excel에서 열면 편집 내용이 모두 제거됩니다. 자세한 정보: https://go.microsoft.com/fwlink/?linkid=870924.
댓글:
    Infra platform 팀 모니터링</t>
      </text>
    </comment>
    <comment ref="A18" authorId="10" shapeId="0" xr:uid="{63D9D51F-E0FF-426E-B3CB-C97A113DDB19}">
      <text>
        <t>[스레드 댓글]
사용 중인 버전의 Excel에서 이 스레드 댓글을 읽을 수 있지만 파일을 이후 버전의 Excel에서 열면 편집 내용이 모두 제거됩니다. 자세한 정보: https://go.microsoft.com/fwlink/?linkid=870924.
댓글:
    Tera PC 인프라 모니터링</t>
      </text>
    </comment>
    <comment ref="E19" authorId="11" shapeId="0" xr:uid="{CC794CB1-B0AF-4982-8F89-AF888F8E22B7}">
      <text>
        <t>[스레드 댓글]
사용 중인 버전의 Excel에서 이 스레드 댓글을 읽을 수 있지만 파일을 이후 버전의 Excel에서 열면 편집 내용이 모두 제거됩니다. 자세한 정보: https://go.microsoft.com/fwlink/?linkid=870924.
댓글:
    허지호팀장님 : 팀변경으로 요청</t>
      </text>
    </comment>
    <comment ref="E20" authorId="12" shapeId="0" xr:uid="{D2ADF210-58F1-474D-94CE-9E21F8D0C59A}">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E24" authorId="13" shapeId="0" xr:uid="{EDB67CCC-AE41-364C-B7FF-E9EB9E1606C3}">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 ref="H26" authorId="14" shapeId="0" xr:uid="{ED752869-EA03-41E5-B5E2-4804D1705A98}">
      <text>
        <t>[스레드 댓글]
사용 중인 버전의 Excel에서 이 스레드 댓글을 읽을 수 있지만 파일을 이후 버전의 Excel에서 열면 편집 내용이 모두 제거됩니다. 자세한 정보: https://go.microsoft.com/fwlink/?linkid=870924.
댓글:
    신근우님이 왈 전경원님이 담당이라고 했는데…. 최준석님으로 통일하고 … 적절하지 않을 경우 전경원님으로 변경 예정</t>
      </text>
    </comment>
    <comment ref="E30" authorId="15" shapeId="0" xr:uid="{A6D7DAE9-BE13-4146-89AF-E6CBA3D2ABAE}">
      <text>
        <t>[스레드 댓글]
사용 중인 버전의 Excel에서 이 스레드 댓글을 읽을 수 있지만 파일을 이후 버전의 Excel에서 열면 편집 내용이 모두 제거됩니다. 자세한 정보: https://go.microsoft.com/fwlink/?linkid=870924.
댓글:
    팀명변경에 따른 수정 Service Infra Team -&gt; Service DevOps Team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tc={E834681D-C2A2-4D5F-B8E5-5E5A2C86C00D}</author>
  </authors>
  <commentList>
    <comment ref="J2" authorId="0" shapeId="0" xr:uid="{E834681D-C2A2-4D5F-B8E5-5E5A2C86C00D}">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tc={8746946F-F311-4A1F-8494-F09901345568}</author>
  </authors>
  <commentList>
    <comment ref="J2" authorId="0" shapeId="0" xr:uid="{8746946F-F311-4A1F-8494-F09901345568}">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tc={BF2F1363-6584-4B63-90A7-B0E56D67C7D9}</author>
    <author>tc={E2FAFB98-D963-4CAD-BADF-1BC4D20516C1}</author>
    <author>tc={58DC7B6A-0AC3-4E70-B34A-38D3A19B6C98}</author>
    <author>tc={5BA0D98D-0D31-4E56-BF48-FC8AF7206508}</author>
    <author>tc={CE1D4E29-51C4-40AD-9CAE-4D6F16E3589C}</author>
    <author>tc={E8948B23-DD17-4D19-991C-41FF6F75AE81}</author>
    <author>tc={6923074B-97EA-4E72-BFBB-4F99086D9988}</author>
    <author>tc={DC31C887-0EDC-4FFB-9351-B7852A2B674B}</author>
  </authors>
  <commentList>
    <comment ref="J2" authorId="0" shapeId="0" xr:uid="{BF2F1363-6584-4B63-90A7-B0E56D67C7D9}">
      <text>
        <t>[스레드 댓글]
사용 중인 버전의 Excel에서 이 스레드 댓글을 읽을 수 있지만 파일을 이후 버전의 Excel에서 열면 편집 내용이 모두 제거됩니다. 자세한 정보: https://go.microsoft.com/fwlink/?linkid=870924.
댓글:
    Contact?
* owner
* cost verifier</t>
      </text>
    </comment>
    <comment ref="A3" authorId="1" shapeId="0" xr:uid="{E2FAFB98-D963-4CAD-BADF-1BC4D20516C1}">
      <text>
        <t>[스레드 댓글]
사용 중인 버전의 Excel에서 이 스레드 댓글을 읽을 수 있지만 파일을 이후 버전의 Excel에서 열면 편집 내용이 모두 제거됩니다. 자세한 정보: https://go.microsoft.com/fwlink/?linkid=870924.
댓글:
    Unknownworlds</t>
      </text>
    </comment>
    <comment ref="E3" authorId="2" shapeId="0" xr:uid="{58DC7B6A-0AC3-4E70-B34A-38D3A19B6C98}">
      <text>
        <t xml:space="preserve">[스레드 댓글]
사용 중인 버전의 Excel에서 이 스레드 댓글을 읽을 수 있지만 파일을 이후 버전의 Excel에서 열면 편집 내용이 모두 제거됩니다. 자세한 정보: https://go.microsoft.com/fwlink/?linkid=870924.
댓글:
    기존팀 변경에 따라 수정 
Service Infra Team -&gt; Service DevOps Team </t>
      </text>
    </comment>
    <comment ref="A8" authorId="3" shapeId="0" xr:uid="{5BA0D98D-0D31-4E56-BF48-FC8AF7206508}">
      <text>
        <t>[스레드 댓글]
사용 중인 버전의 Excel에서 이 스레드 댓글을 읽을 수 있지만 파일을 이후 버전의 Excel에서 열면 편집 내용이 모두 제거됩니다. 자세한 정보: https://go.microsoft.com/fwlink/?linkid=870924.
댓글:
    GPP Dept(서강석 님)에서 관리하고 있는 프로젝트
Organization 에 미 포함되어 있음</t>
      </text>
    </comment>
    <comment ref="E12" authorId="4" shapeId="0" xr:uid="{CE1D4E29-51C4-40AD-9CAE-4D6F16E3589C}">
      <text>
        <t xml:space="preserve">[스레드 댓글]
사용 중인 버전의 Excel에서 이 스레드 댓글을 읽을 수 있지만 파일을 이후 버전의 Excel에서 열면 편집 내용이 모두 제거됩니다. 자세한 정보: https://go.microsoft.com/fwlink/?linkid=870924.
댓글:
    팀명 변경 Service Infra Team -&gt; Service DevOps Team </t>
      </text>
    </comment>
    <comment ref="A13" authorId="5" shapeId="0" xr:uid="{E8948B23-DD17-4D19-991C-41FF6F75AE81}">
      <text>
        <t>[스레드 댓글]
사용 중인 버전의 Excel에서 이 스레드 댓글을 읽을 수 있지만 파일을 이후 버전의 Excel에서 열면 편집 내용이 모두 제거됩니다. 자세한 정보: https://go.microsoft.com/fwlink/?linkid=870924.
댓글:
    서아람삭제동의</t>
      </text>
    </comment>
    <comment ref="A17" authorId="6" shapeId="0" xr:uid="{6923074B-97EA-4E72-BFBB-4F99086D9988}">
      <text>
        <t>[스레드 댓글]
사용 중인 버전의 Excel에서 이 스레드 댓글을 읽을 수 있지만 파일을 이후 버전의 Excel에서 열면 편집 내용이 모두 제거됩니다. 자세한 정보: https://go.microsoft.com/fwlink/?linkid=870924.
댓글:
    mj3428@gmail.com 천민지</t>
      </text>
    </comment>
    <comment ref="A26" authorId="7" shapeId="0" xr:uid="{DC31C887-0EDC-4FFB-9351-B7852A2B674B}">
      <text>
        <t>[스레드 댓글]
사용 중인 버전의 Excel에서 이 스레드 댓글을 읽을 수 있지만 파일을 이후 버전의 Excel에서 열면 편집 내용이 모두 제거됩니다. 자세한 정보: https://go.microsoft.com/fwlink/?linkid=870924.
댓글:
    이번달만 사용후 계정삭제예정</t>
      </text>
    </comment>
  </commentList>
</comments>
</file>

<file path=xl/sharedStrings.xml><?xml version="1.0" encoding="utf-8"?>
<sst xmlns="http://schemas.openxmlformats.org/spreadsheetml/2006/main" count="12274" uniqueCount="6230">
  <si>
    <t>Please don't change this sheet and data except the column 'Verified' with the color light gold. If necessary, contact Yunseul Lee via Slack 1:1 DM.</t>
    <phoneticPr fontId="2" type="noConversion"/>
  </si>
  <si>
    <t>ㅇ</t>
  </si>
  <si>
    <t>You verify the cost of the last month and leave the mark V in the column 'Verified'. If the value in the last month is wrong, give the description to Yunseul Lee</t>
    <phoneticPr fontId="2" type="noConversion"/>
  </si>
  <si>
    <t>Provider</t>
    <phoneticPr fontId="2" type="noConversion"/>
  </si>
  <si>
    <t>Entity</t>
  </si>
  <si>
    <t>Studio</t>
  </si>
  <si>
    <t>Team</t>
  </si>
  <si>
    <t>Project</t>
    <phoneticPr fontId="2" type="noConversion"/>
  </si>
  <si>
    <t>Team code</t>
    <phoneticPr fontId="2" type="noConversion"/>
  </si>
  <si>
    <t>Project code</t>
    <phoneticPr fontId="2" type="noConversion"/>
  </si>
  <si>
    <t>Teams Room Pro</t>
  </si>
  <si>
    <t>Owner</t>
  </si>
  <si>
    <t>Cost Reviewer</t>
    <phoneticPr fontId="2" type="noConversion"/>
  </si>
  <si>
    <t>verified</t>
  </si>
  <si>
    <t>May 2025(KRW)</t>
    <phoneticPr fontId="2" type="noConversion"/>
  </si>
  <si>
    <t>June 2025(KRW)</t>
    <phoneticPr fontId="2" type="noConversion"/>
  </si>
  <si>
    <t>July 2025(KRW)</t>
    <phoneticPr fontId="2" type="noConversion"/>
  </si>
  <si>
    <t>Aug 2025(KRW)</t>
  </si>
  <si>
    <t>Sep 2025(KRW)</t>
    <phoneticPr fontId="2" type="noConversion"/>
  </si>
  <si>
    <t>Oct 2025(KRW)</t>
    <phoneticPr fontId="2" type="noConversion"/>
  </si>
  <si>
    <t xml:space="preserve"> Nov 2025(KRW) </t>
    <phoneticPr fontId="2" type="noConversion"/>
  </si>
  <si>
    <t xml:space="preserve">Dec 2025(KRW) </t>
    <phoneticPr fontId="2" type="noConversion"/>
  </si>
  <si>
    <t>Jan 2026(KRW)</t>
    <phoneticPr fontId="2" type="noConversion"/>
  </si>
  <si>
    <t>Feb 2026(KRW)</t>
    <phoneticPr fontId="2" type="noConversion"/>
  </si>
  <si>
    <t>Mar 2026(KRW)</t>
    <phoneticPr fontId="2" type="noConversion"/>
  </si>
  <si>
    <t>Diff (KRW)
(this month - last month)</t>
  </si>
  <si>
    <t>Diff rate</t>
  </si>
  <si>
    <t>Entity Code</t>
    <phoneticPr fontId="2" type="noConversion"/>
  </si>
  <si>
    <t>Dark&amp;DarkerMoblie</t>
    <phoneticPr fontId="2" type="noConversion"/>
  </si>
  <si>
    <t>v</t>
  </si>
  <si>
    <t>Global Traffic Management</t>
  </si>
  <si>
    <t>GPP Dept</t>
  </si>
  <si>
    <t>IT Dept</t>
  </si>
  <si>
    <t>NewStateMobile</t>
  </si>
  <si>
    <t>김태완</t>
  </si>
  <si>
    <t>NitroSmash</t>
  </si>
  <si>
    <t>Protect&amp;Perform SOA with Premium</t>
  </si>
  <si>
    <t>PUBG India</t>
    <phoneticPr fontId="2" type="noConversion"/>
  </si>
  <si>
    <t>PUBG PC/Console</t>
  </si>
  <si>
    <t>SSL Network Access-Third-party - VIP</t>
  </si>
  <si>
    <t>aws_ab-anticheat-service@bluehole.net(799954618127)</t>
    <phoneticPr fontId="2" type="noConversion"/>
  </si>
  <si>
    <t>aws_adx_001@adxcorp.kr(302454496823)</t>
  </si>
  <si>
    <t>aws_adx_002@adxcorp.kr(796181577313)</t>
  </si>
  <si>
    <t>aws_adx_003@adxcorp.kr(765348431472)</t>
  </si>
  <si>
    <t>aws_adx_004@adxcorp.kr(142379511204)</t>
  </si>
  <si>
    <t>aws_adx_005@adxcorp.kr(139869765471)</t>
  </si>
  <si>
    <t>aws_adx_007@adxcorp.kr(495653056399)</t>
  </si>
  <si>
    <t>aws_adx_008@adxcorp.kr(126271033811)</t>
    <phoneticPr fontId="2" type="noConversion"/>
  </si>
  <si>
    <t>aws_bcp_prd@bluehole.net(439802505510)</t>
    <phoneticPr fontId="2" type="noConversion"/>
  </si>
  <si>
    <t>AWS_between.dev@krafton.com(616709738515)</t>
    <phoneticPr fontId="2" type="noConversion"/>
  </si>
  <si>
    <t>AWS_blackbox-dev@sds.com(659459735321)</t>
  </si>
  <si>
    <t>aws_blue@bluehole.net(611812385851)</t>
  </si>
  <si>
    <t>AWS_data-tech@krafton.com(272510915182)</t>
    <phoneticPr fontId="2" type="noConversion"/>
  </si>
  <si>
    <t>aws_de_mturk@krafton.com(036022206166)</t>
    <phoneticPr fontId="2" type="noConversion"/>
  </si>
  <si>
    <t>AWS_defensederby@risingwings.com(183323689126)</t>
  </si>
  <si>
    <t>AWS_DLD_dev@bluehole.net(171503962539)</t>
  </si>
  <si>
    <t>AWS_Dreamotion-Empire@krafton.com(828925677153)</t>
  </si>
  <si>
    <t>AWS_Dreamotion-GunStrider@krafton.com(286067354613)</t>
  </si>
  <si>
    <t>AWS_Dreamotion-RoadToValor@krafton.com(531219453947)</t>
  </si>
  <si>
    <t>AWS_Dreamotion-Ronin@krafton.com(071872665424)</t>
  </si>
  <si>
    <t>aws_engineering_security@bluehole.net(635942867251)</t>
  </si>
  <si>
    <t>aws_esports_streaming@bluehole.net(559478286890)</t>
  </si>
  <si>
    <t>AWS_FF@bluehole.net(257405109560)</t>
    <phoneticPr fontId="2" type="noConversion"/>
  </si>
  <si>
    <t>aws_gamesight@bluehole.net(171101943282)</t>
    <phoneticPr fontId="2" type="noConversion"/>
  </si>
  <si>
    <t>aws_india_publishing@bluehole.net(397907563279)</t>
    <phoneticPr fontId="2" type="noConversion"/>
  </si>
  <si>
    <t>aws_it-dev-ot-01@krafton.com(585980862501)</t>
    <phoneticPr fontId="2" type="noConversion"/>
  </si>
  <si>
    <t>aws_it-dev-ot-02@krafton.com(997525377919)</t>
    <phoneticPr fontId="2" type="noConversion"/>
  </si>
  <si>
    <t>aws_it-dev-ot-03@krafton.com(794383793399)</t>
    <phoneticPr fontId="2" type="noConversion"/>
  </si>
  <si>
    <t>aws_it-dev-ot-04@krafton.com(252497419944)</t>
    <phoneticPr fontId="2" type="noConversion"/>
  </si>
  <si>
    <t>aws_krafton_ded@bluehole.net(333537382729)</t>
    <phoneticPr fontId="2" type="noConversion"/>
  </si>
  <si>
    <t>aws_krafton_id@bluehole.net(853221784203)</t>
  </si>
  <si>
    <t>aws_krafton-service-dev-project@bluehole.net(921970894603)</t>
    <phoneticPr fontId="2" type="noConversion"/>
  </si>
  <si>
    <t>aws_kraftonde-sensitive@krafton.com(226547056751)</t>
    <phoneticPr fontId="2" type="noConversion"/>
  </si>
  <si>
    <t>aws_na_devops@bluehole.net(367916776138)</t>
  </si>
  <si>
    <t>AWS_napubtech-prod@bluehole.net(088833367732)</t>
  </si>
  <si>
    <t>AWS_napubtech-stage@bluehole.net(510906392559)</t>
  </si>
  <si>
    <t>aws_neptunez_001@neptunecompany.kr(225171097108)</t>
  </si>
  <si>
    <t>aws_neptunez_002@neptunecompany.kr(992306882093)</t>
  </si>
  <si>
    <t>aws_neptunez_003@neptunecompany.kr(470771986881)</t>
  </si>
  <si>
    <t>aws_neptunez_006@neptunecompany.kr(115255558787)</t>
  </si>
  <si>
    <t>aws_neptunez_007@neptunecompany.kr(619193641492)</t>
  </si>
  <si>
    <t>aws_neptunez_008@neptunecompany.kr(490136080242)</t>
  </si>
  <si>
    <t>aws_neptunez_009@neptunecompany.kr(566155726079)</t>
  </si>
  <si>
    <t>aws_neptunez_010@neptunecompany.kr(061838255935)</t>
  </si>
  <si>
    <t>aws_neptunez_011@neptunecompany.kr(026090535674)</t>
  </si>
  <si>
    <t>aws_neptunez_013@neptunecompany.kr(418272792542)</t>
  </si>
  <si>
    <t>aws_neptunez_014@neptunecompany.kr(050451361628)</t>
  </si>
  <si>
    <t>aws_neptunez_015@neptunecompany.kr(112554631631)</t>
  </si>
  <si>
    <t>aws_neptunez_016@neptunecompany.kr(904331955654)</t>
    <phoneticPr fontId="2" type="noConversion"/>
  </si>
  <si>
    <t>aws_neptunez_017@neptunecompany.kr(048148187150)</t>
  </si>
  <si>
    <t>aws_neptunez_018@neptunecompany.kr(187383762797)</t>
  </si>
  <si>
    <t>aws_nft_sbx_central@bluehole.net(768255055847)</t>
  </si>
  <si>
    <t>aws_nft_sbx_dev@bluehole.net(833221979697)</t>
  </si>
  <si>
    <t>aws_nimbleneuron_001@nimbleneuron.com(286122363201)</t>
  </si>
  <si>
    <t>aws_nimbleneuron_002@nimbleneuron.com(662873093770)</t>
  </si>
  <si>
    <t>aws_pbb_dev@bluehole.net(634885311994)</t>
    <phoneticPr fontId="2" type="noConversion"/>
  </si>
  <si>
    <t>aws_pbb_it@krafton.com(767398044467)</t>
    <phoneticPr fontId="2" type="noConversion"/>
  </si>
  <si>
    <t>AWS_Phoenix-Build@sds.com(245762466130)</t>
  </si>
  <si>
    <t>AWS_Phoenix-Dev@sds.com(596361038250)</t>
  </si>
  <si>
    <t>AWS_Phoenix-Live@sds.com(452304306221)</t>
  </si>
  <si>
    <t>AWS_Phoenix-Prod@sds.com(878436247507)</t>
  </si>
  <si>
    <t>aws_pubg_anticheat_service@bluehole.net(843438412681)</t>
    <phoneticPr fontId="2" type="noConversion"/>
  </si>
  <si>
    <t>aws_pubg_platform@bluehole.net(017103636613)</t>
    <phoneticPr fontId="2" type="noConversion"/>
  </si>
  <si>
    <t>aws_pubg-anticheat@bluehole.net(480544169436)</t>
  </si>
  <si>
    <t>aws_pubg-arc-project@pubg.com(730335195506)</t>
    <phoneticPr fontId="2" type="noConversion"/>
  </si>
  <si>
    <t>AWS_pubg-dev@pubg.com(423068853949)</t>
    <phoneticPr fontId="2" type="noConversion"/>
  </si>
  <si>
    <t>aws_pubg-devops@bluehole.net(974771722734)</t>
    <phoneticPr fontId="2" type="noConversion"/>
  </si>
  <si>
    <t>AWS_pubg-Esports@pubg.com(054649872353)</t>
    <phoneticPr fontId="2" type="noConversion"/>
  </si>
  <si>
    <t>AWS_PUBG-F2Pweblive@pubg.com(033775294411)</t>
  </si>
  <si>
    <t>AWS_pubg-Gcoin@pubg.com(804173125569)</t>
    <phoneticPr fontId="2" type="noConversion"/>
  </si>
  <si>
    <t>AWS_pubg-playground@pubg.com(338204589111)</t>
    <phoneticPr fontId="2" type="noConversion"/>
  </si>
  <si>
    <t>AWS_PUBGM-Esports-Live@krafton.com(633237459216)</t>
  </si>
  <si>
    <t>aws_relugames@bluehole.net(309943519623)</t>
    <phoneticPr fontId="2" type="noConversion"/>
  </si>
  <si>
    <t>AWS_RF-global@risingwings.com(260910532074)</t>
  </si>
  <si>
    <t>AWS_SDS-DevOps@sds.com(290246912864)</t>
  </si>
  <si>
    <t>AWS_SDS-Infra@sds.com(375608835244)</t>
  </si>
  <si>
    <t>aws_sds-security@bluehole.net(667131346962)</t>
    <phoneticPr fontId="2" type="noConversion"/>
  </si>
  <si>
    <t>AWS_SDS-VDI@sds.com(956486919325)</t>
  </si>
  <si>
    <t>AWS_SDS-WebHost@sds.com(137191863862)</t>
  </si>
  <si>
    <t>aws_studio_m@bluehole.net(827588337044)</t>
  </si>
  <si>
    <t>aws_tech_network@bluehole.net(413470838121)</t>
  </si>
  <si>
    <t>AWS_Titan-Build@sds.com(025476091557)</t>
  </si>
  <si>
    <t>AWS_Titan-Dev@sds.com(948684412557)</t>
  </si>
  <si>
    <t>AWS_Titan-Live@sds.com(668355933448)</t>
  </si>
  <si>
    <t>AWS_Titan-Prod@sds.com(498442523516)</t>
  </si>
  <si>
    <t>aws_vn_dev@bluehole.net(182073802933)</t>
  </si>
  <si>
    <t>aws_web3_dev@bluehole.net(295140746614)</t>
  </si>
  <si>
    <t>AWS_WebTech@krafton.com(283281493187)</t>
  </si>
  <si>
    <t>AWS_xtrm-acu@pubg.com(993382902515)</t>
  </si>
  <si>
    <t>AWS_XTRM-NewState@pubg.com(418047124903)</t>
  </si>
  <si>
    <t>AWS_Xtrm-playground@pubg.com(350993443303)</t>
  </si>
  <si>
    <t>AWS_XTRM-Web@pubg.com(312871113530)</t>
  </si>
  <si>
    <t>aws-agentville-deploy@krafton.com(093574267363)</t>
  </si>
  <si>
    <t>aws-ait-genai-api-project@krafton.com(425693140087)</t>
    <phoneticPr fontId="2" type="noConversion"/>
  </si>
  <si>
    <t>aws-ait-project@krafton.com(860256742851)</t>
    <phoneticPr fontId="2" type="noConversion"/>
  </si>
  <si>
    <t>aws-arc-anticheat-service@pubg.com(577638352596)</t>
  </si>
  <si>
    <t>aws-archeryking-india-prod@krafton.com(730335306083)</t>
  </si>
  <si>
    <t>aws-artdept-ali-project@krafton.com(568307822597)</t>
  </si>
  <si>
    <t>aws-athena-stage@krafton.com(954894834042)</t>
    <phoneticPr fontId="2" type="noConversion"/>
  </si>
  <si>
    <t>aws-AtoZ-dev@krafton.com(859616339670)</t>
    <phoneticPr fontId="2" type="noConversion"/>
  </si>
  <si>
    <t>aws-bb-acs@krafton.com(991613102752)</t>
  </si>
  <si>
    <t>aws-bgmi-aws-lz@krafton.com(438465159102)</t>
    <phoneticPr fontId="2" type="noConversion"/>
  </si>
  <si>
    <t>aws-bluehole-qdev@bluehole.net(065855168285)</t>
  </si>
  <si>
    <t>aws-cg-deadline-dev@krafton.com(432439355307)</t>
    <phoneticPr fontId="2" type="noConversion"/>
  </si>
  <si>
    <t>aws-cookierun-india-prod@krafton.com(533267124897)</t>
  </si>
  <si>
    <t>aws-data-intelligence@krafton.com(730335261321)</t>
    <phoneticPr fontId="2" type="noConversion"/>
  </si>
  <si>
    <t>aws-data-service@krafton.com(211125690433)</t>
    <phoneticPr fontId="2" type="noConversion"/>
  </si>
  <si>
    <t>aws-ded-sandbox@krafton.com(061051231343)</t>
  </si>
  <si>
    <t>AWS</t>
    <phoneticPr fontId="2" type="noConversion"/>
  </si>
  <si>
    <t>aws-deeplearning-gpu@krafton.com(119492371514)</t>
    <phoneticPr fontId="2" type="noConversion"/>
  </si>
  <si>
    <t>aws-discordbot-project@krafton.com(490004636756)</t>
    <phoneticPr fontId="2" type="noConversion"/>
  </si>
  <si>
    <t>aws-dld-ai-service-engineering@krafton.com(778870726140)</t>
  </si>
  <si>
    <t>aws-dld-artgen-project@krafton.com(253613562216)</t>
  </si>
  <si>
    <t>aws-dld-orak-competition@krafton.com(990060747832)</t>
    <phoneticPr fontId="2" type="noConversion"/>
  </si>
  <si>
    <t>aws-dreamotion-joust@dreamotion.us(068011097273)</t>
  </si>
  <si>
    <t>aws-esports-india-prod@bluehole.net(730335249414)</t>
  </si>
  <si>
    <t>aws-esports-project@krafton.com(731386536200)</t>
  </si>
  <si>
    <t>aws-fwg-mementomori@krafton.com(288761730516)</t>
  </si>
  <si>
    <t>aws-fwg-people@krafton.com(992382827900)</t>
    <phoneticPr fontId="2" type="noConversion"/>
  </si>
  <si>
    <t>aws-gpp-sandbox@krafton.com(043143570760)</t>
  </si>
  <si>
    <t>aws-gpu-sp@krafton.com(690488447034)</t>
    <phoneticPr fontId="2" type="noConversion"/>
  </si>
  <si>
    <t>aws-gse-tech-build@krafton.com(597406702810)</t>
  </si>
  <si>
    <t>aws-ignt-sports-fantasy-prod@krafton.com(029939913515)</t>
  </si>
  <si>
    <t>aws-ignt-sports-fantasy@krafton.com(496851883612)</t>
  </si>
  <si>
    <t>aws-india-devtesting@krafton.com(822923364452)</t>
    <phoneticPr fontId="2" type="noConversion"/>
  </si>
  <si>
    <t>aws-inzoi-common@krafton.com(599079318802)</t>
  </si>
  <si>
    <t>aws-inzoi-perf@krafton.com(480311998431)</t>
  </si>
  <si>
    <t>aws-inzoi-prod-qa@krafton.com(891376979083)</t>
  </si>
  <si>
    <t>aws-inzoi-prod@krafton.com(767397839450)</t>
  </si>
  <si>
    <t>aws-inzoi-ps@krafton.com(875212670009)</t>
  </si>
  <si>
    <t>aws-inzoi-qdev@inzoistudio.com(536808117055)</t>
    <phoneticPr fontId="2" type="noConversion"/>
  </si>
  <si>
    <t>aws-it-devops-dev@krafton.com(590636266953)</t>
  </si>
  <si>
    <t>aws-it-devops-prd@krafton.com(785459729416)</t>
  </si>
  <si>
    <t>aws-it-devops-stg@krafton.com(432637347936)</t>
  </si>
  <si>
    <t>aws-itsd-live@krafton.com(493888979037)</t>
  </si>
  <si>
    <t>aws-jirago-automation@krafton.com(836686979310)</t>
    <phoneticPr fontId="2" type="noConversion"/>
  </si>
  <si>
    <t>aws-jofsoft-nomad@krafton.com(523083722520)</t>
  </si>
  <si>
    <t>aws-jungle-lms@bluehole.net(628687605365)</t>
  </si>
  <si>
    <t>aws-kcn@krafton.com(864899862642)</t>
    <phoneticPr fontId="2" type="noConversion"/>
  </si>
  <si>
    <t>aws-kdc-hackathon-project@krafton.com(720500601754)</t>
  </si>
  <si>
    <t>aws-kos-qa@krafton.com(436400223144)</t>
  </si>
  <si>
    <t>aws-kos@krafton.com(821843679442)</t>
    <phoneticPr fontId="2" type="noConversion"/>
  </si>
  <si>
    <t>aws-krafton-braze@krafton.com(493761360527)</t>
    <phoneticPr fontId="2" type="noConversion"/>
  </si>
  <si>
    <t>aws-krafton-ddm-prod@bluehole.net(654654271845)</t>
    <phoneticPr fontId="2" type="noConversion"/>
  </si>
  <si>
    <t>aws-krafton-ddm-stg@bluehole.net(975050331843)</t>
    <phoneticPr fontId="2" type="noConversion"/>
  </si>
  <si>
    <t>aws-krafton-dld-applied@bluehole.net(847366387031)</t>
    <phoneticPr fontId="2" type="noConversion"/>
  </si>
  <si>
    <t>aws-krafton-qdev@krafton.com(251425313820)</t>
  </si>
  <si>
    <t>aws-krafton-security-analytics@krafton.com(391183348418)</t>
    <phoneticPr fontId="2" type="noConversion"/>
  </si>
  <si>
    <t>aws-krafton-security@bluehole.net(205564184489)</t>
    <phoneticPr fontId="2" type="noConversion"/>
  </si>
  <si>
    <t>aws-krafton-ses@krafton.com(723528227774)</t>
  </si>
  <si>
    <t>aws-krafton-thinkingdata@krafton.com(830389646082)</t>
  </si>
  <si>
    <t>aws-krafton-website@krafton.com(266265462265)</t>
    <phoneticPr fontId="2" type="noConversion"/>
  </si>
  <si>
    <t>aws-ksb-project@krafton.com(347301642618)</t>
  </si>
  <si>
    <t>Aws-kss-hq-anticheat-service@krafton.com(901635709370)</t>
  </si>
  <si>
    <t>aws-lg-sl@5minlab.com(919383859411)</t>
  </si>
  <si>
    <t>aws-lgsl-qa@5minlab.com(713407752956)</t>
  </si>
  <si>
    <t>aws-loonshot-prod@krafton.com(451978385977)</t>
    <phoneticPr fontId="2" type="noConversion"/>
  </si>
  <si>
    <t>aws-majesta-pipeline@pubg.com(163742782003)</t>
    <phoneticPr fontId="2" type="noConversion"/>
  </si>
  <si>
    <t>aws-majesta@bluehole.net(533267412343)</t>
  </si>
  <si>
    <t>aws-marketplace@krafton.com(272916400024)</t>
  </si>
  <si>
    <t>aws-msn-valor-prod@pubg.com(061309713406)</t>
    <phoneticPr fontId="2" type="noConversion"/>
  </si>
  <si>
    <t>aws-olivetree-project@krafton.com(831974769705)</t>
    <phoneticPr fontId="2" type="noConversion"/>
  </si>
  <si>
    <t>aws-olivetreewebsite-project@olivetreegames.com(429851271053)</t>
  </si>
  <si>
    <t>aws-omni-gw-project@krafton.com(023182678822)</t>
    <phoneticPr fontId="2" type="noConversion"/>
  </si>
  <si>
    <t>aws-ovdr-sandbox@krafton.com(650251727998)</t>
  </si>
  <si>
    <t>aws-pbb-ses@pubg.com(698135531667)</t>
    <phoneticPr fontId="2" type="noConversion"/>
  </si>
  <si>
    <t>aws-physical-ai-project@krafton.com(636812143498)</t>
  </si>
  <si>
    <t>aws-playtest-project@krafton.com(898940391531)</t>
  </si>
  <si>
    <t>aws-ppd-ai@krafton.com(831635639393)</t>
  </si>
  <si>
    <t>aws-ppm-project@krafton.com(619042035740)</t>
  </si>
  <si>
    <t>aws-project-orion@krafton.com(691210492244)</t>
  </si>
  <si>
    <t>aws-ps-project@krafton.com(072152843459)</t>
  </si>
  <si>
    <t>aws-pstd-cloud@pubg.com(700388609892)</t>
  </si>
  <si>
    <t>aws-pubg-ad-ml-project@pubg.com(495599767820)</t>
    <phoneticPr fontId="2" type="noConversion"/>
  </si>
  <si>
    <t>aws-pubg-arc-dev-01@pubg.com(915848750654)</t>
  </si>
  <si>
    <t>aws-pubg-arc-manager@pubg.com(914194815949)</t>
  </si>
  <si>
    <t>aws-pubg-arc-prod-01@krafton.com(038715113116)</t>
  </si>
  <si>
    <t>aws-pubg-arc-stg-01@pubg.com(629649838776)</t>
  </si>
  <si>
    <t>aws-pubg-c3-dev-01@pubg.com(747273371327)</t>
  </si>
  <si>
    <t>aws-pubg-c3-manager@pubg.com(334143579308)</t>
  </si>
  <si>
    <t>aws-pubg-c3-project@krafton.com(879381264705)</t>
  </si>
  <si>
    <t>aws-pubg-c3-stg-01@pubg.com(631069189736)</t>
  </si>
  <si>
    <t>aws-pubg-majesta-stg-01@pubg.com(842517499550)</t>
  </si>
  <si>
    <t>aws-pubg-mobile-global@pubg.com(889174276570)</t>
  </si>
  <si>
    <t>aws-pubg-np-project@krafton.com(273354649925)</t>
  </si>
  <si>
    <t>aws-pubg-odapi@bluehole.net(731155034380)</t>
    <phoneticPr fontId="2" type="noConversion"/>
  </si>
  <si>
    <t>aws-pubg-palm-dev-01@pubg.com(214198970949)</t>
  </si>
  <si>
    <t>aws-pubg-palm-manager@pubg.com(568619625254)</t>
  </si>
  <si>
    <t>aws-pubg-palm-stg-01@pubg.com(350755724755)</t>
  </si>
  <si>
    <t>aws-pubg-qdev@pubg.com(442897381348)</t>
  </si>
  <si>
    <t>aws-pubg-uropa-dev-01@pubg.com(854575156645)</t>
  </si>
  <si>
    <t>aws-pubg-uropa-manager@pubg.com(039287067346)</t>
  </si>
  <si>
    <t>aws-pubg-uropa-prod-01@krafton.com(006805626322)</t>
  </si>
  <si>
    <t>aws-pubg-uropa-stg-01@pubg.com(473833401781)</t>
  </si>
  <si>
    <t>aws-pubgstudios-central@pubg.com(038462770692)</t>
  </si>
  <si>
    <t>aws-pubgtd-automation@bluehole.net(229951847377)</t>
  </si>
  <si>
    <t>aws-publishing-qa@krfaton.com(512692426877)</t>
  </si>
  <si>
    <t>aws-qa-project@krafton.com(500294430830)</t>
    <phoneticPr fontId="2" type="noConversion"/>
  </si>
  <si>
    <t>aws-R3india-stg@krafton.com(571600873674)</t>
  </si>
  <si>
    <t>aws-rl-project@krafton.com(533267122378)</t>
    <phoneticPr fontId="2" type="noConversion"/>
  </si>
  <si>
    <t>aws-rw-projectA@risingwings.com(905020613622)</t>
    <phoneticPr fontId="2" type="noConversion"/>
  </si>
  <si>
    <t>aws-rw-projectAegis@risingwings.com(035462351032)</t>
    <phoneticPr fontId="2" type="noConversion"/>
  </si>
  <si>
    <t>aws-rw-projectel@bluehole.net(637423166880)</t>
  </si>
  <si>
    <t>aws-security-policy-dac-prod@krafton.com(554000693744)</t>
    <phoneticPr fontId="2" type="noConversion"/>
  </si>
  <si>
    <t>aws-security-policy-test@krafton.com(604325177752)</t>
    <phoneticPr fontId="2" type="noConversion"/>
  </si>
  <si>
    <t>aws-sed-ptpm@krafton.com(792479605411)</t>
  </si>
  <si>
    <t>aws-service-close@krafton.com(786684642177)</t>
    <phoneticPr fontId="2" type="noConversion"/>
  </si>
  <si>
    <t>aws-sn2-prod@krafton.com(811725779888)</t>
  </si>
  <si>
    <t>aws-sn2-qa@krafton.com(230030983947)</t>
  </si>
  <si>
    <t>aws-swagapp@nautilusmbile.com(259546193919)</t>
  </si>
  <si>
    <t>aws-t2-dev@bluehole.net(349070093074)</t>
    <phoneticPr fontId="2" type="noConversion"/>
  </si>
  <si>
    <t>aws-talent-acquisition-team@krafton.com(796973503901)</t>
    <phoneticPr fontId="2" type="noConversion"/>
  </si>
  <si>
    <t>aws-tango-web@krafton.com(987475141870)</t>
  </si>
  <si>
    <t>aws-uropa-anticheat-service@pubg.com(954976311480)</t>
  </si>
  <si>
    <t>aws-zeta-prod@krafton.com(494249241819)</t>
    <phoneticPr fontId="2" type="noConversion"/>
  </si>
  <si>
    <t>aws-zeta-qa@krafton.com(633350148323)</t>
  </si>
  <si>
    <t>aws-zoiworld-qa@krafton.com(150239773202)</t>
    <phoneticPr fontId="2" type="noConversion"/>
  </si>
  <si>
    <t>aws001@adpies.com(542838461536)</t>
  </si>
  <si>
    <t>aws002@adpies.com(148930221833)</t>
  </si>
  <si>
    <t>aws003@adpies.com(298972228563)</t>
  </si>
  <si>
    <t>aws004@adpies.com(637423399295)</t>
  </si>
  <si>
    <t>aws005@adpies.com(959790660922)</t>
  </si>
  <si>
    <t>BHAWS_BRO@bluehole.net(628917336532)</t>
    <phoneticPr fontId="2" type="noConversion"/>
  </si>
  <si>
    <t>bhaws_da@bluehole.net(218248172704)</t>
  </si>
  <si>
    <t>bhaws_da2@bluehole.net(456601888123)</t>
  </si>
  <si>
    <t>Bhaws_dbdev@bluehole.net(581185314323)</t>
    <phoneticPr fontId="2" type="noConversion"/>
  </si>
  <si>
    <t>bhaws_ginno@bluehole.net(477047828735)</t>
  </si>
  <si>
    <t>Bhaws_ginnosvn@bluehole.net(377253795420)</t>
  </si>
  <si>
    <t>bhaws_intradev@bluehole.net(052342468408)</t>
    <phoneticPr fontId="2" type="noConversion"/>
  </si>
  <si>
    <t>bhaws_intraprod@krafton.com(851725237643)</t>
    <phoneticPr fontId="2" type="noConversion"/>
  </si>
  <si>
    <t>bhaws_kissflow@bluehole.net(612237199640)</t>
  </si>
  <si>
    <t>bhaws_l10n@bluehole.net(432820731734)</t>
    <phoneticPr fontId="2" type="noConversion"/>
  </si>
  <si>
    <t>Bhaws_pnix.golf@bluehole.net(352332181309)</t>
  </si>
  <si>
    <t>bhaws_pnix.realgolf@bluehole.net(026864049464)</t>
  </si>
  <si>
    <t>Bhaws_pnixgames@bluehole.net(864894785763)</t>
  </si>
  <si>
    <t>bhaws_pubgpclitelive@bluehole.net(923284402284)</t>
    <phoneticPr fontId="2" type="noConversion"/>
  </si>
  <si>
    <t>bhaws_si@bluehole.net(880227346986)</t>
  </si>
  <si>
    <t>BHAWS_SPDev@bluehole.net(959785605440)</t>
  </si>
  <si>
    <t>bhaws_teraconsoleps@bluehole.net(569142980887)</t>
  </si>
  <si>
    <t>bhaws_teraconsolex@bluehole.net(765398988201)</t>
  </si>
  <si>
    <t>bhaws_trcs_self@bluehole.net(119070496812)</t>
  </si>
  <si>
    <t>bhs_swlc@bluehole.net(846451077710)</t>
  </si>
  <si>
    <t>bluehole_payer@gscdn.com(242807594737)</t>
  </si>
  <si>
    <t>developers@5minlab.com(798290317353)</t>
  </si>
  <si>
    <t>GPU</t>
    <phoneticPr fontId="2" type="noConversion"/>
  </si>
  <si>
    <t>krafton-data-platform@bluehole.net(783778041225)</t>
  </si>
  <si>
    <t>krafton-dd-live@krafton.com(271459992830)</t>
    <phoneticPr fontId="2" type="noConversion"/>
  </si>
  <si>
    <t>krafton-officialweb-india-prod@krafton.com(471112597609)</t>
  </si>
  <si>
    <t>krafton-web-shared-prod@bluehole.net(220852994885)</t>
  </si>
  <si>
    <t>ovdr-production@krafton.com(905461196704)</t>
  </si>
  <si>
    <t>pubg_accelbyte_ops@bluehole.net(845087158014)</t>
  </si>
  <si>
    <t>pubg_aws_xtrm@bluehole.net(548322143865)</t>
  </si>
  <si>
    <t>pubg_data-inno@bluehole.net(266252275839)</t>
  </si>
  <si>
    <t>pubg_pc_live@bluehole.net(792630841427)</t>
    <phoneticPr fontId="2" type="noConversion"/>
  </si>
  <si>
    <t>pubg_psn_retail@bluehole.net(646628557157)</t>
    <phoneticPr fontId="2" type="noConversion"/>
  </si>
  <si>
    <t>pubg_sds_aws@bluehole.net(393410803323)</t>
  </si>
  <si>
    <t>pubg_sds_web@bluehole.net(080552085257)</t>
  </si>
  <si>
    <t>pubg_xbox_retail@bluehole.net(199866180985)</t>
    <phoneticPr fontId="2" type="noConversion"/>
  </si>
  <si>
    <t>pubg-mobile-web@bluehole.net(687869940784)</t>
    <phoneticPr fontId="2" type="noConversion"/>
  </si>
  <si>
    <t>pubg-uropa-project@bluehole.net(724911849581)</t>
    <phoneticPr fontId="2" type="noConversion"/>
  </si>
  <si>
    <t>pubg-xtrm-data@bluehole.net(176977192848)</t>
    <phoneticPr fontId="2" type="noConversion"/>
  </si>
  <si>
    <t>pubgawsresearch@bluehole.net(397523987293)</t>
    <phoneticPr fontId="2" type="noConversion"/>
  </si>
  <si>
    <t>sm_it_accounts@pubg.com(314135859452)</t>
  </si>
  <si>
    <t>storyplay.prod@thingsflow.com(303682502270)</t>
  </si>
  <si>
    <t>aws-hr-ops-automation@krafton.com(002889193681)</t>
  </si>
  <si>
    <t>aws-msn-valor-cert@pubg.com(059855171766)</t>
  </si>
  <si>
    <t>aws-msn-valor-staging@pubg.com(117891393965)</t>
  </si>
  <si>
    <t>Aws-9b-common-web@krafton.com(200283415652)</t>
  </si>
  <si>
    <t>aws-ignt@krafton.com(339918905706)</t>
  </si>
  <si>
    <t>aws-bcd-gdd-reader@krafton.com(372468809148)</t>
  </si>
  <si>
    <t>aws-gpd1cmt-project@krafton.com(427780306826)</t>
  </si>
  <si>
    <t>aws_neptunez_019@neptunecompany.kr(608420805733)</t>
  </si>
  <si>
    <t>aws-blueprint-project@krafton.com(706877673977)</t>
  </si>
  <si>
    <t>aws-pubgsno-hr@krafton.com(756041605037)</t>
  </si>
  <si>
    <t>aws-hq-dashboard@krafton.com(774222655862)</t>
  </si>
  <si>
    <t>aws-cas-qa@krafton.com(864617344154)</t>
  </si>
  <si>
    <t>aws-msn-valor-test@pubg.com(947782089035)</t>
  </si>
  <si>
    <t>aws-ignt-qa@krafton.com(956314528401)</t>
    <phoneticPr fontId="2" type="noConversion"/>
  </si>
  <si>
    <t>aws-sn2e-project@krafton.com(958175316161)</t>
  </si>
  <si>
    <t>tech_support@bluehole.net(921237081789)</t>
  </si>
  <si>
    <t>ted-aws@unknownworlds.com(221334622883)</t>
  </si>
  <si>
    <t>Real usage</t>
    <phoneticPr fontId="2" type="noConversion"/>
  </si>
  <si>
    <t>AI-Research-Deep-Learning</t>
  </si>
  <si>
    <t>ART_ALI_CustomVision</t>
    <phoneticPr fontId="2" type="noConversion"/>
  </si>
  <si>
    <t>ART_ALI_Vision</t>
    <phoneticPr fontId="2" type="noConversion"/>
  </si>
  <si>
    <t>azure-ait-genai-api-project</t>
    <phoneticPr fontId="2" type="noConversion"/>
  </si>
  <si>
    <t>azure-cas-prod</t>
  </si>
  <si>
    <t>azure-cas-qa</t>
  </si>
  <si>
    <t>AzureOpsLAB-DevTest-20181205</t>
  </si>
  <si>
    <t>AzureOpsLAB-Enterprise-20171102</t>
  </si>
  <si>
    <t>AzureOpsLAB-Platform-20231227</t>
    <phoneticPr fontId="2" type="noConversion"/>
  </si>
  <si>
    <t>AzureOpsLAB-Platform-20231227</t>
  </si>
  <si>
    <t>Battlin Project</t>
    <phoneticPr fontId="2" type="noConversion"/>
  </si>
  <si>
    <t>Battlin Project_old</t>
    <phoneticPr fontId="2" type="noConversion"/>
  </si>
  <si>
    <t>BGMI-DB-Monitoring</t>
  </si>
  <si>
    <t>bgmiops</t>
  </si>
  <si>
    <t>CorpDev_GameDataAnalysis</t>
    <phoneticPr fontId="2" type="noConversion"/>
  </si>
  <si>
    <t>CorpDev_GameDataAnalysis</t>
  </si>
  <si>
    <t>data-accounting</t>
  </si>
  <si>
    <t>data-platform</t>
    <phoneticPr fontId="2" type="noConversion"/>
  </si>
  <si>
    <t>data-platform</t>
  </si>
  <si>
    <t>data-service</t>
    <phoneticPr fontId="2" type="noConversion"/>
  </si>
  <si>
    <t>data-service</t>
  </si>
  <si>
    <t>data-tech</t>
  </si>
  <si>
    <t>DB-Monitoring</t>
  </si>
  <si>
    <t>DB-Tech_BHS</t>
  </si>
  <si>
    <t>ded-data-intelligence</t>
    <phoneticPr fontId="2" type="noConversion"/>
  </si>
  <si>
    <t>ded-data-intelligence</t>
  </si>
  <si>
    <t>ded-engineering</t>
    <phoneticPr fontId="2" type="noConversion"/>
  </si>
  <si>
    <t>ded-engineering</t>
  </si>
  <si>
    <t>DL-Service-SafeCanvas-inZOI-LiveOps</t>
    <phoneticPr fontId="2" type="noConversion"/>
  </si>
  <si>
    <t>DL-Service-SafeCanvas-inZOI-LiveOps</t>
  </si>
  <si>
    <t>DL-Service-SafeCanvas-inZOI-Publishing2</t>
  </si>
  <si>
    <t>DL-Service-Toxic-Filter-DnDM</t>
  </si>
  <si>
    <t>DL-Service-Toxic-Filter-inZOI</t>
  </si>
  <si>
    <t>EME-SUNSET-API</t>
  </si>
  <si>
    <t>EME-SUNSET-BACKUP</t>
  </si>
  <si>
    <t>EMEA_VisualStudio</t>
  </si>
  <si>
    <t>ERP_SystemCell</t>
  </si>
  <si>
    <t>Flyway-visualstudio</t>
  </si>
  <si>
    <t>GameDevTest2304</t>
  </si>
  <si>
    <t>giseongeom-DevTest</t>
  </si>
  <si>
    <t>GitHub-Cloud-Azure-Enterprise</t>
  </si>
  <si>
    <t>gp-playtest-tool</t>
  </si>
  <si>
    <t>KraftonMontrealStudio</t>
    <phoneticPr fontId="2" type="noConversion"/>
  </si>
  <si>
    <t>L10N</t>
  </si>
  <si>
    <t>majesta</t>
    <phoneticPr fontId="2" type="noConversion"/>
  </si>
  <si>
    <t>majesta</t>
  </si>
  <si>
    <t>MCA</t>
    <phoneticPr fontId="2" type="noConversion"/>
  </si>
  <si>
    <t>Azure</t>
  </si>
  <si>
    <t>OVERHEAD/OTHERS</t>
  </si>
  <si>
    <t>MRSO</t>
    <phoneticPr fontId="2" type="noConversion"/>
  </si>
  <si>
    <t>MRSO_old</t>
    <phoneticPr fontId="2" type="noConversion"/>
  </si>
  <si>
    <t>Nautilus_azure_sce_krafton_general</t>
  </si>
  <si>
    <t>overdare_visualstudio</t>
  </si>
  <si>
    <t>PBB Dev</t>
    <phoneticPr fontId="2" type="noConversion"/>
  </si>
  <si>
    <t>PBB Dev</t>
  </si>
  <si>
    <t>PPE-KCN</t>
    <phoneticPr fontId="2" type="noConversion"/>
  </si>
  <si>
    <t>Project-MC</t>
  </si>
  <si>
    <t>PUBG Console</t>
  </si>
  <si>
    <t>PUBG DevOps</t>
    <phoneticPr fontId="2" type="noConversion"/>
  </si>
  <si>
    <t>PUBG DevOps</t>
  </si>
  <si>
    <t>PUBG PC</t>
    <phoneticPr fontId="2" type="noConversion"/>
  </si>
  <si>
    <t>PUBG PC</t>
  </si>
  <si>
    <t>pubg_mobile</t>
    <phoneticPr fontId="2" type="noConversion"/>
  </si>
  <si>
    <t>pubg_mobile</t>
  </si>
  <si>
    <t>pubg_mobile_Test</t>
  </si>
  <si>
    <t>PUBG-Madison</t>
  </si>
  <si>
    <t>ReLu_deep learning</t>
  </si>
  <si>
    <t>relu_deeplearning_prod</t>
  </si>
  <si>
    <t>relu_deeplearning_prod_secondary</t>
  </si>
  <si>
    <t>Research</t>
  </si>
  <si>
    <t>SDS-Azure subscription</t>
  </si>
  <si>
    <t>security_policy_prod</t>
    <phoneticPr fontId="2" type="noConversion"/>
  </si>
  <si>
    <t>Security_VDI</t>
  </si>
  <si>
    <t>홍준화</t>
  </si>
  <si>
    <t>SRC-India-DEV</t>
  </si>
  <si>
    <t>Strategic Alignment Office</t>
  </si>
  <si>
    <t>SUNZO</t>
    <phoneticPr fontId="2" type="noConversion"/>
  </si>
  <si>
    <t>SUNZO_old</t>
    <phoneticPr fontId="2" type="noConversion"/>
  </si>
  <si>
    <t>Teams Room Pro</t>
    <phoneticPr fontId="2" type="noConversion"/>
  </si>
  <si>
    <t>TRCS-AP-Azure-Enterprise</t>
  </si>
  <si>
    <t>TRCS-AP-Azure-Enterprise-DevTest</t>
  </si>
  <si>
    <t>TRCS-Azure-Enterprise</t>
  </si>
  <si>
    <t>TRCS-Azure-Enterprise-DevTest</t>
  </si>
  <si>
    <t>WoW</t>
  </si>
  <si>
    <t>WPS AI Ops Team (wps_ai_ops_team)</t>
    <phoneticPr fontId="2" type="noConversion"/>
  </si>
  <si>
    <t>xe_git_bee</t>
    <phoneticPr fontId="2" type="noConversion"/>
  </si>
  <si>
    <t>XTRM-data</t>
  </si>
  <si>
    <t>xtrm-newstate</t>
  </si>
  <si>
    <t>XTRM-Web</t>
  </si>
  <si>
    <t>BLUEHOLE-TechSupport</t>
  </si>
  <si>
    <t>BLUEHOLE-TRCS</t>
  </si>
  <si>
    <t>Dark&amp;Darker Mobile</t>
  </si>
  <si>
    <t>datadog_RW_defensederby</t>
  </si>
  <si>
    <t>Deleted</t>
    <phoneticPr fontId="2" type="noConversion"/>
  </si>
  <si>
    <t>datadog-website</t>
    <phoneticPr fontId="2" type="noConversion"/>
  </si>
  <si>
    <t>KRAFTON - SDS DevOps</t>
  </si>
  <si>
    <t>KRAFTON - SDS ITSEC</t>
  </si>
  <si>
    <t>KRAFTON PUBG eSports</t>
  </si>
  <si>
    <t>KRAFTON_DE</t>
  </si>
  <si>
    <t>KRAFTON-cookierun-india</t>
  </si>
  <si>
    <t>Krafton-infra-platform</t>
  </si>
  <si>
    <t>KRAFTON-KCN</t>
  </si>
  <si>
    <t>KRAFTON-KOS</t>
    <phoneticPr fontId="2" type="noConversion"/>
  </si>
  <si>
    <t>krafton-system</t>
  </si>
  <si>
    <t>Krafton-TRCS-AP</t>
    <phoneticPr fontId="2" type="noConversion"/>
  </si>
  <si>
    <t>Krafton-WebService</t>
  </si>
  <si>
    <t>KTAFTON_bgmi_event</t>
  </si>
  <si>
    <t>MadGlory_Valor</t>
    <phoneticPr fontId="2" type="noConversion"/>
  </si>
  <si>
    <t>PUBG Black Budget</t>
    <phoneticPr fontId="2" type="noConversion"/>
  </si>
  <si>
    <t>PUBG Corporation</t>
    <phoneticPr fontId="2" type="noConversion"/>
  </si>
  <si>
    <t>PUBG Intelligent Services</t>
  </si>
  <si>
    <t>PUBGNS_DE</t>
  </si>
  <si>
    <t>Unknown Worlds</t>
    <phoneticPr fontId="2" type="noConversion"/>
  </si>
  <si>
    <t>Krafton_AISD</t>
    <phoneticPr fontId="2" type="noConversion"/>
  </si>
  <si>
    <t>agds-462601</t>
  </si>
  <si>
    <t>ai-transformation-467006</t>
  </si>
  <si>
    <t>ai-workflow-automation-project</t>
  </si>
  <si>
    <t>api-6414577526685413251-707161</t>
    <phoneticPr fontId="2" type="noConversion"/>
  </si>
  <si>
    <t>archeryking</t>
  </si>
  <si>
    <t>atoz-dev-470901</t>
    <phoneticPr fontId="2" type="noConversion"/>
  </si>
  <si>
    <t>backpackarena</t>
  </si>
  <si>
    <t>bgmi-aiops</t>
    <phoneticPr fontId="2" type="noConversion"/>
  </si>
  <si>
    <t>bgmi-gcp</t>
    <phoneticPr fontId="2" type="noConversion"/>
  </si>
  <si>
    <t>coding-agent-482006</t>
    <phoneticPr fontId="2" type="noConversion"/>
  </si>
  <si>
    <t>dataplatform-api</t>
  </si>
  <si>
    <t>diet-357705</t>
  </si>
  <si>
    <t>dinkum-automation</t>
  </si>
  <si>
    <t>dl-service-dev</t>
    <phoneticPr fontId="2" type="noConversion"/>
  </si>
  <si>
    <t>dld-anticheat</t>
  </si>
  <si>
    <t>dld-physical-ai</t>
  </si>
  <si>
    <t>dld-tpu-llm-training</t>
  </si>
  <si>
    <t>dm-rtv-empires</t>
  </si>
  <si>
    <t>erm-for-n8n</t>
  </si>
  <si>
    <t>finance-hq</t>
  </si>
  <si>
    <t>gamebench-456108</t>
  </si>
  <si>
    <t>garuda-saga-india</t>
  </si>
  <si>
    <t>GCP Support Fee</t>
    <phoneticPr fontId="2" type="noConversion"/>
  </si>
  <si>
    <t>gcp-kdc-hackathon-project</t>
    <phoneticPr fontId="2" type="noConversion"/>
  </si>
  <si>
    <t>gcp-msu-devops</t>
  </si>
  <si>
    <t>gemini-enterprise-488410</t>
    <phoneticPr fontId="2" type="noConversion"/>
  </si>
  <si>
    <t>Gemini enterprise</t>
    <phoneticPr fontId="2" type="noConversion"/>
  </si>
  <si>
    <t>GitLab</t>
  </si>
  <si>
    <t>greenhouse-recruiting-data</t>
    <phoneticPr fontId="2" type="noConversion"/>
  </si>
  <si>
    <t>hc-coupon</t>
    <phoneticPr fontId="2" type="noConversion"/>
  </si>
  <si>
    <t>in-qa-team</t>
    <phoneticPr fontId="2" type="noConversion"/>
  </si>
  <si>
    <t>inzoi-canvas</t>
    <phoneticPr fontId="2" type="noConversion"/>
  </si>
  <si>
    <t>inzoi-dev-rnd</t>
  </si>
  <si>
    <t>it-cost-summary</t>
  </si>
  <si>
    <t>Kissflow</t>
  </si>
  <si>
    <t>krafton-creator-network</t>
  </si>
  <si>
    <t>krafton-ded-ai</t>
    <phoneticPr fontId="2" type="noConversion"/>
  </si>
  <si>
    <t>krafton-ded-infra</t>
  </si>
  <si>
    <t>krafton-dld-ai</t>
  </si>
  <si>
    <t>krafton-dld-tgw</t>
    <phoneticPr fontId="2" type="noConversion"/>
  </si>
  <si>
    <t>krafton-l10n</t>
  </si>
  <si>
    <t>krafton-nlp-eng</t>
  </si>
  <si>
    <t>krafton-online-services</t>
  </si>
  <si>
    <t>krafton-security</t>
  </si>
  <si>
    <t>krafton-security-policy</t>
  </si>
  <si>
    <t>kraftonjungle</t>
  </si>
  <si>
    <t>kraftonjunglelms</t>
    <phoneticPr fontId="2" type="noConversion"/>
  </si>
  <si>
    <t>logdescriptor</t>
  </si>
  <si>
    <t>Looker</t>
  </si>
  <si>
    <t>loon-camp</t>
  </si>
  <si>
    <t>lootbox-item-ad-post-oversight</t>
  </si>
  <si>
    <t>migaloo-web3</t>
  </si>
  <si>
    <t>migaloo-web3-369008</t>
  </si>
  <si>
    <t>moonbreaker-production</t>
  </si>
  <si>
    <t>nonverbal-tagging</t>
  </si>
  <si>
    <t>oge-scraper</t>
  </si>
  <si>
    <t>palworld-m</t>
    <phoneticPr fontId="2" type="noConversion"/>
  </si>
  <si>
    <t>pc-api-7226728469668669189-510</t>
  </si>
  <si>
    <t>playbook-488307</t>
  </si>
  <si>
    <t>project-ddm-405802</t>
  </si>
  <si>
    <t>project-uropa</t>
    <phoneticPr fontId="2" type="noConversion"/>
  </si>
  <si>
    <t>prototype-485602</t>
    <phoneticPr fontId="2" type="noConversion"/>
  </si>
  <si>
    <t>pubg-ally</t>
    <phoneticPr fontId="2" type="noConversion"/>
  </si>
  <si>
    <t>pubg-mobile-fit-29242572</t>
  </si>
  <si>
    <t>pubg-platform-ai</t>
  </si>
  <si>
    <t>pubg-primer</t>
    <phoneticPr fontId="2" type="noConversion"/>
  </si>
  <si>
    <t>publishing-growth-marketing</t>
  </si>
  <si>
    <t>ReLU Games</t>
  </si>
  <si>
    <t>relugames</t>
    <phoneticPr fontId="2" type="noConversion"/>
  </si>
  <si>
    <t>resort-booking-system-484805</t>
  </si>
  <si>
    <t>rosy-cache-487200-j0</t>
  </si>
  <si>
    <t>serviceinfratest</t>
  </si>
  <si>
    <t>smash-dungeon</t>
  </si>
  <si>
    <t>sys-63523688918007462271555783</t>
    <phoneticPr fontId="2" type="noConversion"/>
  </si>
  <si>
    <t>tableau-tf</t>
  </si>
  <si>
    <t>uw-mb-prod</t>
  </si>
  <si>
    <t>veo3-461205</t>
  </si>
  <si>
    <t>vital-axiom-238107</t>
  </si>
  <si>
    <t>vn-holmlands-dev</t>
    <phoneticPr fontId="2" type="noConversion"/>
  </si>
  <si>
    <t>vrd-gcp-proj</t>
    <phoneticPr fontId="2" type="noConversion"/>
  </si>
  <si>
    <t>warpaint-backend</t>
  </si>
  <si>
    <t>warpaint-developer-280614</t>
  </si>
  <si>
    <t>workautomation-472302</t>
  </si>
  <si>
    <t>xchange-486910</t>
  </si>
  <si>
    <t>xe-dept</t>
  </si>
  <si>
    <t>bao-monitoring</t>
  </si>
  <si>
    <t>bgmi-brain</t>
  </si>
  <si>
    <t>brand-creative-dept</t>
  </si>
  <si>
    <t>pd2-automation</t>
  </si>
  <si>
    <t>Gemini</t>
  </si>
  <si>
    <t>GWS</t>
  </si>
  <si>
    <t>TC_PERFDOG@krafton.com(100009236773)</t>
    <phoneticPr fontId="2" type="noConversion"/>
  </si>
  <si>
    <t>TC_PUBG@krafton.com(100013364605)</t>
    <phoneticPr fontId="2" type="noConversion"/>
  </si>
  <si>
    <t>TC_PUBGM@krafton.com(100006855235)</t>
    <phoneticPr fontId="2" type="noConversion"/>
  </si>
  <si>
    <t>TC_RU-CDN@krafton.com(200022872415)</t>
    <phoneticPr fontId="2" type="noConversion"/>
  </si>
  <si>
    <t>TC_service_sh@krafton.com(200037618761)</t>
    <phoneticPr fontId="2" type="noConversion"/>
  </si>
  <si>
    <t>TC_xe@krafton.com(200041394676)</t>
    <phoneticPr fontId="2" type="noConversion"/>
  </si>
  <si>
    <t>TC_XTRM-Prod@pubg.com(200022166258)</t>
    <phoneticPr fontId="2" type="noConversion"/>
  </si>
  <si>
    <t>tencent_systemT@krafton.com(200030930341)</t>
    <phoneticPr fontId="2" type="noConversion"/>
  </si>
  <si>
    <t>cloud-pubgdevops</t>
    <phoneticPr fontId="2" type="noConversion"/>
  </si>
  <si>
    <t>`</t>
  </si>
  <si>
    <t>Please don't change this sheet and data. If necessary, contact Yunseul Lee via Slack 1:1 DM.</t>
    <phoneticPr fontId="2" type="noConversion"/>
  </si>
  <si>
    <t>Pivot (Cost per Cloud Provider)</t>
  </si>
  <si>
    <t>행 레이블</t>
  </si>
  <si>
    <t>합계 : Mar 2026(KRW)</t>
  </si>
  <si>
    <t>Akamai</t>
  </si>
  <si>
    <t>KRAFTON HQ</t>
  </si>
  <si>
    <t>AWS</t>
  </si>
  <si>
    <t>BLUEHOLE</t>
  </si>
  <si>
    <t>DLD</t>
  </si>
  <si>
    <t>Datadog</t>
  </si>
  <si>
    <t>GCP</t>
  </si>
  <si>
    <t>총합계</t>
  </si>
  <si>
    <t>(다중 항목)</t>
  </si>
  <si>
    <t>합계 : July 2025(KRW)</t>
  </si>
  <si>
    <t>합계 : Aug 2025(KRW)</t>
  </si>
  <si>
    <t>합계 : Sep 2025(KRW)</t>
  </si>
  <si>
    <t>합계 : Oct 2025(KRW)</t>
  </si>
  <si>
    <t xml:space="preserve">합계 :  Nov 2025(KRW) </t>
  </si>
  <si>
    <t xml:space="preserve">합계 : Dec 2025(KRW) </t>
  </si>
  <si>
    <t>합계 : Jan 2026(KRW)</t>
  </si>
  <si>
    <t>합계 : Feb 2026(KRW)</t>
  </si>
  <si>
    <t>SUM</t>
  </si>
  <si>
    <t>KRAFTON</t>
  </si>
  <si>
    <t>Flyway Games</t>
  </si>
  <si>
    <t>RESEARCH</t>
  </si>
  <si>
    <t>KRAFTON America</t>
  </si>
  <si>
    <t>DLD</t>
    <phoneticPr fontId="2" type="noConversion"/>
  </si>
  <si>
    <t>Mad Glory</t>
  </si>
  <si>
    <t>OVERDARE</t>
  </si>
  <si>
    <t>Montreal Studio</t>
  </si>
  <si>
    <t>PUBG NewState</t>
  </si>
  <si>
    <t>PUBG STUDIO</t>
  </si>
  <si>
    <t>ReLu Games</t>
  </si>
  <si>
    <t>SDS</t>
  </si>
  <si>
    <t>KRAFTON CHINA</t>
  </si>
  <si>
    <t>KRAFTON EUROPE B.V.</t>
  </si>
  <si>
    <t>InZOI Studio</t>
  </si>
  <si>
    <t>5Minlab</t>
  </si>
  <si>
    <t>Tango Gameworks</t>
  </si>
  <si>
    <t>Nautilus</t>
  </si>
  <si>
    <t>Vector North</t>
  </si>
  <si>
    <t>Omnicraftlabs</t>
  </si>
  <si>
    <t>OCL GW Server Team</t>
  </si>
  <si>
    <t>GW</t>
  </si>
  <si>
    <t>KRAFTON India</t>
  </si>
  <si>
    <t>KRAFTON Montreal</t>
  </si>
  <si>
    <t>JofSoft</t>
  </si>
  <si>
    <t>NineB</t>
  </si>
  <si>
    <t>OliveTree Games</t>
  </si>
  <si>
    <t>Ludo</t>
  </si>
  <si>
    <t>KRAFTON</t>
    <phoneticPr fontId="2" type="noConversion"/>
  </si>
  <si>
    <t>Gemini</t>
    <phoneticPr fontId="2" type="noConversion"/>
  </si>
  <si>
    <t>개수 : Feb 2026(KRW)</t>
  </si>
  <si>
    <t>BGMI DevOps Team</t>
  </si>
  <si>
    <t>(2022)BATTLEGROUNDS_MOBILE_IN</t>
  </si>
  <si>
    <t>IT Dept.</t>
  </si>
  <si>
    <t>PUBG PC&amp;Console Dev Div.</t>
  </si>
  <si>
    <t>BATTLEGROUNDS_PC/CONSOLE</t>
  </si>
  <si>
    <t>KOS Engineering Dept.</t>
  </si>
  <si>
    <t>GPP</t>
  </si>
  <si>
    <t>Publishing Tech PM Part</t>
  </si>
  <si>
    <t>Dark and Darker_Mobile</t>
  </si>
  <si>
    <t>[N/A]New State Dev Div.</t>
  </si>
  <si>
    <t>PUBG:NEW STATE</t>
  </si>
  <si>
    <t>T_Console Service Part</t>
  </si>
  <si>
    <t>TERA_CONSOLE</t>
  </si>
  <si>
    <t>Bluehole shared_finance</t>
  </si>
  <si>
    <t>[N/A]TERA</t>
  </si>
  <si>
    <t>[N/A] AB Unit</t>
  </si>
  <si>
    <t>B_TERA2 R&amp;D Team</t>
  </si>
  <si>
    <t>Tera2</t>
  </si>
  <si>
    <t>Americas IT Team</t>
  </si>
  <si>
    <t>Data Engineering Dept.</t>
  </si>
  <si>
    <t>Jungle Coaching Dept.</t>
  </si>
  <si>
    <t>PROJECT JUNGLE</t>
  </si>
  <si>
    <t>Platform Dept.</t>
  </si>
  <si>
    <t>Platform Management Team</t>
  </si>
  <si>
    <t>L10N Team</t>
  </si>
  <si>
    <t>Infra div.</t>
  </si>
  <si>
    <t>Security Dept.</t>
  </si>
  <si>
    <t>System Team</t>
  </si>
  <si>
    <t>MS DevOps Team</t>
  </si>
  <si>
    <t>DevData Engineering Team</t>
  </si>
  <si>
    <t>SUBNAUTICA 2</t>
  </si>
  <si>
    <t>inZOI</t>
  </si>
  <si>
    <t>Project Zeta</t>
  </si>
  <si>
    <t>Service Devops Team</t>
  </si>
  <si>
    <t>BATTLEGROUNDS_MOBILE</t>
  </si>
  <si>
    <t>PROJECT WINDLESS</t>
  </si>
  <si>
    <t>Experience Engineering Dept.</t>
  </si>
  <si>
    <t>Talent Acquisition Team</t>
  </si>
  <si>
    <t>Game Security Engineering Dept.</t>
  </si>
  <si>
    <t>BLACK BUDGET</t>
  </si>
  <si>
    <t>KSS</t>
  </si>
  <si>
    <t>Global Subsidiary Management Team</t>
  </si>
  <si>
    <t>AI Transformation Team</t>
  </si>
  <si>
    <t>Player Support Team</t>
  </si>
  <si>
    <t>AI Agent Dev Team</t>
  </si>
  <si>
    <t>DEEP LEARNING</t>
  </si>
  <si>
    <t>Security team</t>
  </si>
  <si>
    <t>Gameplay AI Team</t>
  </si>
  <si>
    <t>AtoZ Team</t>
  </si>
  <si>
    <t>Camp Dept.</t>
  </si>
  <si>
    <t>Physical AI Team</t>
  </si>
  <si>
    <t>AI Service Engineering Team</t>
  </si>
  <si>
    <t>Publishing QA Team 1</t>
  </si>
  <si>
    <t>KDC Team</t>
  </si>
  <si>
    <t>ML Sys &amp; Ops Team</t>
  </si>
  <si>
    <t>IT Platform Engineering Team</t>
  </si>
  <si>
    <t>Cinematic Direction &amp; Tech Team</t>
  </si>
  <si>
    <t>Live Ops Team</t>
  </si>
  <si>
    <t>AI R&amp;D Initiative Part</t>
  </si>
  <si>
    <t>Esports Management Team</t>
  </si>
  <si>
    <t>E-SPORTS</t>
  </si>
  <si>
    <t>Security Policy Part</t>
  </si>
  <si>
    <t>DEFENSE DERBY</t>
  </si>
  <si>
    <t>PalM</t>
  </si>
  <si>
    <t>Asset Library Part</t>
  </si>
  <si>
    <t>Publishing Platform Div.</t>
  </si>
  <si>
    <t>GPSI Team</t>
  </si>
  <si>
    <t>IN Performance Marketing Team</t>
  </si>
  <si>
    <t>Publishing Platform PM Dept.</t>
  </si>
  <si>
    <t>Valor Art Dept.</t>
  </si>
  <si>
    <t>Valor_Console</t>
  </si>
  <si>
    <t>Valor Core Tech Team</t>
  </si>
  <si>
    <t>PGY_Art Cell</t>
  </si>
  <si>
    <t>STUDIO M</t>
  </si>
  <si>
    <t>Adrenaline Rush Lab Unit</t>
  </si>
  <si>
    <t>Arc Team</t>
  </si>
  <si>
    <t>Black Budget Div.</t>
  </si>
  <si>
    <t>Uropa Team</t>
  </si>
  <si>
    <t>Translation Team 2</t>
  </si>
  <si>
    <t>UROPA_mobile</t>
  </si>
  <si>
    <t>Arc_PC</t>
  </si>
  <si>
    <t>PalM Unit</t>
  </si>
  <si>
    <t>PUBG 2.0</t>
  </si>
  <si>
    <t>IT Cost Engineering Part</t>
  </si>
  <si>
    <t>PUBG Marketing Team 1</t>
  </si>
  <si>
    <t>[N/A] IN Publishing Production Team_HQ</t>
  </si>
  <si>
    <t>BULLET ECHO</t>
  </si>
  <si>
    <t>AI research center</t>
  </si>
  <si>
    <t>Striking Distance Studios</t>
  </si>
  <si>
    <t>The Callisto Protocol</t>
  </si>
  <si>
    <t>inZOI Server Team</t>
  </si>
  <si>
    <t>inZOI Studio</t>
  </si>
  <si>
    <t>TGW IT Team</t>
  </si>
  <si>
    <t>IN Platform Business Team</t>
  </si>
  <si>
    <t>Vector North Unit</t>
  </si>
  <si>
    <t>India Div.</t>
  </si>
  <si>
    <t>IN New Games Publishing Team 3</t>
  </si>
  <si>
    <t>sports fantasy project</t>
  </si>
  <si>
    <t>AI Foundation Model TF Team</t>
  </si>
  <si>
    <t>AI Foundation TF</t>
  </si>
  <si>
    <t>JOF Development Team</t>
  </si>
  <si>
    <t>ORN Game Design &amp; Production Team</t>
  </si>
  <si>
    <t>Project Orion</t>
  </si>
  <si>
    <t>Live Service Support Dept.</t>
  </si>
  <si>
    <t>AI Project Initiative Office</t>
  </si>
  <si>
    <t>Art Management Part</t>
  </si>
  <si>
    <t>Milestone Review Support Office</t>
  </si>
  <si>
    <t>IN Platform Business Dept._HQ</t>
  </si>
  <si>
    <t>Cricket All Stars</t>
  </si>
  <si>
    <t>PUBG Valor Div.</t>
  </si>
  <si>
    <t>West Scale-up Dept.</t>
  </si>
  <si>
    <t>(비어 있음)</t>
  </si>
  <si>
    <t>Cookie Run India</t>
  </si>
  <si>
    <t>UW-MOONBREAKER</t>
  </si>
  <si>
    <t>India Publishing Dept._HQ</t>
  </si>
  <si>
    <t>Data Analytics Dept.</t>
  </si>
  <si>
    <t>PUBG Ally DL TF Team</t>
  </si>
  <si>
    <t>CEO's Office</t>
  </si>
  <si>
    <t>User Modeling AI Team</t>
  </si>
  <si>
    <t>Service Policy Team</t>
  </si>
  <si>
    <t>S2 Team</t>
  </si>
  <si>
    <t>Financial Planning Team</t>
  </si>
  <si>
    <t>Risk Management Team</t>
  </si>
  <si>
    <t>Foundation Model Research Team</t>
  </si>
  <si>
    <t>AI Art Gen Part 1</t>
  </si>
  <si>
    <t>Publishing Launchpad Team</t>
  </si>
  <si>
    <t>Dinkum</t>
  </si>
  <si>
    <t>Visual R&amp;D Team</t>
  </si>
  <si>
    <t>AI Service Initiative Part</t>
  </si>
  <si>
    <t>Media Contents AI Team</t>
  </si>
  <si>
    <t>Recruiting Operations Part</t>
  </si>
  <si>
    <t>IT Service &amp; Mgmt Part</t>
  </si>
  <si>
    <t>General Operations Dept.</t>
  </si>
  <si>
    <t>Design Creative Part</t>
  </si>
  <si>
    <t>Publishing Growth Marketing &amp; BD Team</t>
  </si>
  <si>
    <t>Culture Team</t>
  </si>
  <si>
    <t>KRAFTON JUNGLE</t>
  </si>
  <si>
    <t>OVDR Web 3.0 Product Team</t>
  </si>
  <si>
    <t>OVDR Platform Engineering Dept.</t>
  </si>
  <si>
    <t>PBB_S Platform Team</t>
  </si>
  <si>
    <t>Core VFX Team</t>
  </si>
  <si>
    <t>inZOI Dev R&amp;D Team</t>
  </si>
  <si>
    <t>Tencent Cloud</t>
  </si>
  <si>
    <t>PUBGM Product Management Dept.</t>
  </si>
  <si>
    <t>CN Service Ops Team_HQ</t>
  </si>
  <si>
    <t>Yandex Cloud</t>
  </si>
  <si>
    <t>합계 : Apr 2025(KRW)</t>
  </si>
  <si>
    <t>합계 : May 2025(KRW)</t>
  </si>
  <si>
    <t>합계 : June 2025(KRW)</t>
  </si>
  <si>
    <t>Dreamotion</t>
  </si>
  <si>
    <t>GunStrider: Tap Strike</t>
  </si>
  <si>
    <t>Road to valor : world war2</t>
  </si>
  <si>
    <t>Road to Valor: Empire</t>
  </si>
  <si>
    <t>Ronin: The Last Samurai</t>
  </si>
  <si>
    <t>Neptune</t>
  </si>
  <si>
    <t>Risingwings</t>
  </si>
  <si>
    <t>ProjectA</t>
  </si>
  <si>
    <t>Real golf</t>
  </si>
  <si>
    <t>RW-ProjectEL</t>
  </si>
  <si>
    <t>Unknownworlds</t>
  </si>
  <si>
    <t>Project MC</t>
  </si>
  <si>
    <t>Real usage</t>
  </si>
  <si>
    <t>Relu Studio</t>
  </si>
  <si>
    <t>provider</t>
  </si>
  <si>
    <t>entity</t>
  </si>
  <si>
    <t>ID</t>
  </si>
  <si>
    <t>cost USD</t>
  </si>
  <si>
    <t>cost KRW (exc VAT)</t>
  </si>
  <si>
    <t>과금내역수신여부</t>
  </si>
  <si>
    <t>검수마감</t>
  </si>
  <si>
    <t>세금계산서요청</t>
  </si>
  <si>
    <t>세금계산서수신여부</t>
  </si>
  <si>
    <t>송장헤더</t>
  </si>
  <si>
    <t>송장 항목</t>
  </si>
  <si>
    <t>송장승인제출</t>
  </si>
  <si>
    <t>자회사청구(concur 3.불공제) - 25일경</t>
    <phoneticPr fontId="2" type="noConversion"/>
  </si>
  <si>
    <t>n/a</t>
  </si>
  <si>
    <t>V</t>
  </si>
  <si>
    <t xml:space="preserve">KRAFTON Americas(146,182원), PUBG Mad Glory(20,797,881원), Montreal Studio(3,771,584원), inZOI(9,443원), SDS(26,440,842원), Tango Gameworks(766,731원), Nautilus(1,435,706원), OmniCraftlabs(11,112원), KRAFTON India(1,620,872원), JofSoft(6,985원), NineB(1,789,499원),
OliveTree Games(796,456원) </t>
    <phoneticPr fontId="2" type="noConversion"/>
  </si>
  <si>
    <t>Research</t>
    <phoneticPr fontId="2" type="noConversion"/>
  </si>
  <si>
    <t>연구소 비용으로 계산서 분리</t>
  </si>
  <si>
    <t>국책과제 비용으로 계산서 분리</t>
  </si>
  <si>
    <t>GPU SP 잔금</t>
    <phoneticPr fontId="2" type="noConversion"/>
  </si>
  <si>
    <t xml:space="preserve">Montreal Studio(20,331원), Krafton Europe B.V.(246원) </t>
    <phoneticPr fontId="2" type="noConversion"/>
  </si>
  <si>
    <t>BLUEHOLE</t>
    <phoneticPr fontId="2" type="noConversion"/>
  </si>
  <si>
    <t>n/a</t>
    <phoneticPr fontId="2" type="noConversion"/>
  </si>
  <si>
    <t>PUBG Mad Glory(892,829원), SDS(2,679,106원)</t>
    <phoneticPr fontId="2" type="noConversion"/>
  </si>
  <si>
    <t>KRAFTON Americas(189원), OVERDARE KOREA, Inc.(2,493원), 5Minlab(129,914원)</t>
    <phoneticPr fontId="2" type="noConversion"/>
  </si>
  <si>
    <t>GWS</t>
    <phoneticPr fontId="2" type="noConversion"/>
  </si>
  <si>
    <t>KRAFTON JAPAN, Inc.(994,716원), Krafton Americas, Inc(568,409원), PUBG India(532,884원), Krafton Europe B.V.(319,730원), KRAFTON MONTREAL STUDIO, INC.(106,577원), PUBG Madglory(106,577원), Bluehole Studio, Inc.(71,051원), OVERDARE KOREA, Inc.(71,051원), NAUTILUS MOBILE APP PRIVATE LIMITED(35,526원)</t>
    <phoneticPr fontId="2" type="noConversion"/>
  </si>
  <si>
    <t>Gemini&amp;AI Ultra</t>
    <phoneticPr fontId="2" type="noConversion"/>
  </si>
  <si>
    <t xml:space="preserve">inZOI Studio, Inc.(2,167,060원), Krafton Americas, Inc.(710,512원), KRAFTON CHINA(177,628원), KRAFTON EUROPE B.V.(497,358원), KRAFTON INDIA(603,935원), KRAFTON MONTREAL STUDIO, INC.(35,526원), OmniCraft Labs, Inc.(994,716원), PUBG Mad Glory, LLC(213,153원), RisingWings, Inc.(1,136,819원), Striking Distance Studios Spain, S.L.(71,051원) </t>
    <phoneticPr fontId="2" type="noConversion"/>
  </si>
  <si>
    <t>Tencent</t>
  </si>
  <si>
    <t>Yandex</t>
  </si>
  <si>
    <t>yandex 제외(USD)</t>
    <phoneticPr fontId="2" type="noConversion"/>
  </si>
  <si>
    <t>Gemini 제외(SW)</t>
    <phoneticPr fontId="2" type="noConversion"/>
  </si>
  <si>
    <t>담당자</t>
    <phoneticPr fontId="2" type="noConversion"/>
  </si>
  <si>
    <t>제품</t>
    <phoneticPr fontId="2" type="noConversion"/>
  </si>
  <si>
    <t>제조사</t>
    <phoneticPr fontId="2" type="noConversion"/>
  </si>
  <si>
    <t>Entity</t>
    <phoneticPr fontId="2" type="noConversion"/>
  </si>
  <si>
    <t>진행상황</t>
    <phoneticPr fontId="2" type="noConversion"/>
  </si>
  <si>
    <t>금액</t>
    <phoneticPr fontId="2" type="noConversion"/>
  </si>
  <si>
    <t>이윤슬</t>
    <phoneticPr fontId="2" type="noConversion"/>
  </si>
  <si>
    <t>Akamai</t>
    <phoneticPr fontId="2" type="noConversion"/>
  </si>
  <si>
    <t>크래프톤</t>
    <phoneticPr fontId="2" type="noConversion"/>
  </si>
  <si>
    <t>메가존클라우드</t>
    <phoneticPr fontId="2" type="noConversion"/>
  </si>
  <si>
    <t>Datadog</t>
    <phoneticPr fontId="2" type="noConversion"/>
  </si>
  <si>
    <t>Bluehole</t>
    <phoneticPr fontId="2" type="noConversion"/>
  </si>
  <si>
    <t>SK</t>
    <phoneticPr fontId="2" type="noConversion"/>
  </si>
  <si>
    <t>크래프톤(Research)</t>
    <phoneticPr fontId="2" type="noConversion"/>
  </si>
  <si>
    <t>Tencent</t>
    <phoneticPr fontId="2" type="noConversion"/>
  </si>
  <si>
    <t>Iron Hive doo Beograd</t>
  </si>
  <si>
    <t>Yandex</t>
    <phoneticPr fontId="2" type="noConversion"/>
  </si>
  <si>
    <t>GS 네오텍</t>
    <phoneticPr fontId="2" type="noConversion"/>
  </si>
  <si>
    <t>LG CNS</t>
    <phoneticPr fontId="2" type="noConversion"/>
  </si>
  <si>
    <t>GCP</t>
    <phoneticPr fontId="2" type="noConversion"/>
  </si>
  <si>
    <t>KRW</t>
    <phoneticPr fontId="2" type="noConversion"/>
  </si>
  <si>
    <t>USD</t>
    <phoneticPr fontId="2" type="noConversion"/>
  </si>
  <si>
    <t>Please don't change this sheet and data. If necessary, contact Chaewon Jung via Slack 1:1 DM.</t>
  </si>
  <si>
    <t>Account ID</t>
  </si>
  <si>
    <t>Provider</t>
  </si>
  <si>
    <t>Project</t>
  </si>
  <si>
    <t>Cost verifier</t>
  </si>
  <si>
    <t>comment</t>
  </si>
  <si>
    <t>contact verifed?</t>
  </si>
  <si>
    <t>Dark&amp;DarkerMoblie</t>
  </si>
  <si>
    <t>Publishing Tech PM Part</t>
    <phoneticPr fontId="2" type="noConversion"/>
  </si>
  <si>
    <t>Dark and Darker_Mobile</t>
    <phoneticPr fontId="2" type="noConversion"/>
  </si>
  <si>
    <t>김정언</t>
  </si>
  <si>
    <t>김정언</t>
    <phoneticPr fontId="2" type="noConversion"/>
  </si>
  <si>
    <t>NitroSmash</t>
    <phoneticPr fontId="2" type="noConversion"/>
  </si>
  <si>
    <t>XTRM</t>
  </si>
  <si>
    <t>[N/A]New State Dev Div.</t>
    <phoneticPr fontId="2" type="noConversion"/>
  </si>
  <si>
    <t>최진욱</t>
    <phoneticPr fontId="2" type="noConversion"/>
  </si>
  <si>
    <t>김태완</t>
    <phoneticPr fontId="2" type="noConversion"/>
  </si>
  <si>
    <t>백용원</t>
  </si>
  <si>
    <t>PUBGM Mobile (BGMI)</t>
  </si>
  <si>
    <t>이돈현</t>
  </si>
  <si>
    <t>@PUBG Mobile</t>
  </si>
  <si>
    <t>BATTLEGROUNDS_MOBILE_IN</t>
  </si>
  <si>
    <t>PUBG India</t>
  </si>
  <si>
    <t>(2022)BATTLEGROUNDS_MOBILE_IN</t>
    <phoneticPr fontId="2" type="noConversion"/>
  </si>
  <si>
    <t>이윤슬</t>
  </si>
  <si>
    <t>KOS Engineering Dept.</t>
    <phoneticPr fontId="2" type="noConversion"/>
  </si>
  <si>
    <t>이의석</t>
  </si>
  <si>
    <t>Migaloo</t>
  </si>
  <si>
    <t>OVDR Platform Engineering Team</t>
  </si>
  <si>
    <t>이제우</t>
  </si>
  <si>
    <t>PUBG LItePC-Download</t>
  </si>
  <si>
    <t>김정헌</t>
  </si>
  <si>
    <t>최준석</t>
  </si>
  <si>
    <t>PUBG Prod-Live Lobby</t>
  </si>
  <si>
    <t>intra platform</t>
  </si>
  <si>
    <t>홍성철</t>
  </si>
  <si>
    <t>App &amp; API Protector with Advanced Security Management Plus DSA</t>
  </si>
  <si>
    <t>정채원</t>
    <phoneticPr fontId="2" type="noConversion"/>
  </si>
  <si>
    <t>Bot Manager Premier</t>
  </si>
  <si>
    <t>Cloud Wrapper</t>
  </si>
  <si>
    <t>Global Traffic Management - Standard</t>
  </si>
  <si>
    <t>Protect &amp; Perform SOA with Premium</t>
  </si>
  <si>
    <t>RG rerun (etc)</t>
  </si>
  <si>
    <t>PUBG Dev Div.</t>
  </si>
  <si>
    <t>정채원</t>
  </si>
  <si>
    <t>ch-BGMI</t>
  </si>
  <si>
    <t>ch-NEWSTATE</t>
  </si>
  <si>
    <t>ch-NEWSTATE2</t>
  </si>
  <si>
    <t>ch-PUBG</t>
  </si>
  <si>
    <t>ch-OTHERS</t>
  </si>
  <si>
    <t>CH-DD</t>
  </si>
  <si>
    <t>Please don't change this sheet and data. If necessary, contact Chanewon Jung via Slack 1:1 DM.</t>
    <phoneticPr fontId="2" type="noConversion"/>
  </si>
  <si>
    <t>Account</t>
    <phoneticPr fontId="2" type="noConversion"/>
  </si>
  <si>
    <t>Cost verifier</t>
    <phoneticPr fontId="2" type="noConversion"/>
  </si>
  <si>
    <t>Team code</t>
  </si>
  <si>
    <t>Project code</t>
  </si>
  <si>
    <t>황범석</t>
  </si>
  <si>
    <t>AB 안티치트 서비스용 사용예정 (24년 1분기부터)</t>
  </si>
  <si>
    <t>김승훈</t>
  </si>
  <si>
    <t>Minkz Ngo</t>
  </si>
  <si>
    <t>Jordan Yerkes</t>
  </si>
  <si>
    <t>InZOI Studio</t>
    <phoneticPr fontId="2" type="noConversion"/>
  </si>
  <si>
    <t>inZOI Server Team</t>
    <phoneticPr fontId="2" type="noConversion"/>
  </si>
  <si>
    <t>조재욱</t>
  </si>
  <si>
    <t xml:space="preserve">24' 11월 Account Owner 를 이상문님에서 조재욱님으로 변경합니다 
25' 1월 GS Credit 적용 시작 예정 </t>
  </si>
  <si>
    <t>aws_cloudtrail_dev@bluehole.net(642623655767)</t>
  </si>
  <si>
    <t>염화음</t>
  </si>
  <si>
    <t>유영빈</t>
  </si>
  <si>
    <t>1월 중 삭제 예정</t>
  </si>
  <si>
    <t>AWS_data-tech@krafton.com(272510915182)</t>
  </si>
  <si>
    <t>김시훈</t>
    <phoneticPr fontId="2" type="noConversion"/>
  </si>
  <si>
    <t>https://ask.krafton.com/browse/ASKIT-27917, ASKIT-24823 유영빈님이 담당자 변경요청</t>
    <phoneticPr fontId="2" type="noConversion"/>
  </si>
  <si>
    <t>aws_de_mturk@krafton.com(036022206166)</t>
  </si>
  <si>
    <t>김범수</t>
  </si>
  <si>
    <t>https://ask.krafton.com/browse/ASKIT-38494</t>
    <phoneticPr fontId="2" type="noConversion"/>
  </si>
  <si>
    <t>AWS_DLD_dev@bluehole.net(171503962539)</t>
    <phoneticPr fontId="2" type="noConversion"/>
  </si>
  <si>
    <t>이동기</t>
  </si>
  <si>
    <t>김지윤</t>
  </si>
  <si>
    <t>https://ask.krafton.com/browse/ASKIT-29089/https://ask.krafton.com/browse/ASKIT-29089, https://jira.krafton.com/browse/ASKIT-24249</t>
    <phoneticPr fontId="2" type="noConversion"/>
  </si>
  <si>
    <t>AWS_DLD_Prod@bluehole.net(696280989469)</t>
    <phoneticPr fontId="2" type="noConversion"/>
  </si>
  <si>
    <t>유상규</t>
  </si>
  <si>
    <r>
      <t xml:space="preserve">24년1~2월에 비용 많이 증가한다고 함 6/5 close/ </t>
    </r>
    <r>
      <rPr>
        <b/>
        <sz val="10"/>
        <color rgb="FFFF0000"/>
        <rFont val="맑은 고딕"/>
        <family val="3"/>
        <charset val="129"/>
        <scheme val="minor"/>
      </rPr>
      <t>삭제</t>
    </r>
    <phoneticPr fontId="2" type="noConversion"/>
  </si>
  <si>
    <t>홍준화</t>
    <phoneticPr fontId="2" type="noConversion"/>
  </si>
  <si>
    <t>DevData Engineering Team</t>
    <phoneticPr fontId="2" type="noConversion"/>
  </si>
  <si>
    <t>안연주</t>
  </si>
  <si>
    <t>PUBG e-sports Console 대회용 서비스</t>
  </si>
  <si>
    <t>AWS_FF@bluehole.net(257405109560)</t>
  </si>
  <si>
    <t>[N/A] AB Unit</t>
    <phoneticPr fontId="2" type="noConversion"/>
  </si>
  <si>
    <t>이민재</t>
  </si>
  <si>
    <t>담당자 변경 : 김현철 -&gt; 이민재https://ask.krafton.com/browse/ASKIT-34027
FF는 블루홀(개발)/LIVE는 크래프톤(퍼블리싱)-BGMI팀</t>
  </si>
  <si>
    <t>aws_gamesight@bluehole.net(171101943282)</t>
  </si>
  <si>
    <t>김시훈</t>
  </si>
  <si>
    <t>aws_krafton_id@bluehole.net(853221784203)</t>
    <phoneticPr fontId="2" type="noConversion"/>
  </si>
  <si>
    <t>신근우</t>
  </si>
  <si>
    <t>aws_krafton_id@bluehole.net(853221784203) -&gt; aws_krafton_id@bluehole.net(853221784203)으로 변경</t>
    <phoneticPr fontId="2" type="noConversion"/>
  </si>
  <si>
    <t>AWS_India-Esports@pubg.com(132802523425)</t>
  </si>
  <si>
    <t>양장수</t>
  </si>
  <si>
    <t xml:space="preserve">24' 5/7 account close 완료 </t>
  </si>
  <si>
    <t>AWS_india_publishing@bluehole.net(397907563279)</t>
  </si>
  <si>
    <t>[N/A] IN Publishing Production Team_HQ</t>
    <phoneticPr fontId="2" type="noConversion"/>
  </si>
  <si>
    <t>박지현</t>
    <phoneticPr fontId="2" type="noConversion"/>
  </si>
  <si>
    <t xml:space="preserve">Amplitude 라이선스 구매용/김종환님이신청은했으나 윤슬님 확인 가능-&gt; 박지연님 </t>
    <phoneticPr fontId="2" type="noConversion"/>
  </si>
  <si>
    <t>aws_krafton_ded@bluehole.net(333537382729)</t>
  </si>
  <si>
    <t>aws-krafton-ddm-live@krafton.com(975050331843)</t>
    <phoneticPr fontId="2" type="noConversion"/>
  </si>
  <si>
    <t>Bluehole AB(DDM) Live 서비스용 AWS 계정/aws-krafton-ddm-live@krafton.com(975050331843)-&gt;aws-krafton-ddm-stg@bluehole.net(975050331843)으로 변경</t>
    <phoneticPr fontId="2" type="noConversion"/>
  </si>
  <si>
    <t>aws_krafton-service-dev-project@bluehole.net(921970894603)</t>
  </si>
  <si>
    <t>AI Product Dev Chapter Dept.</t>
    <phoneticPr fontId="2" type="noConversion"/>
  </si>
  <si>
    <t>권승진</t>
  </si>
  <si>
    <t>박준규</t>
    <phoneticPr fontId="2" type="noConversion"/>
  </si>
  <si>
    <t>aws_kraftonde-sensitive@krafton.com(226547056751)</t>
  </si>
  <si>
    <t>https://ask.krafton.com/browse/ASKIT-27917, ASKIT-24823 유영빈님이 담당자 변경요청, https://ask.krafton.com/browse/ASKIT-38495</t>
    <phoneticPr fontId="2" type="noConversion"/>
  </si>
  <si>
    <t>AWS_log@krafton.com(873854150592)</t>
  </si>
  <si>
    <t>Deleted(25.5)</t>
    <phoneticPr fontId="2" type="noConversion"/>
  </si>
  <si>
    <t>25.5.16 삭제완료SDS에서 삭제요청했음. 9/30 - 승훈님 확인</t>
    <phoneticPr fontId="2" type="noConversion"/>
  </si>
  <si>
    <t>aws_migaloo-data@bluehole.net(231111506266)</t>
  </si>
  <si>
    <t>OVDR GTM Team</t>
  </si>
  <si>
    <t>Deleted</t>
  </si>
  <si>
    <t>삭제요청 받았음. 그래서 삭제 예정</t>
  </si>
  <si>
    <t>Mad Glory</t>
    <phoneticPr fontId="2" type="noConversion"/>
  </si>
  <si>
    <t>Valor_Console</t>
    <phoneticPr fontId="2" type="noConversion"/>
  </si>
  <si>
    <t>Arthur Low (AJ)</t>
  </si>
  <si>
    <t>Please move ownership to rolmstead@pubg.com - this is being used by MadGlory in Madison, not Krafton Americas Inc</t>
  </si>
  <si>
    <t>신근우</t>
    <phoneticPr fontId="2" type="noConversion"/>
  </si>
  <si>
    <t>Hiren Chatrola -&gt; 신근우님으로 변경 (24.8.20 신근우님요청)</t>
    <phoneticPr fontId="2" type="noConversion"/>
  </si>
  <si>
    <t>SBX Platform Team</t>
  </si>
  <si>
    <t>aws_pbb_dev@bluehole.net(634885311994)</t>
  </si>
  <si>
    <t>PUBG STUDIO</t>
    <phoneticPr fontId="2" type="noConversion"/>
  </si>
  <si>
    <t>BLACK BUDGET</t>
    <phoneticPr fontId="2" type="noConversion"/>
  </si>
  <si>
    <t>조원빈</t>
  </si>
  <si>
    <t>aws_pbb_it@krafton.com(767398044467)</t>
  </si>
  <si>
    <t>PBB related systems. Perforce EU, US. ASK-18720. created by Jan 28 2024</t>
  </si>
  <si>
    <t>Minkz Ngo</t>
    <phoneticPr fontId="2" type="noConversion"/>
  </si>
  <si>
    <t>aws_pubg_anticheat_service@bluehole.net(843438412681)</t>
  </si>
  <si>
    <t>PUBG PC/CONSOLE 안티치트 서비스용 사용중입니다. (23년 11월부터 aws_brodev에서 분리)</t>
  </si>
  <si>
    <t>aws_pubg-arc-project@pubg.com(730335195506)</t>
  </si>
  <si>
    <t>MS DevOps Team</t>
    <phoneticPr fontId="2" type="noConversion"/>
  </si>
  <si>
    <t>천궁원</t>
  </si>
  <si>
    <t>최보성</t>
    <phoneticPr fontId="2" type="noConversion"/>
  </si>
  <si>
    <t>aws_pubg_platform@bluehole.net(017103636613)</t>
  </si>
  <si>
    <t>안티치트실 공용 인프라 서비스용 사용중입니다</t>
  </si>
  <si>
    <t>AWS_pubg-dev@pubg.com(423068853949)</t>
  </si>
  <si>
    <t>aws_pubg-devops@bluehole.net(974771722734)</t>
  </si>
  <si>
    <t>AWS_pubg-Esports@pubg.com(054649872353)</t>
  </si>
  <si>
    <t>Service DevOps Team</t>
  </si>
  <si>
    <t>엄기성</t>
  </si>
  <si>
    <t>AWS_pubg-Gcoin@pubg.com(804173125569)</t>
  </si>
  <si>
    <t>AWS_pubg-playground@pubg.com(338204589111)</t>
  </si>
  <si>
    <t>aws_relugames@bluehole.net(309943519623)</t>
  </si>
  <si>
    <t>ReLU Dev Dept.</t>
  </si>
  <si>
    <t>오준석</t>
  </si>
  <si>
    <t>aws_sds-security@bluehole.net(667131346962)</t>
  </si>
  <si>
    <t>Julien Copin</t>
  </si>
  <si>
    <t>aws_team-endurance-dev@bluehole.net(526785180557)</t>
  </si>
  <si>
    <t>김대원</t>
    <phoneticPr fontId="2" type="noConversion"/>
  </si>
  <si>
    <t>Deleted(24.7)</t>
    <phoneticPr fontId="2" type="noConversion"/>
  </si>
  <si>
    <t>https://ask.krafton.com/browse/ASKIT-22118</t>
    <phoneticPr fontId="2" type="noConversion"/>
  </si>
  <si>
    <t>이승호</t>
  </si>
  <si>
    <t>AWS_Test-Acc01@krafton.com(103463619944)</t>
  </si>
  <si>
    <t>25.5.16 삭제완료/정채원 삭제요청</t>
    <phoneticPr fontId="2" type="noConversion"/>
  </si>
  <si>
    <t>AWS_Test-Acc02@krafton.com(394049916894)</t>
  </si>
  <si>
    <t>AWS_TTO-beta@pubg.com(390391905061)</t>
  </si>
  <si>
    <t>Thunder Div.</t>
  </si>
  <si>
    <t>Petr Matoušek</t>
  </si>
  <si>
    <t>OVDR Tech Div.</t>
    <phoneticPr fontId="2" type="noConversion"/>
  </si>
  <si>
    <t>이상헌</t>
  </si>
  <si>
    <t>월 4백만원 수준</t>
  </si>
  <si>
    <t>이준호</t>
  </si>
  <si>
    <t>비용 권한이 없습니다 / PUBG, PUBGM을 제외한 모든 프로젝트에서 사용 중입니다.
https://jira.krafton.com/browse/ASKIT-25601</t>
    <phoneticPr fontId="2" type="noConversion"/>
  </si>
  <si>
    <t>aws_windless_dev@bluehole.net(374767687653)</t>
  </si>
  <si>
    <t>PGY_Art Cell</t>
    <phoneticPr fontId="2" type="noConversion"/>
  </si>
  <si>
    <t>삭제confirmed</t>
  </si>
  <si>
    <t>NEWSTATE 안티치트 서비스용. 사용중입니다.</t>
  </si>
  <si>
    <t>AWS-Audit-Account@sds.com(881478828313)</t>
  </si>
  <si>
    <t>삭제</t>
    <phoneticPr fontId="2" type="noConversion"/>
  </si>
  <si>
    <t>백승현</t>
  </si>
  <si>
    <t>새로운 정글 홈페이지 개발로 인해 10월에 비용 상승했습니다.</t>
  </si>
  <si>
    <t>aws-fwg-chocolat@bluehole.net(738051563466)</t>
  </si>
  <si>
    <t>Flyway Games</t>
    <phoneticPr fontId="2" type="noConversion"/>
  </si>
  <si>
    <t>Chocolat Team</t>
  </si>
  <si>
    <t>Chocolat</t>
  </si>
  <si>
    <t>윤상구</t>
  </si>
  <si>
    <t>Deleted(24.11)</t>
    <phoneticPr fontId="2" type="noConversion"/>
  </si>
  <si>
    <t>https://ask.krafton.com/browse/ASKIT-23771</t>
    <phoneticPr fontId="2" type="noConversion"/>
  </si>
  <si>
    <t>aws-krafton-braze@krafton.com(493761360527)</t>
  </si>
  <si>
    <t>aws-krafton-dld-applied@bluehole.net(847366387031)</t>
  </si>
  <si>
    <t>김동원</t>
    <phoneticPr fontId="2" type="noConversion"/>
  </si>
  <si>
    <t>https://ask.krafton.com/browse/ASKIT-29024, 정승준님 -&gt; 김동원님</t>
    <phoneticPr fontId="2" type="noConversion"/>
  </si>
  <si>
    <t>aws-krafton-security@bluehole.net(205564184489)</t>
  </si>
  <si>
    <t>김재윤</t>
  </si>
  <si>
    <t>AWS-Log-Archive@sds.com(766483530519)</t>
  </si>
  <si>
    <t>aws-pubg-arc@bluehole.net(637423439253)</t>
  </si>
  <si>
    <t>정병철</t>
  </si>
  <si>
    <t>aws-pubg-odapi@bluehole.net(731155034380)</t>
  </si>
  <si>
    <t>이경호</t>
  </si>
  <si>
    <t>10/7 유지하는 것으로 확인 -&gt; 슬랙</t>
    <phoneticPr fontId="2" type="noConversion"/>
  </si>
  <si>
    <t>aws-sandbox-fhutchinson@sds.com(312933148507)</t>
  </si>
  <si>
    <t>aws-sandbox-jyerkes@sds.com(078595245691)</t>
  </si>
  <si>
    <t>aws-sandbox-mtrenchard@sds.com(564290003513)</t>
  </si>
  <si>
    <t>aws-sandbox-sfuller@sds.com(681581573890)</t>
  </si>
  <si>
    <t>BHAWS_BRO@bluehole.net(628917336532)</t>
  </si>
  <si>
    <t>[N/A]TERA</t>
    <phoneticPr fontId="2" type="noConversion"/>
  </si>
  <si>
    <t>류현덕</t>
    <phoneticPr fontId="2" type="noConversion"/>
  </si>
  <si>
    <t>안영근</t>
    <phoneticPr fontId="2" type="noConversion"/>
  </si>
  <si>
    <t>S3 게임 로그 저장및 관리 계정,  월 100만원 수준</t>
  </si>
  <si>
    <t>TERA PC Log -&gt; Glacier Archive완료 및 유지관리 계정</t>
  </si>
  <si>
    <t>Bhaws_dbdev@bluehole.net(581185314323)</t>
  </si>
  <si>
    <t>김완건</t>
  </si>
  <si>
    <t>이재혁</t>
    <phoneticPr fontId="2" type="noConversion"/>
  </si>
  <si>
    <t>DB R&amp;D 용도 (팀 내부 사용)</t>
  </si>
  <si>
    <t>BHAWS_DEDEV@bluehole.net(142757678093)</t>
    <phoneticPr fontId="2" type="noConversion"/>
  </si>
  <si>
    <t>김재윤</t>
    <phoneticPr fontId="2" type="noConversion"/>
  </si>
  <si>
    <t>Deleted 7월부터 비용발생하지 않음</t>
    <phoneticPr fontId="2" type="noConversion"/>
  </si>
  <si>
    <t>한상근</t>
  </si>
  <si>
    <t>최진광</t>
  </si>
  <si>
    <t>bhaws_intradev@bluehole.net(052342468408)</t>
  </si>
  <si>
    <t>bhaws_l10n@bluehole.net(432820731734)</t>
  </si>
  <si>
    <t>김재헌</t>
  </si>
  <si>
    <t>김진희</t>
  </si>
  <si>
    <t>bhaws_pubgpclitelive@bluehole.net(923284402284)</t>
  </si>
  <si>
    <t>TERA는 블루홀/비용 권한이 없습니다. / Tera Console, Blueward에서 사용 중입니다. 
https://jira.krafton.com/browse/ASKIT-25601</t>
    <phoneticPr fontId="2" type="noConversion"/>
  </si>
  <si>
    <t>bhaws_tal@bluehole.net(403272232770)</t>
  </si>
  <si>
    <t>Service Engineering Dept.</t>
  </si>
  <si>
    <t>박형준</t>
  </si>
  <si>
    <t>배인성</t>
  </si>
  <si>
    <t>TERA_Console</t>
  </si>
  <si>
    <t>장은진</t>
  </si>
  <si>
    <t>https://ask.krafton.com/browse/ASKIT-27821</t>
    <phoneticPr fontId="2" type="noConversion"/>
  </si>
  <si>
    <t>chrisjang@krafton.com(537960274856)</t>
  </si>
  <si>
    <t>25.5.16 삭제완료/10/7 JIRA 정채원 삭제요청</t>
    <phoneticPr fontId="2" type="noConversion"/>
  </si>
  <si>
    <t>https://ask.krafton.com/browse/ASKIT-29002/https://ask.krafton.com/browse/ASKIT-27917, ASKIT-24823 유영빈님 -&gt; 정주영님 -&gt; 신수연님, https://ask.krafton.com/browse/ASKIT-38507</t>
    <phoneticPr fontId="2" type="noConversion"/>
  </si>
  <si>
    <t>krafton-dd-live@krafton.com(271459992830)</t>
  </si>
  <si>
    <t>이진호</t>
  </si>
  <si>
    <t>krafton-esports-web-india@bluehole.net(105333389164)</t>
  </si>
  <si>
    <t>PROJECT WINDLESS</t>
    <phoneticPr fontId="2" type="noConversion"/>
  </si>
  <si>
    <t>pubg_data_analysis@bluehole.net(912202927742)</t>
  </si>
  <si>
    <t>전경원</t>
  </si>
  <si>
    <t>2024.7 close/삭제</t>
    <phoneticPr fontId="2" type="noConversion"/>
  </si>
  <si>
    <t>pubg_data-tech-india@bluehole.net(137840510380)</t>
    <phoneticPr fontId="2" type="noConversion"/>
  </si>
  <si>
    <r>
      <t>6/24 close/</t>
    </r>
    <r>
      <rPr>
        <b/>
        <sz val="10"/>
        <rFont val="맑은 고딕"/>
        <family val="3"/>
        <charset val="129"/>
        <scheme val="minor"/>
      </rPr>
      <t>삭제</t>
    </r>
    <phoneticPr fontId="2" type="noConversion"/>
  </si>
  <si>
    <t>pubg-mobile-web@bluehole.net(687869940784)</t>
  </si>
  <si>
    <t>account id 변경</t>
    <phoneticPr fontId="2" type="noConversion"/>
  </si>
  <si>
    <t>pubg_pc_live@bluehole.net(792630841427)</t>
  </si>
  <si>
    <t>pubg_psn_retail@bluehole.net(646628557157)</t>
  </si>
  <si>
    <t>저</t>
  </si>
  <si>
    <t>pubg_thunder-de@bluehole.net(610009048594)</t>
  </si>
  <si>
    <t>THUNDER</t>
  </si>
  <si>
    <t>pubg_xbox_retail@bluehole.net(199866180985)</t>
  </si>
  <si>
    <t>pubg-uropa-project@bluehole.net(724911849581)</t>
  </si>
  <si>
    <t>천궁원 팀장님 7/15 슬랙 요청사항</t>
    <phoneticPr fontId="2" type="noConversion"/>
  </si>
  <si>
    <t>pubg-xtrm-data@bluehole.net(176977192848)</t>
  </si>
  <si>
    <t>김신영</t>
  </si>
  <si>
    <t>https://ask.krafton.com/browse/ASKIT-29002/ https://ask.krafton.com/browse/ASKIT-27917, ASKIT-24823 유영빈님 -&gt; 정주영님 -&gt; 신수연님</t>
    <phoneticPr fontId="2" type="noConversion"/>
  </si>
  <si>
    <t>pubgawsresearch@bluehole.net(397523987293)</t>
  </si>
  <si>
    <t>심재한</t>
  </si>
  <si>
    <t>krafton-officialweb-india-dev@krafton.com(533267065458)</t>
  </si>
  <si>
    <t xml:space="preserve">24' 4/25 account close 완료 </t>
  </si>
  <si>
    <t>24' 9월에 AWS Credit 차감 반영이 있었어서 10월부터 증감을 감안해서 봐주세요</t>
  </si>
  <si>
    <t>aws-inzoi-prod@krafton.com(767397839450)</t>
    <phoneticPr fontId="2" type="noConversion"/>
  </si>
  <si>
    <r>
      <rPr>
        <strike/>
        <sz val="9"/>
        <color rgb="FF000000"/>
        <rFont val="맑은 고딕"/>
        <family val="2"/>
        <scheme val="minor"/>
      </rPr>
      <t xml:space="preserve">24' 7월 DynamoDB Provisioned capacity mode 일시적 증가, 24' 8월 게임스컴 라이브 대응 비용증가 
25' 1월 GS Credit 적용 시작 예정, 25' 3/28 GL EA  
https://ask.krafton.com/browse/ASKIT-19276 (2025.4 account ID 변경, aws를 앞에 추가)
25' 8월 대규모 업데이트 및 Gamescom 참가 </t>
    </r>
    <r>
      <rPr>
        <sz val="9"/>
        <color rgb="FF000000"/>
        <rFont val="맑은 고딕"/>
        <family val="2"/>
        <scheme val="minor"/>
      </rPr>
      <t xml:space="preserve"> 
25' 4월~ 트래픽 감소에 맞춰 계속 조금씩 리소스 축소 작업 중(EC2, Opensearch, RDS, ELC) 
26' 1월~2월 personalize 사용비용 감소 -90%  
</t>
    </r>
  </si>
  <si>
    <t>aws-inzoi-prod-qa@krafton.com(891376979083)</t>
    <phoneticPr fontId="2" type="noConversion"/>
  </si>
  <si>
    <t>24' 12월 신규 AWS Resource 추가 및 Migration 작업중 , 25' 1월 GS Credit 적용 시작 예정 
25' 3월 GL, 성능테스트 후 축소  
https://ask.krafton.com/browse/ASKIT-19276 (2025.4 account ID 변경, aws를 앞에 추가)
25' 7월 ~ Mac-cert 환경용 리소스 추가 , 25' 8월 ~ Ps-cert 환경용 리소스 추가</t>
  </si>
  <si>
    <t>천궁원</t>
    <phoneticPr fontId="2" type="noConversion"/>
  </si>
  <si>
    <t>배시은</t>
    <phoneticPr fontId="2" type="noConversion"/>
  </si>
  <si>
    <r>
      <rPr>
        <sz val="9"/>
        <color rgb="FF000000"/>
        <rFont val="맑은 고딕"/>
        <family val="3"/>
        <charset val="129"/>
        <scheme val="minor"/>
      </rPr>
      <t xml:space="preserve">24' 9월에 GS credit 적용 시작
</t>
    </r>
    <r>
      <rPr>
        <b/>
        <sz val="9"/>
        <color rgb="FF000000"/>
        <rFont val="맑은 고딕"/>
        <family val="3"/>
        <charset val="129"/>
        <scheme val="minor"/>
      </rPr>
      <t xml:space="preserve">24' 12/11 GL
</t>
    </r>
    <r>
      <rPr>
        <sz val="9"/>
        <color rgb="FF000000"/>
        <rFont val="맑은 고딕"/>
        <family val="3"/>
        <charset val="129"/>
        <scheme val="minor"/>
      </rPr>
      <t>25' 1월 GS credit 소진</t>
    </r>
  </si>
  <si>
    <t>24' 9월에 GS credit 적용 시작
24' 11월 cloudfront 게임패치 용 트래픽 증가</t>
  </si>
  <si>
    <t>aws-bao-sd@krafton.com(975050105879)</t>
    <phoneticPr fontId="2" type="noConversion"/>
  </si>
  <si>
    <t>Business Assessment Office</t>
  </si>
  <si>
    <t>박영세</t>
  </si>
  <si>
    <t>2024.05 계정삭제</t>
    <phoneticPr fontId="2" type="noConversion"/>
  </si>
  <si>
    <t xml:space="preserve">24' 9월에 GS credit 적용 시작
24' 10월에 GS credit 소진
25' 1월~4월  BGIS 대회 기간 : 리소스 사용량 증가  </t>
  </si>
  <si>
    <t>FF는 블루홀(개발)/LIVE는 크래프톤(퍼블리싱)-BGMI팀</t>
    <phoneticPr fontId="2" type="noConversion"/>
  </si>
  <si>
    <t>김영철</t>
    <phoneticPr fontId="2" type="noConversion"/>
  </si>
  <si>
    <t>https://jira.krafton.com/browse/ASKIT-24249</t>
    <phoneticPr fontId="2" type="noConversion"/>
  </si>
  <si>
    <t>AI Applied Research Dept.</t>
    <phoneticPr fontId="2" type="noConversion"/>
  </si>
  <si>
    <t>DEEP LEARNING</t>
    <phoneticPr fontId="2" type="noConversion"/>
  </si>
  <si>
    <t>권태환</t>
    <phoneticPr fontId="2" type="noConversion"/>
  </si>
  <si>
    <t>장지연님과 권태연님 확인하여 회신</t>
    <phoneticPr fontId="2" type="noConversion"/>
  </si>
  <si>
    <t>FWG People Team</t>
    <phoneticPr fontId="2" type="noConversion"/>
  </si>
  <si>
    <t>전민욱</t>
    <phoneticPr fontId="2" type="noConversion"/>
  </si>
  <si>
    <t>6/5 탁승현님 퇴사</t>
    <phoneticPr fontId="2" type="noConversion"/>
  </si>
  <si>
    <t>IT Dept.</t>
    <phoneticPr fontId="2" type="noConversion"/>
  </si>
  <si>
    <t>홍성철</t>
    <phoneticPr fontId="2" type="noConversion"/>
  </si>
  <si>
    <t>허태욱</t>
    <phoneticPr fontId="2" type="noConversion"/>
  </si>
  <si>
    <t>aws-pubg-c3-project@krafton.com(879381264705)</t>
    <phoneticPr fontId="2" type="noConversion"/>
  </si>
  <si>
    <t>Adrenaline Rush Lab Unit</t>
    <phoneticPr fontId="2" type="noConversion"/>
  </si>
  <si>
    <t>이민기</t>
    <phoneticPr fontId="2" type="noConversion"/>
  </si>
  <si>
    <t>aws-pubg-np-project@krafton.com(273354649925)</t>
    <phoneticPr fontId="2" type="noConversion"/>
  </si>
  <si>
    <t>PalM Unit</t>
    <phoneticPr fontId="2" type="noConversion"/>
  </si>
  <si>
    <t>PUBG 2.0</t>
    <phoneticPr fontId="2" type="noConversion"/>
  </si>
  <si>
    <t>박종민</t>
    <phoneticPr fontId="2" type="noConversion"/>
  </si>
  <si>
    <t>박종민님 확인/ project 재무기획팀 김지윤팀장님과확인</t>
    <phoneticPr fontId="2" type="noConversion"/>
  </si>
  <si>
    <t>KRAFTON HQ</t>
    <phoneticPr fontId="2" type="noConversion"/>
  </si>
  <si>
    <t>어재훈</t>
    <phoneticPr fontId="2" type="noConversion"/>
  </si>
  <si>
    <t>Dark and Darker_Mobile -&gt; Palworld M 디스코드 커뮤니티로 사용목적이 변경 됨</t>
    <phoneticPr fontId="2" type="noConversion"/>
  </si>
  <si>
    <t>aws-R3india-stg@krafton.com(571600873674)</t>
    <phoneticPr fontId="2" type="noConversion"/>
  </si>
  <si>
    <t>PalM</t>
    <phoneticPr fontId="2" type="noConversion"/>
  </si>
  <si>
    <t>https://jira.krafton.com/browse/ASKIT-25702</t>
    <phoneticPr fontId="2" type="noConversion"/>
  </si>
  <si>
    <t>aws-arc-anticheat-service@pubg.com(577638352596)</t>
    <phoneticPr fontId="2" type="noConversion"/>
  </si>
  <si>
    <t>황범석</t>
    <phoneticPr fontId="2" type="noConversion"/>
  </si>
  <si>
    <t>bhaws_pnix.realgolf@bluehole.net(026864049464)</t>
    <phoneticPr fontId="2" type="noConversion"/>
  </si>
  <si>
    <t>Risingwings</t>
    <phoneticPr fontId="2" type="noConversion"/>
  </si>
  <si>
    <t>RW Tech Support Dept.</t>
    <phoneticPr fontId="2" type="noConversion"/>
  </si>
  <si>
    <t>허지웅</t>
    <phoneticPr fontId="2" type="noConversion"/>
  </si>
  <si>
    <t>골프킹팀 (pnix_golfking@krafton.com)</t>
    <phoneticPr fontId="2" type="noConversion"/>
  </si>
  <si>
    <t>aws-pubgstudios-central@pubg.com(038462770692)</t>
    <phoneticPr fontId="2" type="noConversion"/>
  </si>
  <si>
    <t>김정헌</t>
    <phoneticPr fontId="2" type="noConversion"/>
  </si>
  <si>
    <t>최준석</t>
    <phoneticPr fontId="2" type="noConversion"/>
  </si>
  <si>
    <t>PUBG Studio 내 중앙 플랫폼 서비스를 제공하기 위해 새로운 계정</t>
    <phoneticPr fontId="2" type="noConversion"/>
  </si>
  <si>
    <t>AWS_Dreamotion-Ronin@krafton.com(071872665424)</t>
    <phoneticPr fontId="2" type="noConversion"/>
  </si>
  <si>
    <t>Dreamotion</t>
    <phoneticPr fontId="2" type="noConversion"/>
  </si>
  <si>
    <t>Project MLP Team</t>
    <phoneticPr fontId="2" type="noConversion"/>
  </si>
  <si>
    <t>류성중</t>
    <phoneticPr fontId="2" type="noConversion"/>
  </si>
  <si>
    <t>Root 계정을 드림모션에서 관리/로닌 : 더 라스트 사무라이</t>
    <phoneticPr fontId="2" type="noConversion"/>
  </si>
  <si>
    <t>hellobot.prod@thingsflow.com(148218749115)</t>
    <phoneticPr fontId="2" type="noConversion"/>
  </si>
  <si>
    <t>Thingsflow</t>
  </si>
  <si>
    <t>Thingsflow</t>
    <phoneticPr fontId="2" type="noConversion"/>
  </si>
  <si>
    <t>허인호</t>
    <phoneticPr fontId="2" type="noConversion"/>
  </si>
  <si>
    <t>AWS_defensederby@risingwings.com(183323689126)</t>
    <phoneticPr fontId="2" type="noConversion"/>
  </si>
  <si>
    <t>RW Tech Support Dept.</t>
  </si>
  <si>
    <t>허지웅</t>
  </si>
  <si>
    <t>defensederby</t>
  </si>
  <si>
    <t>aws.playground@thingsflow.com(248239598373)</t>
    <phoneticPr fontId="2" type="noConversion"/>
  </si>
  <si>
    <t>허인호</t>
  </si>
  <si>
    <t>AWS_RF-global@risingwings.com(260910532074)</t>
    <phoneticPr fontId="2" type="noConversion"/>
  </si>
  <si>
    <t>rf-global</t>
  </si>
  <si>
    <t>AWS_Dreamotion-GunStrider@krafton.com(286067354613)</t>
    <phoneticPr fontId="2" type="noConversion"/>
  </si>
  <si>
    <t>류성중</t>
  </si>
  <si>
    <t>건스트라이더 계정</t>
    <phoneticPr fontId="2" type="noConversion"/>
  </si>
  <si>
    <t>storyplay.prod@thingsflow.com(303682502270)</t>
    <phoneticPr fontId="2" type="noConversion"/>
  </si>
  <si>
    <t>김재현</t>
    <phoneticPr fontId="2" type="noConversion"/>
  </si>
  <si>
    <t>Bhaws_pnix.golf@bluehole.net(352332181309)</t>
    <phoneticPr fontId="2" type="noConversion"/>
  </si>
  <si>
    <t>bhaws-pnix-golf</t>
  </si>
  <si>
    <t>조동현</t>
  </si>
  <si>
    <t>조한경</t>
    <phoneticPr fontId="2" type="noConversion"/>
  </si>
  <si>
    <t>BGMI 의 인도 내 게임 품질개선을 위해 AWS Local Zone 테스트 및 크레딧 수령을 위한 계정 요청</t>
  </si>
  <si>
    <t>AWS_BetweenUS@krafton.com(449136012677)</t>
    <phoneticPr fontId="2" type="noConversion"/>
  </si>
  <si>
    <t>oldmaster@thingsflow.com(468186750909)</t>
    <phoneticPr fontId="2" type="noConversion"/>
  </si>
  <si>
    <t>AWS_Dreamotion-RoadToValor@krafton.com(531219453947)</t>
    <phoneticPr fontId="2" type="noConversion"/>
  </si>
  <si>
    <t>Road to valor : world war2</t>
    <phoneticPr fontId="2" type="noConversion"/>
  </si>
  <si>
    <t>dm-roadtovalor/드투발러 : 월드워2</t>
    <phoneticPr fontId="2" type="noConversion"/>
  </si>
  <si>
    <t>AWS_BetweenUS-stats@krafton.com(608089622081)</t>
    <phoneticPr fontId="2" type="noConversion"/>
  </si>
  <si>
    <t>aws-rw-projectel@bluehole.net(637423166880)</t>
    <phoneticPr fontId="2" type="noConversion"/>
  </si>
  <si>
    <t>RW-ProjectEL</t>
    <phoneticPr fontId="2" type="noConversion"/>
  </si>
  <si>
    <t>aws-ovdr-sandbox@krafton.com(650251727998)</t>
    <phoneticPr fontId="2" type="noConversion"/>
  </si>
  <si>
    <t>OVERDARE</t>
    <phoneticPr fontId="2" type="noConversion"/>
  </si>
  <si>
    <t>OVDR Platform Engineering Dept</t>
  </si>
  <si>
    <t>이제우</t>
    <phoneticPr fontId="2" type="noConversion"/>
  </si>
  <si>
    <t>내부 개발자 테스트용 AWS 계정, 내부 샌드박스용 개발 환경 구축</t>
    <phoneticPr fontId="2" type="noConversion"/>
  </si>
  <si>
    <t>aws-lgsl-qa@5minlab.com(713407752956)</t>
    <phoneticPr fontId="2" type="noConversion"/>
  </si>
  <si>
    <t>5Minlab</t>
    <phoneticPr fontId="2" type="noConversion"/>
  </si>
  <si>
    <t>5ml Tech Dept</t>
    <phoneticPr fontId="2" type="noConversion"/>
  </si>
  <si>
    <t>유지현</t>
  </si>
  <si>
    <t>developers@5minlab.com(798290317353)</t>
    <phoneticPr fontId="2" type="noConversion"/>
  </si>
  <si>
    <t>유지현</t>
    <phoneticPr fontId="2" type="noConversion"/>
  </si>
  <si>
    <t>AWS_Dreamotion-Empire@krafton.com(828925677153)</t>
    <phoneticPr fontId="2" type="noConversion"/>
  </si>
  <si>
    <t>Road to Valor: Empire</t>
    <phoneticPr fontId="2" type="noConversion"/>
  </si>
  <si>
    <t>Bhaws_pnixgames@bluehole.net(864894785763)</t>
    <phoneticPr fontId="2" type="noConversion"/>
  </si>
  <si>
    <t>aws-lg-sl@5minlab.com(919383859411)</t>
    <phoneticPr fontId="2" type="noConversion"/>
  </si>
  <si>
    <t>lg-sl</t>
    <phoneticPr fontId="2" type="noConversion"/>
  </si>
  <si>
    <t>aws-uropa-anticheat-service@pubg.com(954976311480)</t>
    <phoneticPr fontId="2" type="noConversion"/>
  </si>
  <si>
    <t>UROPA_mobile</t>
    <phoneticPr fontId="2" type="noConversion"/>
  </si>
  <si>
    <t>Project Uropa의 안티치트 서비스용 aws 계정 생성</t>
    <phoneticPr fontId="2" type="noConversion"/>
  </si>
  <si>
    <t>aws@thingsflow.com(982154780443)</t>
    <phoneticPr fontId="2" type="noConversion"/>
  </si>
  <si>
    <t>aws-krafton-security-poc@krafton.com(767828732442)</t>
    <phoneticPr fontId="2" type="noConversion"/>
  </si>
  <si>
    <t>Security Dept.</t>
    <phoneticPr fontId="2" type="noConversion"/>
  </si>
  <si>
    <t>OVERHEAD/OTHERS</t>
    <phoneticPr fontId="2" type="noConversion"/>
  </si>
  <si>
    <t>Deleted(25.3)</t>
    <phoneticPr fontId="2" type="noConversion"/>
  </si>
  <si>
    <t>https://ask.krafton.com/browse/ASKIT-25784</t>
    <phoneticPr fontId="2" type="noConversion"/>
  </si>
  <si>
    <t>변현지</t>
    <phoneticPr fontId="2" type="noConversion"/>
  </si>
  <si>
    <t>aws-ded-sandbox@krafton.com(061051231343)</t>
    <phoneticPr fontId="2" type="noConversion"/>
  </si>
  <si>
    <t>실 내 개발</t>
  </si>
  <si>
    <t>aws-tango-web@krafton.com(987475141870)</t>
    <phoneticPr fontId="2" type="noConversion"/>
  </si>
  <si>
    <t>tango web site 운영을 위해 필요한 AWS Cloud 계정</t>
    <phoneticPr fontId="2" type="noConversion"/>
  </si>
  <si>
    <t>aws-sn2-qa@krafton.com(230030983947)</t>
    <phoneticPr fontId="2" type="noConversion"/>
  </si>
  <si>
    <t>https://ask.krafton.com/browse/ASKIT-26807
26' 2월 서브노티카 Cert 환경 심사 진행중(사용중)</t>
  </si>
  <si>
    <t>이민기</t>
  </si>
  <si>
    <t>https://ask.krafton.com/browse/ASKIT-27282, palm project의 staging 계정</t>
    <phoneticPr fontId="2" type="noConversion"/>
  </si>
  <si>
    <t>aws-kos-qa@krafton.com(436400223144)</t>
    <phoneticPr fontId="2" type="noConversion"/>
  </si>
  <si>
    <t>https://ask.krafton.com/browse/ASKIT-27121, KOS실에서 사용</t>
    <phoneticPr fontId="2" type="noConversion"/>
  </si>
  <si>
    <t>aws-pubg-uropa-stg-01@pubg.com(473833401781)</t>
    <phoneticPr fontId="2" type="noConversion"/>
  </si>
  <si>
    <t>https://ask.krafton.com/browse/ASKIT-27280, uropa project의 staging 계정</t>
    <phoneticPr fontId="2" type="noConversion"/>
  </si>
  <si>
    <t>aws-inzoi-perf@krafton.com(480311998431)</t>
    <phoneticPr fontId="2" type="noConversion"/>
  </si>
  <si>
    <t>Service Devops Team</t>
    <phoneticPr fontId="2" type="noConversion"/>
  </si>
  <si>
    <t>inZOI</t>
    <phoneticPr fontId="2" type="noConversion"/>
  </si>
  <si>
    <t>https://ask.krafton.com/browse/ASKIT-27331, 인조이 프로젝트용 스트레스 테스트, 인프라 공통</t>
    <phoneticPr fontId="2" type="noConversion"/>
  </si>
  <si>
    <t>aws-inzoi-common@krafton.com(599079318802)</t>
    <phoneticPr fontId="2" type="noConversion"/>
  </si>
  <si>
    <t>양장수</t>
    <phoneticPr fontId="2" type="noConversion"/>
  </si>
  <si>
    <t>aws-pubg-arc-stg-01@pubg.com(629649838776)</t>
    <phoneticPr fontId="2" type="noConversion"/>
  </si>
  <si>
    <t>https://ask.krafton.com/browse/ASKIT-27279, arc project의 staging 계정</t>
    <phoneticPr fontId="2" type="noConversion"/>
  </si>
  <si>
    <t>aws-pubg-c3-stg-01@pubg.com(631069189736)</t>
    <phoneticPr fontId="2" type="noConversion"/>
  </si>
  <si>
    <t>https://ask.krafton.com/browse/ASKIT-27281, Project C3의 staging 계정</t>
    <phoneticPr fontId="2" type="noConversion"/>
  </si>
  <si>
    <t>aws-zeta-qa@krafton.com(633350148323)</t>
    <phoneticPr fontId="2" type="noConversion"/>
  </si>
  <si>
    <t>Project Zeta</t>
    <phoneticPr fontId="2" type="noConversion"/>
  </si>
  <si>
    <t>안연주</t>
    <phoneticPr fontId="2" type="noConversion"/>
  </si>
  <si>
    <t xml:space="preserve">https://ask.krafton.com/browse/ASKIT-27300, Zeta 서비스를 위한 qa환경 계정 </t>
    <phoneticPr fontId="2" type="noConversion"/>
  </si>
  <si>
    <t>aws-krafton-thinkingdata@krafton.com(830389646082)</t>
    <phoneticPr fontId="2" type="noConversion"/>
  </si>
  <si>
    <t>https://ask.krafton.com/browse/ASKIT-27491, ThinkingData PoC를 통한 도입 여부 결정 및 이후의 운영 계정, https://ask.krafton.com/browse/ASKIT-38506</t>
    <phoneticPr fontId="2" type="noConversion"/>
  </si>
  <si>
    <t>aws-pubg-majesta-stg-01@pubg.com(842517499550)</t>
    <phoneticPr fontId="2" type="noConversion"/>
  </si>
  <si>
    <t>https://ask.krafton.com/browse/ASKIT-27278, Mobile server unit의 staging 용도</t>
    <phoneticPr fontId="2" type="noConversion"/>
  </si>
  <si>
    <t>aws-pubg-arc-manager@pubg.com(914194815949)</t>
    <phoneticPr fontId="2" type="noConversion"/>
  </si>
  <si>
    <t>https://ask.krafton.com/browse/ASKIT-27630</t>
    <phoneticPr fontId="2" type="noConversion"/>
  </si>
  <si>
    <t>ttps://ask.krafton.com/browse/ASKIT-27630</t>
  </si>
  <si>
    <t>aws-pubg-palm-manager@pubg.com(568619625254)</t>
    <phoneticPr fontId="2" type="noConversion"/>
  </si>
  <si>
    <t>aws-pubg-c3-manager@pubg.com(334143579308)</t>
    <phoneticPr fontId="2" type="noConversion"/>
  </si>
  <si>
    <t>강준수</t>
    <phoneticPr fontId="2" type="noConversion"/>
  </si>
  <si>
    <t>aws-esports-project@krafton.com(731386536200)</t>
    <phoneticPr fontId="2" type="noConversion"/>
  </si>
  <si>
    <t>정경훈</t>
  </si>
  <si>
    <t>aws-inzoi-ps@krafton.com(875212670009)</t>
    <phoneticPr fontId="2" type="noConversion"/>
  </si>
  <si>
    <t>https://ask.krafton.com/browse/ASKIT-27678</t>
  </si>
  <si>
    <t>bluehole_payer@gscdn.com(242807594737)</t>
    <phoneticPr fontId="2" type="noConversion"/>
  </si>
  <si>
    <t>Security와 systeam에서 전체 계정에 대한 관리 목적</t>
  </si>
  <si>
    <t>aws-ps-project@krafton.com(072152843459)</t>
    <phoneticPr fontId="2" type="noConversion"/>
  </si>
  <si>
    <t>최병욱</t>
    <phoneticPr fontId="2" type="noConversion"/>
  </si>
  <si>
    <t>https://ask.krafton.com/browse/ASKIT-29259/L10N 팀과의 ‘CS 번역 대응 툴 (참조)’ 개발과 더불어, ‘데이터 축적 및 관리’ 목적</t>
    <phoneticPr fontId="2" type="noConversion"/>
  </si>
  <si>
    <t>aws-pubg-palm-dev-01@pubg.com(214198970949)</t>
    <phoneticPr fontId="2" type="noConversion"/>
  </si>
  <si>
    <t>https://ask.krafton.com/browse/ASKIT-29220/dev-01 용도의 계정 신청</t>
    <phoneticPr fontId="2" type="noConversion"/>
  </si>
  <si>
    <t>ted-aws@unknownworlds.com(221334622883)</t>
    <phoneticPr fontId="2" type="noConversion"/>
  </si>
  <si>
    <t>Jack Smith</t>
    <phoneticPr fontId="2" type="noConversion"/>
  </si>
  <si>
    <t>aws-physical-ai-project@krafton.com(636812143498)</t>
    <phoneticPr fontId="2" type="noConversion"/>
  </si>
  <si>
    <t>AI Research Center</t>
  </si>
  <si>
    <t>이영도</t>
    <phoneticPr fontId="2" type="noConversion"/>
  </si>
  <si>
    <t>https://ask.krafton.com/browse/ASKIT-29100</t>
    <phoneticPr fontId="2" type="noConversion"/>
  </si>
  <si>
    <t>aws-pubg-c3-dev-01@pubg.com(747273371327)</t>
    <phoneticPr fontId="2" type="noConversion"/>
  </si>
  <si>
    <t>aws-sed-ptpm@krafton.com(792479605411)</t>
    <phoneticPr fontId="2" type="noConversion"/>
  </si>
  <si>
    <t>https://ask.krafton.com/browse/ASKIT-29274 프로젝트 테스트용도로 사용할 AWS 계정</t>
    <phoneticPr fontId="2" type="noConversion"/>
  </si>
  <si>
    <t>aws-sn2-prod@krafton.com(811725779888)</t>
    <phoneticPr fontId="2" type="noConversion"/>
  </si>
  <si>
    <t>https://ask.krafton.com/browse/ASKIT-28412 prod (live) 환경 세팅을 위한 aws 계정</t>
    <phoneticPr fontId="2" type="noConversion"/>
  </si>
  <si>
    <t>aws-pubg-uropa-dev-01@pubg.com(854575156645)</t>
    <phoneticPr fontId="2" type="noConversion"/>
  </si>
  <si>
    <t>최보성</t>
  </si>
  <si>
    <t>aws-pubg-arc-dev-01@pubg.com(915848750654)</t>
    <phoneticPr fontId="2" type="noConversion"/>
  </si>
  <si>
    <t>sm_it_accounts@pubg.com(314135859452)</t>
    <phoneticPr fontId="2" type="noConversion"/>
  </si>
  <si>
    <t>Americas IT Team</t>
    <phoneticPr fontId="2" type="noConversion"/>
  </si>
  <si>
    <t>David Huh</t>
    <phoneticPr fontId="2" type="noConversion"/>
  </si>
  <si>
    <t>2025-07 migration 진행</t>
  </si>
  <si>
    <t>aws-krafton-security-analytics@krafton.com(391183348418)</t>
  </si>
  <si>
    <t>최정헌</t>
  </si>
  <si>
    <t>https://ask.krafton.com/browse/ASKIT-30362 AWS 상에서 자동화 테스트</t>
  </si>
  <si>
    <t>aws-rw-projectA@risingwings.com(905020613622)</t>
  </si>
  <si>
    <t>TechSupport</t>
  </si>
  <si>
    <t>https://ask.krafton.com/browse/ASKIT-30459</t>
  </si>
  <si>
    <t>aws-omni-gw-project@krafton.com(023182678822)</t>
  </si>
  <si>
    <t>OCL GW Server Team</t>
    <phoneticPr fontId="2" type="noConversion"/>
  </si>
  <si>
    <t>강동혁</t>
  </si>
  <si>
    <t>강동혁</t>
    <phoneticPr fontId="2" type="noConversion"/>
  </si>
  <si>
    <t>https://ask.krafton.com/browse/ASKIT-30438</t>
  </si>
  <si>
    <t>aws-deeplearning-gpu@krafton.com(</t>
  </si>
  <si>
    <t>ML Sys &amp; Ops Team</t>
    <phoneticPr fontId="2" type="noConversion"/>
  </si>
  <si>
    <t>https://ask.krafton.com/browse/ASKIT-30727</t>
  </si>
  <si>
    <t>Bluehole shared_finance</t>
    <phoneticPr fontId="2" type="noConversion"/>
  </si>
  <si>
    <t>김승훈</t>
    <phoneticPr fontId="2" type="noConversion"/>
  </si>
  <si>
    <t>https://ask.krafton.com/browse/ASKIT-30118</t>
    <phoneticPr fontId="2" type="noConversion"/>
  </si>
  <si>
    <t>AI Agent Research Team</t>
    <phoneticPr fontId="2" type="noConversion"/>
  </si>
  <si>
    <t>권승진</t>
    <phoneticPr fontId="2" type="noConversion"/>
  </si>
  <si>
    <t>https://ask.krafton.com/browse/ASKIT-29870</t>
    <phoneticPr fontId="2" type="noConversion"/>
  </si>
  <si>
    <t>https://ask.krafton.com/browse/ASKIT-29920</t>
    <phoneticPr fontId="2" type="noConversion"/>
  </si>
  <si>
    <t>김주한</t>
    <phoneticPr fontId="2" type="noConversion"/>
  </si>
  <si>
    <t>https://ask.krafton.com/browse/ASKIT-29721</t>
    <phoneticPr fontId="2" type="noConversion"/>
  </si>
  <si>
    <t>Game Security Engineering Dept.</t>
    <phoneticPr fontId="2" type="noConversion"/>
  </si>
  <si>
    <t>https://ask.krafton.com/browse/ASKIT-29624</t>
    <phoneticPr fontId="2" type="noConversion"/>
  </si>
  <si>
    <t>https://ask.krafton.com/browse/ASKIT-29649</t>
    <phoneticPr fontId="2" type="noConversion"/>
  </si>
  <si>
    <t>심재한</t>
    <phoneticPr fontId="2" type="noConversion"/>
  </si>
  <si>
    <t>https://ask.krafton.com/browse/ASKIT-30016</t>
    <phoneticPr fontId="2" type="noConversion"/>
  </si>
  <si>
    <t>aws-msn-valor-prod@pubg.com(061309713406)</t>
  </si>
  <si>
    <t>Valor Core Tech Team</t>
    <phoneticPr fontId="2" type="noConversion"/>
  </si>
  <si>
    <t>송영재</t>
    <phoneticPr fontId="2" type="noConversion"/>
  </si>
  <si>
    <t xml:space="preserve">https://ask.krafton.com/browse/ASKIT-30825	</t>
    <phoneticPr fontId="2" type="noConversion"/>
  </si>
  <si>
    <t>AI Foundation Model TF Team</t>
    <phoneticPr fontId="2" type="noConversion"/>
  </si>
  <si>
    <t>AI Foundation TF</t>
    <phoneticPr fontId="2" type="noConversion"/>
  </si>
  <si>
    <t>이동기</t>
    <phoneticPr fontId="2" type="noConversion"/>
  </si>
  <si>
    <t>김지윤</t>
    <phoneticPr fontId="2" type="noConversion"/>
  </si>
  <si>
    <t xml:space="preserve">https://ask.krafton.com/browse/ASKIT-30727	</t>
    <phoneticPr fontId="2" type="noConversion"/>
  </si>
  <si>
    <t>inZOI Studio</t>
    <phoneticPr fontId="2" type="noConversion"/>
  </si>
  <si>
    <t>https://ask.krafton.com/browse/ASKIT-30829</t>
    <phoneticPr fontId="2" type="noConversion"/>
  </si>
  <si>
    <t>홍석범</t>
    <phoneticPr fontId="2" type="noConversion"/>
  </si>
  <si>
    <t>https://ask.krafton.com/browse/ASKIT-30808</t>
    <phoneticPr fontId="2" type="noConversion"/>
  </si>
  <si>
    <t xml:space="preserve">https://ask.krafton.com/browse/ASKIT-30759	</t>
    <phoneticPr fontId="2" type="noConversion"/>
  </si>
  <si>
    <t>aws-zoiworld-qa@krafton.com(150239773202)</t>
  </si>
  <si>
    <t>https://ask.krafton.com/browse/ASKIT-33132</t>
  </si>
  <si>
    <t>aws-krafton-website@krafton.com(266265462265)</t>
  </si>
  <si>
    <t>System Team</t>
    <phoneticPr fontId="2" type="noConversion"/>
  </si>
  <si>
    <t>https://ask.krafton.com/browse/ASKIT-31526</t>
  </si>
  <si>
    <t>aws-t2-dev@bluehole.net(349070093074)</t>
  </si>
  <si>
    <t>B_TERA2 R&amp;D Team</t>
    <phoneticPr fontId="2" type="noConversion"/>
  </si>
  <si>
    <t>Tera2</t>
    <phoneticPr fontId="2" type="noConversion"/>
  </si>
  <si>
    <t>한승환</t>
    <phoneticPr fontId="2" type="noConversion"/>
  </si>
  <si>
    <t>https://ask.krafton.com/browse/ASKIT-32272</t>
    <phoneticPr fontId="2" type="noConversion"/>
  </si>
  <si>
    <t>AI Transformation Team</t>
    <phoneticPr fontId="2" type="noConversion"/>
  </si>
  <si>
    <t>이재준</t>
    <phoneticPr fontId="2" type="noConversion"/>
  </si>
  <si>
    <t xml:space="preserve">https://ask.krafton.com/browse/ASKIT-33054	</t>
    <phoneticPr fontId="2" type="noConversion"/>
  </si>
  <si>
    <t>박종률</t>
    <phoneticPr fontId="2" type="noConversion"/>
  </si>
  <si>
    <t>https://ask.krafton.com/browse/ASKIT-31438</t>
    <phoneticPr fontId="2" type="noConversion"/>
  </si>
  <si>
    <t>was-security-policy-dac-prod@krafton.com(554000693744)</t>
  </si>
  <si>
    <t xml:space="preserve">https://ask.krafton.com/browse/ASKIT-30808	</t>
    <phoneticPr fontId="2" type="noConversion"/>
  </si>
  <si>
    <t>aws-gpu-sp@krafton.com(690488447034)</t>
  </si>
  <si>
    <t>황시연</t>
    <phoneticPr fontId="2" type="noConversion"/>
  </si>
  <si>
    <t xml:space="preserve">https://ask.krafton.com/projects/ASKIT/queues/issue/ASKIT-33045	</t>
    <phoneticPr fontId="2" type="noConversion"/>
  </si>
  <si>
    <t>김재욱</t>
    <phoneticPr fontId="2" type="noConversion"/>
  </si>
  <si>
    <t xml:space="preserve">https://ask.krafton.com/browse/ASKIT-31714	</t>
    <phoneticPr fontId="2" type="noConversion"/>
  </si>
  <si>
    <t>aws-ait-project@krafton.com(860256742851)</t>
  </si>
  <si>
    <t xml:space="preserve">https://ask.krafton.com/browse/ASKIT-32769	</t>
    <phoneticPr fontId="2" type="noConversion"/>
  </si>
  <si>
    <t>aws_neptunez_016@neptunecompany.kr(904331955654)</t>
  </si>
  <si>
    <t>조남원</t>
    <phoneticPr fontId="2" type="noConversion"/>
  </si>
  <si>
    <t>https://ask.krafton.com/browse/ASKIT-37060</t>
    <phoneticPr fontId="2" type="noConversion"/>
  </si>
  <si>
    <t>https://ask.krafton.com/browse/ASKIT-36279</t>
  </si>
  <si>
    <t>Publishing QA Team 1</t>
    <phoneticPr fontId="2" type="noConversion"/>
  </si>
  <si>
    <t>Jonas Jawad</t>
    <phoneticPr fontId="2" type="noConversion"/>
  </si>
  <si>
    <t>https://ask.krafton.com/browse/ASKIT-35368</t>
    <phoneticPr fontId="2" type="noConversion"/>
  </si>
  <si>
    <t>Camp Dept.</t>
    <phoneticPr fontId="2" type="noConversion"/>
  </si>
  <si>
    <t>이태형</t>
    <phoneticPr fontId="2" type="noConversion"/>
  </si>
  <si>
    <t>https://ask.krafton.com/browse/ASKIT-36991</t>
    <phoneticPr fontId="2" type="noConversion"/>
  </si>
  <si>
    <t>이호원</t>
    <phoneticPr fontId="2" type="noConversion"/>
  </si>
  <si>
    <t>https://ask.krafton.com/browse/ASKIT-33284</t>
    <phoneticPr fontId="2" type="noConversion"/>
  </si>
  <si>
    <t>김수진</t>
    <phoneticPr fontId="2" type="noConversion"/>
  </si>
  <si>
    <t>https://ask.krafton.com/browse/ASKIT-33236</t>
    <phoneticPr fontId="2" type="noConversion"/>
  </si>
  <si>
    <t>유해찬</t>
    <phoneticPr fontId="2" type="noConversion"/>
  </si>
  <si>
    <t>https://ask.krafton.com/browse/ASKIT-36383</t>
    <phoneticPr fontId="2" type="noConversion"/>
  </si>
  <si>
    <t>ws-rw-projectAegis@risingwings.com(035462351032)</t>
    <phoneticPr fontId="2" type="noConversion"/>
  </si>
  <si>
    <t>TechSupport</t>
    <phoneticPr fontId="2" type="noConversion"/>
  </si>
  <si>
    <t>https://ask.krafton.com/browse/ASKIT-33484</t>
    <phoneticPr fontId="2" type="noConversion"/>
  </si>
  <si>
    <t>OliveTree Games</t>
    <phoneticPr fontId="2" type="noConversion"/>
  </si>
  <si>
    <t>Olive Game Development Team</t>
  </si>
  <si>
    <t>이지운</t>
    <phoneticPr fontId="2" type="noConversion"/>
  </si>
  <si>
    <t>https://ask.krafton.com/browse/ASKIT-36208</t>
    <phoneticPr fontId="2" type="noConversion"/>
  </si>
  <si>
    <t>KRAFTON India</t>
    <phoneticPr fontId="2" type="noConversion"/>
  </si>
  <si>
    <t>India Div.</t>
    <phoneticPr fontId="2" type="noConversion"/>
  </si>
  <si>
    <t>Huzaifa Arab</t>
    <phoneticPr fontId="2" type="noConversion"/>
  </si>
  <si>
    <t>Veligatla Vamsi Krishna</t>
    <phoneticPr fontId="2" type="noConversion"/>
  </si>
  <si>
    <t>https://ask.krafton.com/browse/ASKIT-34079</t>
    <phoneticPr fontId="2" type="noConversion"/>
  </si>
  <si>
    <t>https://ask.krafton.com/browse/ASKIT-38594</t>
    <phoneticPr fontId="2" type="noConversion"/>
  </si>
  <si>
    <t>aws_it-dev-ot-04(krafton.com(252497419944)</t>
    <phoneticPr fontId="2" type="noConversion"/>
  </si>
  <si>
    <t>https://ask.krafton.com/browse/ASKIT-38526</t>
  </si>
  <si>
    <t>aws-pstd-cloude@pubg.com(700388609892)</t>
    <phoneticPr fontId="2" type="noConversion"/>
  </si>
  <si>
    <t>Translation Team 2</t>
    <phoneticPr fontId="2" type="noConversion"/>
  </si>
  <si>
    <t>이경호</t>
    <phoneticPr fontId="2" type="noConversion"/>
  </si>
  <si>
    <t>https://ask.krafton.com/browse/ASKIT-39129</t>
    <phoneticPr fontId="2" type="noConversion"/>
  </si>
  <si>
    <t>https://ask.krafton.com/browse/ASKIT-38594</t>
  </si>
  <si>
    <t>https://ask.krafton.com/browse/ASKIT-40162</t>
    <phoneticPr fontId="2" type="noConversion"/>
  </si>
  <si>
    <t>aws-ignt-sports-fantasy@krafton.com(496851883612)</t>
    <phoneticPr fontId="2" type="noConversion"/>
  </si>
  <si>
    <t>IN New Games Publishing Team 3</t>
    <phoneticPr fontId="2" type="noConversion"/>
  </si>
  <si>
    <t>Project IGNT</t>
    <phoneticPr fontId="2" type="noConversion"/>
  </si>
  <si>
    <t>Sudhamshu Mitra</t>
    <phoneticPr fontId="2" type="noConversion"/>
  </si>
  <si>
    <t>https://ask.krafton.com/browse/ASKIT-39204</t>
    <phoneticPr fontId="2" type="noConversion"/>
  </si>
  <si>
    <t>양준식</t>
    <phoneticPr fontId="2" type="noConversion"/>
  </si>
  <si>
    <t>https://ask.krafton.com/browse/ASKIT-39313</t>
  </si>
  <si>
    <t>aws-jofsoft-nomad@krafton.com(523083722520)</t>
    <phoneticPr fontId="2" type="noConversion"/>
  </si>
  <si>
    <t>JofSoft</t>
    <phoneticPr fontId="2" type="noConversion"/>
  </si>
  <si>
    <t>JOF Development Team</t>
    <phoneticPr fontId="2" type="noConversion"/>
  </si>
  <si>
    <t>이정현</t>
    <phoneticPr fontId="2" type="noConversion"/>
  </si>
  <si>
    <t>https://ask.krafton.com/browse/ASKIT-39578</t>
    <phoneticPr fontId="2" type="noConversion"/>
  </si>
  <si>
    <t>aws-pstd-cloud@pubg.com(700388609892)</t>
    <phoneticPr fontId="2" type="noConversion"/>
  </si>
  <si>
    <t>aws-kdc-hackathon-project@krafton.com(720500601754)</t>
    <phoneticPr fontId="2" type="noConversion"/>
  </si>
  <si>
    <t>KDC Team</t>
    <phoneticPr fontId="2" type="noConversion"/>
  </si>
  <si>
    <t>황영욱</t>
    <phoneticPr fontId="2" type="noConversion"/>
  </si>
  <si>
    <t>https://ask.krafton.com/browse/ASKIT-39343</t>
    <phoneticPr fontId="2" type="noConversion"/>
  </si>
  <si>
    <t>aws005@adpies.com(959790660922)</t>
    <phoneticPr fontId="2" type="noConversion"/>
  </si>
  <si>
    <t>https://ask.krafton.com/browse/ASKIT-40899</t>
    <phoneticPr fontId="2" type="noConversion"/>
  </si>
  <si>
    <t>Prashant Pandey</t>
    <phoneticPr fontId="2" type="noConversion"/>
  </si>
  <si>
    <t>https://ask.krafton.com/browse/ASKIT-41346</t>
    <phoneticPr fontId="2" type="noConversion"/>
  </si>
  <si>
    <t>Arc_PC</t>
    <phoneticPr fontId="2" type="noConversion"/>
  </si>
  <si>
    <t>https://ask.krafton.com/browse/ASKIT-40464</t>
    <phoneticPr fontId="2" type="noConversion"/>
  </si>
  <si>
    <t>Nautilus</t>
    <phoneticPr fontId="2" type="noConversion"/>
  </si>
  <si>
    <t>IN Platform Business Team</t>
    <phoneticPr fontId="2" type="noConversion"/>
  </si>
  <si>
    <t>Amit Hardi</t>
    <phoneticPr fontId="2" type="noConversion"/>
  </si>
  <si>
    <t>https://ask.krafton.com/browse/ASKIT-41662</t>
    <phoneticPr fontId="2" type="noConversion"/>
  </si>
  <si>
    <t>https://ask.krafton.com/projects/ASKIT/queues/issue/ASKIT-41647</t>
    <phoneticPr fontId="2" type="noConversion"/>
  </si>
  <si>
    <t>Asset Library Part</t>
    <phoneticPr fontId="2" type="noConversion"/>
  </si>
  <si>
    <t>박수진</t>
    <phoneticPr fontId="2" type="noConversion"/>
  </si>
  <si>
    <t>https://ask.krafton.com/browse/ASKIT-41569</t>
    <phoneticPr fontId="2" type="noConversion"/>
  </si>
  <si>
    <t>NineB</t>
    <phoneticPr fontId="2" type="noConversion"/>
  </si>
  <si>
    <t>ORN Game Design &amp; Production Team</t>
    <phoneticPr fontId="2" type="noConversion"/>
  </si>
  <si>
    <t>Project Orion</t>
    <phoneticPr fontId="2" type="noConversion"/>
  </si>
  <si>
    <t>김영제</t>
    <phoneticPr fontId="2" type="noConversion"/>
  </si>
  <si>
    <t>https://ask.krafton.com/browse/ASKIT-41520</t>
    <phoneticPr fontId="2" type="noConversion"/>
  </si>
  <si>
    <t>박상윤</t>
    <phoneticPr fontId="2" type="noConversion"/>
  </si>
  <si>
    <t>https://ask.krafton.com/browse/ASKIT-41058</t>
    <phoneticPr fontId="2" type="noConversion"/>
  </si>
  <si>
    <t>aws-ppd-ai@krafton.com(831635639393)</t>
    <phoneticPr fontId="2" type="noConversion"/>
  </si>
  <si>
    <t>Publishing Platform Div.</t>
    <phoneticPr fontId="2" type="noConversion"/>
  </si>
  <si>
    <t>GPP</t>
    <phoneticPr fontId="2" type="noConversion"/>
  </si>
  <si>
    <t>https://ask.krafton.com/browse/ASKIT-41996</t>
    <phoneticPr fontId="2" type="noConversion"/>
  </si>
  <si>
    <t>이채영</t>
    <phoneticPr fontId="2" type="noConversion"/>
  </si>
  <si>
    <t>https://ask.krafton.com/browse/ASKIT-41663</t>
    <phoneticPr fontId="2" type="noConversion"/>
  </si>
  <si>
    <t>aws-kss-hq-anticheat-service@krafton.com(901635709370)</t>
    <phoneticPr fontId="2" type="noConversion"/>
  </si>
  <si>
    <t>KSS</t>
    <phoneticPr fontId="2" type="noConversion"/>
  </si>
  <si>
    <t>https://ask.krafton.com/browse/ASKIT-42677</t>
    <phoneticPr fontId="2" type="noConversion"/>
  </si>
  <si>
    <t>Ludo</t>
    <phoneticPr fontId="2" type="noConversion"/>
  </si>
  <si>
    <t>Ludo Research &amp; Development Div.</t>
    <phoneticPr fontId="2" type="noConversion"/>
  </si>
  <si>
    <t>정우성</t>
    <phoneticPr fontId="2" type="noConversion"/>
  </si>
  <si>
    <t>https://ask.krafton.com/browse/ASKIT-43363</t>
    <phoneticPr fontId="2" type="noConversion"/>
  </si>
  <si>
    <t>IN Performance Marketing Team</t>
    <phoneticPr fontId="2" type="noConversion"/>
  </si>
  <si>
    <t>김상범</t>
    <phoneticPr fontId="2" type="noConversion"/>
  </si>
  <si>
    <t>https://ask.krafton.com/browse/ASKIT-43500</t>
    <phoneticPr fontId="2" type="noConversion"/>
  </si>
  <si>
    <t>Olive Game Development Team</t>
    <phoneticPr fontId="2" type="noConversion"/>
  </si>
  <si>
    <t>https://ask.krafton.com/browse/ASKIT-43755</t>
    <phoneticPr fontId="2" type="noConversion"/>
  </si>
  <si>
    <t>Neptune</t>
    <phoneticPr fontId="2" type="noConversion"/>
  </si>
  <si>
    <t>Publishing Platform PM Dept.</t>
    <phoneticPr fontId="2" type="noConversion"/>
  </si>
  <si>
    <t>서강석</t>
    <phoneticPr fontId="2" type="noConversion"/>
  </si>
  <si>
    <t>https://ask.krafton.com/browse/ASKIT-42216</t>
    <phoneticPr fontId="2" type="noConversion"/>
  </si>
  <si>
    <t>aws-hr-ops-automation@krafton.com(002889193681)</t>
    <phoneticPr fontId="2" type="noConversion"/>
  </si>
  <si>
    <t>HR Operations Team</t>
    <phoneticPr fontId="2" type="noConversion"/>
  </si>
  <si>
    <t>조재현</t>
    <phoneticPr fontId="2" type="noConversion"/>
  </si>
  <si>
    <t>https://ask.krafton.com/browse/ASKIT-45532</t>
    <phoneticPr fontId="2" type="noConversion"/>
  </si>
  <si>
    <t>aws-msn-valor-cert@pubg.com(059855171766)</t>
    <phoneticPr fontId="2" type="noConversion"/>
  </si>
  <si>
    <t>Valor DevOps Part</t>
    <phoneticPr fontId="2" type="noConversion"/>
  </si>
  <si>
    <t>https://ask.krafton.com/browse/ASKIT-43929</t>
    <phoneticPr fontId="2" type="noConversion"/>
  </si>
  <si>
    <t>aws-msn-valor-staging@pubg.com(117891393965)</t>
    <phoneticPr fontId="2" type="noConversion"/>
  </si>
  <si>
    <t>Aws-9b-common-web@krafton.com(200283415652)</t>
    <phoneticPr fontId="2" type="noConversion"/>
  </si>
  <si>
    <t>NineB Div.</t>
    <phoneticPr fontId="2" type="noConversion"/>
  </si>
  <si>
    <t>김성훈</t>
    <phoneticPr fontId="2" type="noConversion"/>
  </si>
  <si>
    <t>https://ask.krafton.com/browse/ASKIT-44689</t>
    <phoneticPr fontId="2" type="noConversion"/>
  </si>
  <si>
    <t>aws-ignt@krafton.com(339918905706)</t>
    <phoneticPr fontId="2" type="noConversion"/>
  </si>
  <si>
    <t>https://ask.krafton.com/browse/ASKIT-44259</t>
    <phoneticPr fontId="2" type="noConversion"/>
  </si>
  <si>
    <t>aws-bcd-gdd-reader@krafton.com(372468809148)</t>
    <phoneticPr fontId="2" type="noConversion"/>
  </si>
  <si>
    <t>Video Creative Part</t>
    <phoneticPr fontId="2" type="noConversion"/>
  </si>
  <si>
    <t>전지민</t>
    <phoneticPr fontId="2" type="noConversion"/>
  </si>
  <si>
    <t>https://ask.krafton.com/browse/ASKIT-44804</t>
    <phoneticPr fontId="2" type="noConversion"/>
  </si>
  <si>
    <t>aws-gpd1cmt-project@krafton.com(427780306826)</t>
    <phoneticPr fontId="2" type="noConversion"/>
  </si>
  <si>
    <t>GPD1 Community Management Team</t>
    <phoneticPr fontId="2" type="noConversion"/>
  </si>
  <si>
    <t>안예슬</t>
    <phoneticPr fontId="2" type="noConversion"/>
  </si>
  <si>
    <t>https://ask.krafton.com/browse/ASKIT-44133</t>
    <phoneticPr fontId="2" type="noConversion"/>
  </si>
  <si>
    <t>aws_neptunez_019@neptunecompany.kr(608420805733)</t>
    <phoneticPr fontId="2" type="noConversion"/>
  </si>
  <si>
    <t>aws-blueprint-project@krafton.com(706877673977)</t>
    <phoneticPr fontId="2" type="noConversion"/>
  </si>
  <si>
    <t>KRAFTON America</t>
    <phoneticPr fontId="2" type="noConversion"/>
  </si>
  <si>
    <t>Creative Americas Production Team</t>
    <phoneticPr fontId="2" type="noConversion"/>
  </si>
  <si>
    <t>Andy Fernandez</t>
    <phoneticPr fontId="2" type="noConversion"/>
  </si>
  <si>
    <t>https://ask.krafton.com/browse/ASKIT-43955</t>
    <phoneticPr fontId="2" type="noConversion"/>
  </si>
  <si>
    <t>aws-pubgsno-hr@krafton.com(756041605037)</t>
    <phoneticPr fontId="2" type="noConversion"/>
  </si>
  <si>
    <t>PUBG Strategy &amp; Operations Team</t>
    <phoneticPr fontId="2" type="noConversion"/>
  </si>
  <si>
    <t>김세은</t>
    <phoneticPr fontId="2" type="noConversion"/>
  </si>
  <si>
    <t>https://ask.krafton.com/browse/ASKIT-44261</t>
    <phoneticPr fontId="2" type="noConversion"/>
  </si>
  <si>
    <t>aws-hq-dashboard@krafton.com(774222655862)</t>
    <phoneticPr fontId="2" type="noConversion"/>
  </si>
  <si>
    <t>Live Ops Team</t>
    <phoneticPr fontId="2" type="noConversion"/>
  </si>
  <si>
    <t>구지현</t>
    <phoneticPr fontId="2" type="noConversion"/>
  </si>
  <si>
    <t>https://ask.krafton.com/browse/ASKIT-44089</t>
    <phoneticPr fontId="2" type="noConversion"/>
  </si>
  <si>
    <t>aws-cas-qa@krafton.com(864617344154)</t>
    <phoneticPr fontId="2" type="noConversion"/>
  </si>
  <si>
    <t>Service DevOps Team</t>
    <phoneticPr fontId="2" type="noConversion"/>
  </si>
  <si>
    <t>Cricket All Stars</t>
    <phoneticPr fontId="2" type="noConversion"/>
  </si>
  <si>
    <t>https://ask.krafton.com/browse/ASKIT-44608</t>
    <phoneticPr fontId="2" type="noConversion"/>
  </si>
  <si>
    <t>aws-msn-valor-test@pubg.com(947782089035)</t>
    <phoneticPr fontId="2" type="noConversion"/>
  </si>
  <si>
    <t>https://ask.krafton.com/browse/ASKIT-45100</t>
    <phoneticPr fontId="2" type="noConversion"/>
  </si>
  <si>
    <t>aws-sn2e-project@krafton.com(958175316161)</t>
    <phoneticPr fontId="2" type="noConversion"/>
  </si>
  <si>
    <t>SUBNAUTICA 2</t>
    <phoneticPr fontId="2" type="noConversion"/>
  </si>
  <si>
    <t>민경윤</t>
    <phoneticPr fontId="2" type="noConversion"/>
  </si>
  <si>
    <t>https://ask.krafton.com/browse/ASKIT-44490</t>
    <phoneticPr fontId="2" type="noConversion"/>
  </si>
  <si>
    <t>Please don't change this sheet and data. If necessary, contact Somi Choi, Chaewon Jung via Slack 1:1 DM.</t>
    <phoneticPr fontId="2" type="noConversion"/>
  </si>
  <si>
    <t>https://ask.krafton.com/browse/ASKIT-29090/https://jira.krafton.com/browse/ASKIT-24250</t>
    <phoneticPr fontId="2" type="noConversion"/>
  </si>
  <si>
    <t>Azure App Service SSL Certificates - Wildcard SSL - 1 Year</t>
  </si>
  <si>
    <t>Azure_beluga_dev</t>
  </si>
  <si>
    <t>Project Beluga Dept.</t>
  </si>
  <si>
    <t>Project Beluga</t>
  </si>
  <si>
    <t>BEAVER-DevTest</t>
  </si>
  <si>
    <t>Project Biringam</t>
  </si>
  <si>
    <t>김도현</t>
  </si>
  <si>
    <t>DB Monitoring 용도 (팀 내부 사용)</t>
  </si>
  <si>
    <t>https://ask.krafton.com/browse/ASKIT-37773</t>
  </si>
  <si>
    <t>Data-engineering</t>
  </si>
  <si>
    <t>이동준</t>
  </si>
  <si>
    <t>https://ask.krafton.com/browse/ASKIT-27818,25년 5월부터 장은진님으로 변경,24년 2월부터는 정승호님이 담당</t>
    <phoneticPr fontId="2" type="noConversion"/>
  </si>
  <si>
    <t>백용원</t>
    <phoneticPr fontId="2" type="noConversion"/>
  </si>
  <si>
    <t>ERP 운영 서버 그룹</t>
  </si>
  <si>
    <t>KRAFTON Github Cloud Copilot 라이선스 용도</t>
  </si>
  <si>
    <t>Grafana Cloud</t>
  </si>
  <si>
    <t>Engineering Div.</t>
  </si>
  <si>
    <t>HARTH-Azure-Enterprise</t>
  </si>
  <si>
    <t>전평준</t>
  </si>
  <si>
    <t>Overdare_VisualStudio</t>
  </si>
  <si>
    <t>OVDR People Team</t>
  </si>
  <si>
    <t>나윤호</t>
  </si>
  <si>
    <t>Project-H2</t>
  </si>
  <si>
    <t>H2 Team</t>
  </si>
  <si>
    <t>Special Project II</t>
  </si>
  <si>
    <t>정채원:Flyway Games?</t>
  </si>
  <si>
    <t>Project-TT</t>
  </si>
  <si>
    <t>PUBG Dev</t>
  </si>
  <si>
    <t>pubg_mobile_DB</t>
  </si>
  <si>
    <t>(김완건) 용도 모름.. 사용 안 함..</t>
  </si>
  <si>
    <t>Deleted(25.5)</t>
  </si>
  <si>
    <t>이기문</t>
  </si>
  <si>
    <t>sbx-central</t>
  </si>
  <si>
    <t>월 1~2$ 수준으로 무시해도 됨</t>
  </si>
  <si>
    <t>sbx-development</t>
  </si>
  <si>
    <t>sp2-O2-sunpak</t>
  </si>
  <si>
    <t>sp2-staff</t>
  </si>
  <si>
    <t>sp2z3</t>
  </si>
  <si>
    <t>Z3 Team</t>
  </si>
  <si>
    <t>SPECIAL PROJECT II</t>
  </si>
  <si>
    <t>10/11 JIRA통해 조재욱님 삭제요청</t>
    <phoneticPr fontId="2" type="noConversion"/>
  </si>
  <si>
    <t>Special-Project-II-Team-S1-Dev</t>
  </si>
  <si>
    <t>S1 Team</t>
  </si>
  <si>
    <t>StreamSets Data Collector</t>
  </si>
  <si>
    <t>TRPC-DevTest</t>
  </si>
  <si>
    <t>TERA_PC</t>
  </si>
  <si>
    <t>최진욱</t>
  </si>
  <si>
    <t>XTRM-Web</t>
    <phoneticPr fontId="2" type="noConversion"/>
  </si>
  <si>
    <t>https://jira.krafton.com/browse/ASKIT-18307</t>
  </si>
  <si>
    <t>https://ask.krafton.com/browse/ASKIT-27918, askit-18641.Azure Databricks 분석 환경용 구독</t>
    <phoneticPr fontId="2" type="noConversion"/>
  </si>
  <si>
    <t>전민욱</t>
  </si>
  <si>
    <t>https://ask.krafton.com/browse/ASKIT-28499</t>
    <phoneticPr fontId="2" type="noConversion"/>
  </si>
  <si>
    <t>문중현</t>
    <phoneticPr fontId="2" type="noConversion"/>
  </si>
  <si>
    <t>https://jira.krafton.com/browse/ASKIT-24250</t>
    <phoneticPr fontId="2" type="noConversion"/>
  </si>
  <si>
    <t>Data Engineering Dept.</t>
    <phoneticPr fontId="2" type="noConversion"/>
  </si>
  <si>
    <t>문중현</t>
  </si>
  <si>
    <t>엄희영</t>
  </si>
  <si>
    <t>계정생성자 배시은님 확인</t>
  </si>
  <si>
    <t>조원빈</t>
    <phoneticPr fontId="2" type="noConversion"/>
  </si>
  <si>
    <t>박경도님확인</t>
    <phoneticPr fontId="2" type="noConversion"/>
  </si>
  <si>
    <t>PUBG Valor Div.</t>
    <phoneticPr fontId="2" type="noConversion"/>
  </si>
  <si>
    <t>Valor_console</t>
    <phoneticPr fontId="2" type="noConversion"/>
  </si>
  <si>
    <t>송영재</t>
  </si>
  <si>
    <t>송영재님 확인(slack)</t>
    <phoneticPr fontId="2" type="noConversion"/>
  </si>
  <si>
    <t>KRAFTON EUROPE B.V.</t>
    <phoneticPr fontId="2" type="noConversion"/>
  </si>
  <si>
    <t>EME IT Admin Part</t>
    <phoneticPr fontId="2" type="noConversion"/>
  </si>
  <si>
    <t>Ben Moore</t>
  </si>
  <si>
    <t>Ben Moore</t>
    <phoneticPr fontId="2" type="noConversion"/>
  </si>
  <si>
    <t>ASKIT-19469 이윤슬님생성(visual studio)</t>
    <phoneticPr fontId="2" type="noConversion"/>
  </si>
  <si>
    <t>조국환</t>
  </si>
  <si>
    <t>KCN 프로젝트의 Azure AI 서비스 리서치용</t>
    <phoneticPr fontId="2" type="noConversion"/>
  </si>
  <si>
    <t>West Scale-up Dept.</t>
    <phoneticPr fontId="2" type="noConversion"/>
  </si>
  <si>
    <t>Love Hedman</t>
  </si>
  <si>
    <t>Love Hedman</t>
    <phoneticPr fontId="2" type="noConversion"/>
  </si>
  <si>
    <t>West Publishing AI Ops Team internal testing</t>
    <phoneticPr fontId="2" type="noConversion"/>
  </si>
  <si>
    <t>DL-Service-SafeCanvas-inZOI-Publishing2</t>
    <phoneticPr fontId="2" type="noConversion"/>
  </si>
  <si>
    <t>GPD1 Publishing Coordination Team</t>
    <phoneticPr fontId="2" type="noConversion"/>
  </si>
  <si>
    <t>임형진</t>
  </si>
  <si>
    <t>국용상</t>
  </si>
  <si>
    <t xml:space="preserve"> inzoi 에 들어갈 safe canvas (선정적정보 필터링) 기능을 위한 Azure OPENAI API  발급용</t>
  </si>
  <si>
    <t>Live Service Support Dept.</t>
    <phoneticPr fontId="2" type="noConversion"/>
  </si>
  <si>
    <t>오명석</t>
  </si>
  <si>
    <t>오명석</t>
    <phoneticPr fontId="2" type="noConversion"/>
  </si>
  <si>
    <t>Live Service Support Dept에서 사용하실 AI 채팅 검수 서비스 운영</t>
    <phoneticPr fontId="2" type="noConversion"/>
  </si>
  <si>
    <t>임형진</t>
    <phoneticPr fontId="2" type="noConversion"/>
  </si>
  <si>
    <t>텐센트 측의 BGMI 요청 처리용 구독</t>
    <phoneticPr fontId="2" type="noConversion"/>
  </si>
  <si>
    <t>Nautilus_azure_sce_krafton_general</t>
    <phoneticPr fontId="1" type="noConversion"/>
  </si>
  <si>
    <t>Mithil Bhatia</t>
  </si>
  <si>
    <t>Nautilus_azure_sce_krafton_dummytest_1</t>
    <phoneticPr fontId="1" type="noConversion"/>
  </si>
  <si>
    <t>Nautilus_azure_sce_krafton_dummytest_2</t>
    <phoneticPr fontId="1" type="noConversion"/>
  </si>
  <si>
    <t>허지호</t>
    <phoneticPr fontId="2" type="noConversion"/>
  </si>
  <si>
    <t xml:space="preserve">LLM을 사용한 코드리뷰를 위해 Azure OpenAI Service 사용 </t>
    <phoneticPr fontId="2" type="noConversion"/>
  </si>
  <si>
    <t>Art Management Part</t>
    <phoneticPr fontId="2" type="noConversion"/>
  </si>
  <si>
    <t>배준석</t>
    <phoneticPr fontId="2" type="noConversion"/>
  </si>
  <si>
    <t>Milestone Review Support Office</t>
    <phoneticPr fontId="2" type="noConversion"/>
  </si>
  <si>
    <t>송진나</t>
    <phoneticPr fontId="2" type="noConversion"/>
  </si>
  <si>
    <t>https://ask.krafton.com/browse/ASKIT-37599</t>
    <phoneticPr fontId="2" type="noConversion"/>
  </si>
  <si>
    <t>https://ask.krafton.com/browse/ASKIT-33845</t>
    <phoneticPr fontId="2" type="noConversion"/>
  </si>
  <si>
    <t>https://ask.krafton.com/browse/ASKIT-33055</t>
  </si>
  <si>
    <t>KRAFTON Montreal</t>
    <phoneticPr fontId="2" type="noConversion"/>
  </si>
  <si>
    <t>https://ask.krafton.com/browse/ASKIT-39295</t>
    <phoneticPr fontId="2" type="noConversion"/>
  </si>
  <si>
    <t>GP Project</t>
    <phoneticPr fontId="2" type="noConversion"/>
  </si>
  <si>
    <t>IN Platform Business Dept.</t>
    <phoneticPr fontId="2" type="noConversion"/>
  </si>
  <si>
    <t>김형진</t>
    <phoneticPr fontId="2" type="noConversion"/>
  </si>
  <si>
    <t>https://ask.krafton.com/browse/ASKIT-38096</t>
    <phoneticPr fontId="2" type="noConversion"/>
  </si>
  <si>
    <t>IN Platform Business Dept._HQ</t>
    <phoneticPr fontId="2" type="noConversion"/>
  </si>
  <si>
    <t>이승우</t>
    <phoneticPr fontId="2" type="noConversion"/>
  </si>
  <si>
    <t>https://ask.krafton.com/browse/ASKIT-37675</t>
    <phoneticPr fontId="2" type="noConversion"/>
  </si>
  <si>
    <t>SRC-India-DEV</t>
    <phoneticPr fontId="2" type="noConversion"/>
  </si>
  <si>
    <t>Strategic Alignment Office</t>
    <phoneticPr fontId="2" type="noConversion"/>
  </si>
  <si>
    <t>박승아</t>
    <phoneticPr fontId="2" type="noConversion"/>
  </si>
  <si>
    <t>https://ask.krafton.com/browse/ASKIT-39214</t>
    <phoneticPr fontId="2" type="noConversion"/>
  </si>
  <si>
    <t>정윤환</t>
    <phoneticPr fontId="2" type="noConversion"/>
  </si>
  <si>
    <t>azure-cas-prod</t>
    <phoneticPr fontId="2" type="noConversion"/>
  </si>
  <si>
    <t>https://ask.krafton.com/browse/ASKIT-45103</t>
    <phoneticPr fontId="2" type="noConversion"/>
  </si>
  <si>
    <t>azure-cas-qa</t>
    <phoneticPr fontId="2" type="noConversion"/>
  </si>
  <si>
    <t>M&amp;A Dept.</t>
    <phoneticPr fontId="2" type="noConversion"/>
  </si>
  <si>
    <t>이유림</t>
    <phoneticPr fontId="2" type="noConversion"/>
  </si>
  <si>
    <t>https://ask.krafton.com/browse/ASKIT-43948</t>
    <phoneticPr fontId="2" type="noConversion"/>
  </si>
  <si>
    <t>gp-playtest-tool</t>
    <phoneticPr fontId="2" type="noConversion"/>
  </si>
  <si>
    <t>Publishing Portfolio Management Team</t>
    <phoneticPr fontId="2" type="noConversion"/>
  </si>
  <si>
    <t>백상훈</t>
    <phoneticPr fontId="2" type="noConversion"/>
  </si>
  <si>
    <t>https://ask.krafton.com/browse/ASKIT-45551</t>
    <phoneticPr fontId="2" type="noConversion"/>
  </si>
  <si>
    <t>WoW</t>
    <phoneticPr fontId="2" type="noConversion"/>
  </si>
  <si>
    <t>Culture Team</t>
    <phoneticPr fontId="2" type="noConversion"/>
  </si>
  <si>
    <t>이서진</t>
    <phoneticPr fontId="2" type="noConversion"/>
  </si>
  <si>
    <t>https://ask.krafton.com/browse/ASKIT-45770</t>
    <phoneticPr fontId="2" type="noConversion"/>
  </si>
  <si>
    <t>김연</t>
    <phoneticPr fontId="2" type="noConversion"/>
  </si>
  <si>
    <t>최윤채</t>
  </si>
  <si>
    <t>8월부터는 김민우님 -&gt; 최윤채님</t>
    <phoneticPr fontId="2" type="noConversion"/>
  </si>
  <si>
    <t>pubg-tcyun</t>
  </si>
  <si>
    <t>TC_XTRM_Voice(200018966832)</t>
  </si>
  <si>
    <t>New State Dev Div.</t>
  </si>
  <si>
    <t>김남윤</t>
  </si>
  <si>
    <t>people</t>
    <phoneticPr fontId="2" type="noConversion"/>
  </si>
  <si>
    <t>TC_XTRM(200019689895)</t>
  </si>
  <si>
    <t>Delete</t>
  </si>
  <si>
    <t>삭제되었다고 하는데…..</t>
  </si>
  <si>
    <t>TC_XTRM-Staging(200022166247)</t>
  </si>
  <si>
    <t>TC_XTRM-Dev@pubg.com(200022166252)</t>
  </si>
  <si>
    <t>XTRM Dev &amp; staging</t>
  </si>
  <si>
    <t>엄기성</t>
    <phoneticPr fontId="2" type="noConversion"/>
  </si>
  <si>
    <t>Service Infra team QA 용도</t>
  </si>
  <si>
    <t>TC_ServiceInfra-Test(200022975744)</t>
  </si>
  <si>
    <t>Service Infra 테스트 계정</t>
  </si>
  <si>
    <t>TC_Overdare(200027738757)</t>
  </si>
  <si>
    <t>TC_sbx-dev@krafton.com(200028932067)</t>
    <phoneticPr fontId="2" type="noConversion"/>
  </si>
  <si>
    <t>사용량 없음</t>
  </si>
  <si>
    <t>TC_PSPASTOOL(200032060947)</t>
  </si>
  <si>
    <t>Publishing Support Div.</t>
  </si>
  <si>
    <t>예홍옥</t>
  </si>
  <si>
    <t>CS 데이터에 대해 활용 및 관리</t>
  </si>
  <si>
    <t>TC_PAB(200032704449)</t>
  </si>
  <si>
    <t>B_production Div.</t>
  </si>
  <si>
    <t>박소임</t>
  </si>
  <si>
    <t>TC_TCP_Publishing(200034873049)</t>
  </si>
  <si>
    <t>Compatibility &amp; Optimization QA Team</t>
    <phoneticPr fontId="2" type="noConversion"/>
  </si>
  <si>
    <t>전지훈</t>
  </si>
  <si>
    <t> Wetest 서비스를 구매하기 위해 신청한 계정</t>
  </si>
  <si>
    <t>TC_PSPASTOOL@krafton.com(200032060947)</t>
    <phoneticPr fontId="2" type="noConversion"/>
  </si>
  <si>
    <t>Player Support Team</t>
    <phoneticPr fontId="2" type="noConversion"/>
  </si>
  <si>
    <t>예홍옥</t>
    <phoneticPr fontId="2" type="noConversion"/>
  </si>
  <si>
    <t>권명숙</t>
    <phoneticPr fontId="2" type="noConversion"/>
  </si>
  <si>
    <t>CS 데이터에 대해 활용 및 관리</t>
    <phoneticPr fontId="2" type="noConversion"/>
  </si>
  <si>
    <t>KRAFTON CHINA</t>
    <phoneticPr fontId="2" type="noConversion"/>
  </si>
  <si>
    <t>CN Service Ops Team_HQ</t>
    <phoneticPr fontId="2" type="noConversion"/>
  </si>
  <si>
    <t>Pei Jun Xue</t>
  </si>
  <si>
    <t>Yan Ru Xu</t>
  </si>
  <si>
    <t>CN Service Ops Team/ 1년에 1번</t>
    <phoneticPr fontId="2" type="noConversion"/>
  </si>
  <si>
    <t>TC_PERFDOG@krafton.com(100009236773)</t>
  </si>
  <si>
    <t>Perfdog 구매 계정</t>
  </si>
  <si>
    <t>TC_xe@krafton.com(200041394676)</t>
  </si>
  <si>
    <t>Beluga</t>
  </si>
  <si>
    <t>BLUEHOLE-Harth</t>
  </si>
  <si>
    <t>ELYON Unit</t>
  </si>
  <si>
    <t>ELYON PC</t>
  </si>
  <si>
    <t>Delete(25.06)</t>
  </si>
  <si>
    <t>엄기성님께서 삭제 티켓 작성함</t>
  </si>
  <si>
    <t>T_Console Service Part</t>
    <phoneticPr fontId="2" type="noConversion"/>
  </si>
  <si>
    <t>Unknown Worlds</t>
  </si>
  <si>
    <t>Jack Smith</t>
  </si>
  <si>
    <t>SUBNAUTICA 2 -&gt; Unknown Worlds로 변경 24.08/ Mike Verrette이 7/19 담당자 jack으로 변경요청</t>
    <phoneticPr fontId="2" type="noConversion"/>
  </si>
  <si>
    <t>Datadog_UW_BM_Prod</t>
  </si>
  <si>
    <t>연화음</t>
  </si>
  <si>
    <t>Krafton-TRCS-AP</t>
  </si>
  <si>
    <t>Krafton-TRPC</t>
  </si>
  <si>
    <t>TERA</t>
  </si>
  <si>
    <t xml:space="preserve">비용권한이 없습니다. / New State 뿐만 아니라 저희 팀에서 진행하는 모든 프로젝트에서 사용 중입니다. </t>
  </si>
  <si>
    <t>PUBG eSports</t>
  </si>
  <si>
    <t>이제 사용 안함 계정만 살려둔 상태</t>
  </si>
  <si>
    <t>PUBG Corporation</t>
  </si>
  <si>
    <t>PUBG_TTO</t>
  </si>
  <si>
    <t>Service Infra Team</t>
  </si>
  <si>
    <t>PROJECT TT</t>
  </si>
  <si>
    <t>삭제 진행 요청 함</t>
  </si>
  <si>
    <t>PUBG NewState</t>
    <phoneticPr fontId="2" type="noConversion"/>
  </si>
  <si>
    <t>Inzoi</t>
  </si>
  <si>
    <t>project blue</t>
  </si>
  <si>
    <t>Deleted(25.4)</t>
  </si>
  <si>
    <t>24' 사용량 없음</t>
  </si>
  <si>
    <t xml:space="preserve">24' 12/11 그랜드런칭
OVERHEAD/OTHERS 맞습니다 </t>
  </si>
  <si>
    <t>Publishing Platform Div. 에서 신규 개발하는 KCN 의 모니터링</t>
  </si>
  <si>
    <t>BGMI 이벤트 전용 모니터링</t>
  </si>
  <si>
    <t>Project Valor 개발 모니터링</t>
    <phoneticPr fontId="2" type="noConversion"/>
  </si>
  <si>
    <t>[N/A]AI Service Engineering Team</t>
    <phoneticPr fontId="2" type="noConversion"/>
  </si>
  <si>
    <t>임지영</t>
    <phoneticPr fontId="2" type="noConversion"/>
  </si>
  <si>
    <t>datadog_cricket-all-start</t>
    <phoneticPr fontId="2" type="noConversion"/>
  </si>
  <si>
    <t>장은진</t>
    <phoneticPr fontId="2" type="noConversion"/>
  </si>
  <si>
    <t>datadog_axt</t>
    <phoneticPr fontId="2" type="noConversion"/>
  </si>
  <si>
    <t>AI Transformation Dept.</t>
    <phoneticPr fontId="2" type="noConversion"/>
  </si>
  <si>
    <t>이정우</t>
    <phoneticPr fontId="2" type="noConversion"/>
  </si>
  <si>
    <t>김도균</t>
    <phoneticPr fontId="2" type="noConversion"/>
  </si>
  <si>
    <t>cloud-pubgdevops</t>
  </si>
  <si>
    <t>Yandex Cloud</t>
    <phoneticPr fontId="2" type="noConversion"/>
  </si>
  <si>
    <t>세로 막대형1</t>
  </si>
  <si>
    <t>Armor</t>
  </si>
  <si>
    <t>왜 Wiki에 없지?</t>
  </si>
  <si>
    <t>이동준</t>
    <phoneticPr fontId="2" type="noConversion"/>
  </si>
  <si>
    <t>신지호</t>
  </si>
  <si>
    <t>GCP Support fee 정책 변경에 따른 비용을 위한 임시(24.11)</t>
    <phoneticPr fontId="2" type="noConversion"/>
  </si>
  <si>
    <t>api-6414577526685413251-707161</t>
  </si>
  <si>
    <t>서강석:Google Play 계정은 현재 Publishing Support Div.&gt;Publishing QA Dept.&gt;Platform Management Team 신지호님이 관리하고 계십니다.</t>
  </si>
  <si>
    <t>krafton-chatbot</t>
  </si>
  <si>
    <t>이기쁨</t>
  </si>
  <si>
    <t>Deleted(24.06)</t>
    <phoneticPr fontId="2" type="noConversion"/>
  </si>
  <si>
    <t>https://ask.krafton.com/browse/ASKIT-27850</t>
    <phoneticPr fontId="2" type="noConversion"/>
  </si>
  <si>
    <t>김현수</t>
  </si>
  <si>
    <t>cost verifier를 백승현 -&gt; 김현수 로 변경</t>
  </si>
  <si>
    <t>sfreer</t>
  </si>
  <si>
    <t>O2 Team</t>
  </si>
  <si>
    <t>vn-holmlands-dev</t>
  </si>
  <si>
    <t>Vector North</t>
    <phoneticPr fontId="2" type="noConversion"/>
  </si>
  <si>
    <t>Petr Matoušek</t>
    <phoneticPr fontId="2" type="noConversion"/>
  </si>
  <si>
    <t>PUBG DevOps US Central Test</t>
  </si>
  <si>
    <t>23,000원 꾸준히 발생, 계정 삭제</t>
  </si>
  <si>
    <t>Infra Div.</t>
  </si>
  <si>
    <t>심재한:Research용이고 google play log수집 하고 있습니다</t>
  </si>
  <si>
    <t>당정현</t>
  </si>
  <si>
    <t>사용량 없음/ASKIT-26336 변경요청</t>
    <phoneticPr fontId="2" type="noConversion"/>
  </si>
  <si>
    <t>AI Research Design Team</t>
    <phoneticPr fontId="2" type="noConversion"/>
  </si>
  <si>
    <t>이에나</t>
  </si>
  <si>
    <t>Deleted(25.06)</t>
  </si>
  <si>
    <t>krafton-hermione</t>
  </si>
  <si>
    <t>ML Infra Team</t>
  </si>
  <si>
    <t>유상규</t>
    <phoneticPr fontId="2" type="noConversion"/>
  </si>
  <si>
    <t>delete</t>
    <phoneticPr fontId="2" type="noConversion"/>
  </si>
  <si>
    <t>나윤호</t>
    <phoneticPr fontId="2" type="noConversion"/>
  </si>
  <si>
    <t>이에나</t>
    <phoneticPr fontId="2" type="noConversion"/>
  </si>
  <si>
    <t>GitLab</t>
    <phoneticPr fontId="2" type="noConversion"/>
  </si>
  <si>
    <t>사용완료</t>
    <phoneticPr fontId="2" type="noConversion"/>
  </si>
  <si>
    <t>Looker</t>
    <phoneticPr fontId="2" type="noConversion"/>
  </si>
  <si>
    <t>송은석</t>
    <phoneticPr fontId="2" type="noConversion"/>
  </si>
  <si>
    <t>신수연</t>
    <phoneticPr fontId="2" type="noConversion"/>
  </si>
  <si>
    <t>Oge 붙어 있거나 data voyager 로 되어있으면 ded 조직 프로젝트는 Data Infra Team</t>
    <phoneticPr fontId="2" type="noConversion"/>
  </si>
  <si>
    <t>dl-service-dev</t>
  </si>
  <si>
    <t>정기영</t>
  </si>
  <si>
    <t>krafton-ded-ai</t>
  </si>
  <si>
    <t>https://jira.krafton.com/browse/ASKIT-24251</t>
    <phoneticPr fontId="2" type="noConversion"/>
  </si>
  <si>
    <t>신지호</t>
    <phoneticPr fontId="2" type="noConversion"/>
  </si>
  <si>
    <t>krafton-ded-infra</t>
    <phoneticPr fontId="2" type="noConversion"/>
  </si>
  <si>
    <t>Data Analytics Dept.</t>
    <phoneticPr fontId="2" type="noConversion"/>
  </si>
  <si>
    <t>김준형</t>
    <phoneticPr fontId="2" type="noConversion"/>
  </si>
  <si>
    <t>Platform Management Team</t>
    <phoneticPr fontId="2" type="noConversion"/>
  </si>
  <si>
    <t>https://ask.krafton.com/browse/ASKIT-26386</t>
    <phoneticPr fontId="2" type="noConversion"/>
  </si>
  <si>
    <t>AI Model Research Dept.</t>
    <phoneticPr fontId="2" type="noConversion"/>
  </si>
  <si>
    <t>박동민</t>
  </si>
  <si>
    <t>https://ask.krafton.com/browse/ASKIT-26729</t>
  </si>
  <si>
    <t>이동호</t>
    <phoneticPr fontId="2" type="noConversion"/>
  </si>
  <si>
    <t>https://ask.krafton.com/browse/ASKIT-24653</t>
    <phoneticPr fontId="2" type="noConversion"/>
  </si>
  <si>
    <t>gamingslm</t>
  </si>
  <si>
    <t>DL Research Dept.</t>
  </si>
  <si>
    <t>안재우</t>
  </si>
  <si>
    <t>Deleted(25.06)</t>
    <phoneticPr fontId="2" type="noConversion"/>
  </si>
  <si>
    <t>동민님 계정통합/Gemini API Key for gamingslm (ORAK)/ https://ask.krafton.com/browse/ASKIT-27697</t>
    <phoneticPr fontId="2" type="noConversion"/>
  </si>
  <si>
    <t>gamingslm1</t>
  </si>
  <si>
    <t>박인규</t>
  </si>
  <si>
    <t>동민님 계정통합/ https://ask.krafton.com/browse/ASKIT-27729</t>
    <phoneticPr fontId="2" type="noConversion"/>
  </si>
  <si>
    <t>orak-459308</t>
  </si>
  <si>
    <t>김민규</t>
  </si>
  <si>
    <t>동민님 계정통합// https://ask.krafton.com/browse/ASKIT-27724</t>
    <phoneticPr fontId="2" type="noConversion"/>
  </si>
  <si>
    <t>orakgamingslm</t>
  </si>
  <si>
    <t>이종현</t>
  </si>
  <si>
    <t>동민님 계정통합// Gemini 2.5 Pro API/ k.krafton.com/browse/ASKIT-27692</t>
    <phoneticPr fontId="2" type="noConversion"/>
  </si>
  <si>
    <t>orak-junhyuck</t>
  </si>
  <si>
    <t>김준혁</t>
  </si>
  <si>
    <t>https://ask.krafton.com/browse/ASKIT-27727</t>
    <phoneticPr fontId="2" type="noConversion"/>
  </si>
  <si>
    <t>pubg-ally</t>
  </si>
  <si>
    <t>임효정</t>
    <phoneticPr fontId="2" type="noConversion"/>
  </si>
  <si>
    <t>Video Understanding 을 통한 PUBG Play Video Evaluation/ https://ask.krafton.com/browse/ASKIT-27870/김현승 -&gt; 임효정</t>
    <phoneticPr fontId="2" type="noConversion"/>
  </si>
  <si>
    <t>https://ask.krafton.com/browse/ASKIT-28514</t>
    <phoneticPr fontId="2" type="noConversion"/>
  </si>
  <si>
    <t>pubg-new-state-beta-59019398</t>
    <phoneticPr fontId="2" type="noConversion"/>
  </si>
  <si>
    <t>PUBG Business Planning Team</t>
    <phoneticPr fontId="2" type="noConversion"/>
  </si>
  <si>
    <t>PUBG:NEW STATE</t>
    <phoneticPr fontId="2" type="noConversion"/>
  </si>
  <si>
    <t>김남윤</t>
    <phoneticPr fontId="2" type="noConversion"/>
  </si>
  <si>
    <t>https://ask.krafton.com/browse/ASKIT-28425/GCP Kubernetes 클러스터 테스트 및 Vertex / Google AI Studio 등 AI 솔루션 활용</t>
    <phoneticPr fontId="2" type="noConversion"/>
  </si>
  <si>
    <t>pubg-primer</t>
  </si>
  <si>
    <t>김동원</t>
  </si>
  <si>
    <t>https://ask.krafton.com/browse/ASKIT-28420/LG CNS 하부 계정으로 PoC진행 중, Max 49K까지 Credit 소진시까지 당분간 비용 발생하지 않음</t>
    <phoneticPr fontId="2" type="noConversion"/>
  </si>
  <si>
    <t>ga-youtube-linking</t>
  </si>
  <si>
    <t>INZOI Studio</t>
    <phoneticPr fontId="2" type="noConversion"/>
  </si>
  <si>
    <t>inZOI Dev R&amp;D Team</t>
    <phoneticPr fontId="2" type="noConversion"/>
  </si>
  <si>
    <t>INZOI</t>
    <phoneticPr fontId="2" type="noConversion"/>
  </si>
  <si>
    <t>이상문</t>
    <phoneticPr fontId="2" type="noConversion"/>
  </si>
  <si>
    <t>https://ask.krafton.com/browse/ASKIT-25110</t>
    <phoneticPr fontId="2" type="noConversion"/>
  </si>
  <si>
    <t>양병성</t>
  </si>
  <si>
    <t>양병성</t>
    <phoneticPr fontId="2" type="noConversion"/>
  </si>
  <si>
    <t>https://ask.krafton.com/browse/ASKIT-24217</t>
    <phoneticPr fontId="2" type="noConversion"/>
  </si>
  <si>
    <t>선주형</t>
  </si>
  <si>
    <t>ReLu Games</t>
    <phoneticPr fontId="2" type="noConversion"/>
  </si>
  <si>
    <t>오준석</t>
    <phoneticPr fontId="2" type="noConversion"/>
  </si>
  <si>
    <t>https://cloud.jira.krafton.com/browse/ASKIT-17127</t>
    <phoneticPr fontId="2" type="noConversion"/>
  </si>
  <si>
    <t>migaloo-web3-369008</t>
    <phoneticPr fontId="2" type="noConversion"/>
  </si>
  <si>
    <t>당정현</t>
    <phoneticPr fontId="2" type="noConversion"/>
  </si>
  <si>
    <t>https://ask.krafton.com/browse/ASKIT-26336</t>
    <phoneticPr fontId="2" type="noConversion"/>
  </si>
  <si>
    <t>backpackarena</t>
    <phoneticPr fontId="2" type="noConversion"/>
  </si>
  <si>
    <t>5minLab</t>
    <phoneticPr fontId="2" type="noConversion"/>
  </si>
  <si>
    <t>smash-dungeon</t>
    <phoneticPr fontId="2" type="noConversion"/>
  </si>
  <si>
    <t>ai-workflow-automation-project</t>
    <phoneticPr fontId="2" type="noConversion"/>
  </si>
  <si>
    <t>CEO's Office</t>
    <phoneticPr fontId="2" type="noConversion"/>
  </si>
  <si>
    <t>양윤상</t>
    <phoneticPr fontId="2" type="noConversion"/>
  </si>
  <si>
    <t>https://ask.krafton.com/browse/ASKIT-32261</t>
    <phoneticPr fontId="2" type="noConversion"/>
  </si>
  <si>
    <t>김재욱</t>
  </si>
  <si>
    <t>dld-anticheat</t>
    <phoneticPr fontId="2" type="noConversion"/>
  </si>
  <si>
    <t>이혁</t>
    <phoneticPr fontId="2" type="noConversion"/>
  </si>
  <si>
    <t>https://ask.krafton.com/browse/ASKIT-30437</t>
    <phoneticPr fontId="2" type="noConversion"/>
  </si>
  <si>
    <t>krafton-online-services</t>
    <phoneticPr fontId="2" type="noConversion"/>
  </si>
  <si>
    <t>조국환</t>
    <phoneticPr fontId="2" type="noConversion"/>
  </si>
  <si>
    <t>https://ask.krafton.com/browse/ASKIT-33205</t>
    <phoneticPr fontId="2" type="noConversion"/>
  </si>
  <si>
    <t>loon-camp</t>
    <phoneticPr fontId="2" type="noConversion"/>
  </si>
  <si>
    <t>https://ask.krafton.com/browse/ASKIT-32260</t>
    <phoneticPr fontId="2" type="noConversion"/>
  </si>
  <si>
    <t>lootbox-item-ad-post-oversight</t>
    <phoneticPr fontId="2" type="noConversion"/>
  </si>
  <si>
    <t>Service Policy Team</t>
    <phoneticPr fontId="2" type="noConversion"/>
  </si>
  <si>
    <t>구민찬</t>
    <phoneticPr fontId="2" type="noConversion"/>
  </si>
  <si>
    <t>황민지</t>
    <phoneticPr fontId="2" type="noConversion"/>
  </si>
  <si>
    <t>https://ask.krafton.com/browse/ASKIT-30923</t>
    <phoneticPr fontId="2" type="noConversion"/>
  </si>
  <si>
    <t>김태혁</t>
    <phoneticPr fontId="2" type="noConversion"/>
  </si>
  <si>
    <t>https://ask.krafton.com/projects/ASKIT/queues/issue/ASKIT-31858</t>
    <phoneticPr fontId="2" type="noConversion"/>
  </si>
  <si>
    <t>workautomation-472302</t>
    <phoneticPr fontId="2" type="noConversion"/>
  </si>
  <si>
    <t>S2 Team</t>
    <phoneticPr fontId="2" type="noConversion"/>
  </si>
  <si>
    <t>조승석</t>
    <phoneticPr fontId="2" type="noConversion"/>
  </si>
  <si>
    <t>https://ask.krafton.com/browse/ASKIT-32553</t>
    <phoneticPr fontId="2" type="noConversion"/>
  </si>
  <si>
    <t>xe-dept</t>
    <phoneticPr fontId="2" type="noConversion"/>
  </si>
  <si>
    <t>Experience Engineering Dept.</t>
    <phoneticPr fontId="2" type="noConversion"/>
  </si>
  <si>
    <t>https://ask.krafton.com/browse/ASKIT-32782</t>
    <phoneticPr fontId="2" type="noConversion"/>
  </si>
  <si>
    <t>gcp-msu-devops</t>
    <phoneticPr fontId="2" type="noConversion"/>
  </si>
  <si>
    <t>https://ask.krafton.com/browse/ASKIT-31967</t>
    <phoneticPr fontId="2" type="noConversion"/>
  </si>
  <si>
    <t>ai-transformation-467006</t>
    <phoneticPr fontId="2" type="noConversion"/>
  </si>
  <si>
    <t>https://ask.krafton.com/browse/ASKIT-30204</t>
    <phoneticPr fontId="2" type="noConversion"/>
  </si>
  <si>
    <t>dinkum-automation</t>
    <phoneticPr fontId="2" type="noConversion"/>
  </si>
  <si>
    <t>Publishing Launchpad Team</t>
    <phoneticPr fontId="2" type="noConversion"/>
  </si>
  <si>
    <t>Dinkum</t>
    <phoneticPr fontId="2" type="noConversion"/>
  </si>
  <si>
    <t>라샛별</t>
    <phoneticPr fontId="2" type="noConversion"/>
  </si>
  <si>
    <t>https://ask.krafton.com/browse/ASKIT-35276</t>
    <phoneticPr fontId="2" type="noConversion"/>
  </si>
  <si>
    <t>dld-physical-ai</t>
    <phoneticPr fontId="2" type="noConversion"/>
  </si>
  <si>
    <t>Robot Learning Team</t>
    <phoneticPr fontId="2" type="noConversion"/>
  </si>
  <si>
    <t>https://ask.krafton.com/browse/ASKIT-33627</t>
    <phoneticPr fontId="2" type="noConversion"/>
  </si>
  <si>
    <t>finance-hq</t>
    <phoneticPr fontId="2" type="noConversion"/>
  </si>
  <si>
    <t>Financial Planning Team</t>
    <phoneticPr fontId="2" type="noConversion"/>
  </si>
  <si>
    <t>신현미</t>
    <phoneticPr fontId="2" type="noConversion"/>
  </si>
  <si>
    <t>https://ask.krafton.com/browse/ASKIT-30216</t>
  </si>
  <si>
    <t>erm-for-n8n</t>
    <phoneticPr fontId="2" type="noConversion"/>
  </si>
  <si>
    <t>Risk Management Team</t>
    <phoneticPr fontId="2" type="noConversion"/>
  </si>
  <si>
    <t>최솔지</t>
    <phoneticPr fontId="2" type="noConversion"/>
  </si>
  <si>
    <t>https://ask.krafton.com/browse/ASKIT-36982</t>
  </si>
  <si>
    <t>krafton-security</t>
    <phoneticPr fontId="2" type="noConversion"/>
  </si>
  <si>
    <t>https://ask.krafton.com/browse/ASKIT-37996</t>
    <phoneticPr fontId="2" type="noConversion"/>
  </si>
  <si>
    <t>https://ask.krafton.com/servicedesk/customer/portal/2/ASKIT-38002</t>
  </si>
  <si>
    <t>INZOI Studio</t>
  </si>
  <si>
    <t>INZOI</t>
  </si>
  <si>
    <t>조재욱</t>
    <phoneticPr fontId="2" type="noConversion"/>
  </si>
  <si>
    <t>https://ask.krafton.com/browse/ASKIT-32979</t>
    <phoneticPr fontId="2" type="noConversion"/>
  </si>
  <si>
    <t>KRAFTON JUNGLE</t>
    <phoneticPr fontId="2" type="noConversion"/>
  </si>
  <si>
    <t>PROJECT JUNGLE</t>
    <phoneticPr fontId="2" type="noConversion"/>
  </si>
  <si>
    <t>김성민</t>
    <phoneticPr fontId="2" type="noConversion"/>
  </si>
  <si>
    <t>https://ask.krafton.com/browse/ASKIT-33889</t>
    <phoneticPr fontId="2" type="noConversion"/>
  </si>
  <si>
    <t>BGMI DevOps Team</t>
    <phoneticPr fontId="2" type="noConversion"/>
  </si>
  <si>
    <t>조동현</t>
    <phoneticPr fontId="2" type="noConversion"/>
  </si>
  <si>
    <t>https://ask.krafton.com/browse/ASKIT-39345</t>
    <phoneticPr fontId="2" type="noConversion"/>
  </si>
  <si>
    <t>송창규</t>
    <phoneticPr fontId="2" type="noConversion"/>
  </si>
  <si>
    <t>이준</t>
  </si>
  <si>
    <t>https://ask.krafton.com/browse/ASKIT-42161</t>
    <phoneticPr fontId="2" type="noConversion"/>
  </si>
  <si>
    <t>Foundation Model Research Team</t>
    <phoneticPr fontId="2" type="noConversion"/>
  </si>
  <si>
    <t>최민석</t>
    <phoneticPr fontId="2" type="noConversion"/>
  </si>
  <si>
    <t>Recruiting Operations Part</t>
    <phoneticPr fontId="2" type="noConversion"/>
  </si>
  <si>
    <t>이태민</t>
    <phoneticPr fontId="2" type="noConversion"/>
  </si>
  <si>
    <t>https://ask.krafton.com/browse/ASKIT-41836</t>
    <phoneticPr fontId="2" type="noConversion"/>
  </si>
  <si>
    <t>Abhishek Chavan</t>
    <phoneticPr fontId="2" type="noConversion"/>
  </si>
  <si>
    <t>https://ask.krafton.com/browse/ASKIT-40266</t>
    <phoneticPr fontId="2" type="noConversion"/>
  </si>
  <si>
    <t>IT Service &amp; Mgmt Part</t>
    <phoneticPr fontId="2" type="noConversion"/>
  </si>
  <si>
    <t>김승태</t>
    <phoneticPr fontId="2" type="noConversion"/>
  </si>
  <si>
    <t>나민주</t>
    <phoneticPr fontId="2" type="noConversion"/>
  </si>
  <si>
    <t>https://ask.krafton.com/browse/ASKIT-39534</t>
    <phoneticPr fontId="2" type="noConversion"/>
  </si>
  <si>
    <t>박선영</t>
    <phoneticPr fontId="2" type="noConversion"/>
  </si>
  <si>
    <t>FWG T Team</t>
    <phoneticPr fontId="2" type="noConversion"/>
  </si>
  <si>
    <t>김무갑</t>
    <phoneticPr fontId="2" type="noConversion"/>
  </si>
  <si>
    <t>https://ask.krafton.com/browse/ASKIT-41944</t>
    <phoneticPr fontId="2" type="noConversion"/>
  </si>
  <si>
    <t>General Operations Dept.</t>
    <phoneticPr fontId="2" type="noConversion"/>
  </si>
  <si>
    <t>윤지애</t>
    <phoneticPr fontId="2" type="noConversion"/>
  </si>
  <si>
    <t>https://ask.krafton.com/browse/ASKIT-41373</t>
    <phoneticPr fontId="2" type="noConversion"/>
  </si>
  <si>
    <t>Visual R&amp;D Team</t>
    <phoneticPr fontId="2" type="noConversion"/>
  </si>
  <si>
    <t>이주영</t>
    <phoneticPr fontId="2" type="noConversion"/>
  </si>
  <si>
    <t>https://ask.krafton.com/browse/ASKIT-40718</t>
    <phoneticPr fontId="2" type="noConversion"/>
  </si>
  <si>
    <t>playbook-488307</t>
    <phoneticPr fontId="2" type="noConversion"/>
  </si>
  <si>
    <t>Design Creative Part</t>
    <phoneticPr fontId="2" type="noConversion"/>
  </si>
  <si>
    <t>권순철</t>
    <phoneticPr fontId="2" type="noConversion"/>
  </si>
  <si>
    <t>https://ask.krafton.com/browse/ASKIT-43573</t>
    <phoneticPr fontId="2" type="noConversion"/>
  </si>
  <si>
    <t>publishing-growth-marketing</t>
    <phoneticPr fontId="2" type="noConversion"/>
  </si>
  <si>
    <t>Publishing Growth Marketing &amp; BD Team</t>
    <phoneticPr fontId="2" type="noConversion"/>
  </si>
  <si>
    <t>정여원</t>
    <phoneticPr fontId="2" type="noConversion"/>
  </si>
  <si>
    <t>rosy-cache-487200-j0</t>
    <phoneticPr fontId="2" type="noConversion"/>
  </si>
  <si>
    <t>임경빈</t>
    <phoneticPr fontId="2" type="noConversion"/>
  </si>
  <si>
    <t>https://ask.krafton.com/browse/ASKIT-43110</t>
    <phoneticPr fontId="2" type="noConversion"/>
  </si>
  <si>
    <t>xchange-486910</t>
    <phoneticPr fontId="2" type="noConversion"/>
  </si>
  <si>
    <t>Core VFX Team</t>
    <phoneticPr fontId="2" type="noConversion"/>
  </si>
  <si>
    <t>서승욱</t>
    <phoneticPr fontId="2" type="noConversion"/>
  </si>
  <si>
    <t>https://ask.krafton.com/browse/ASKIT-42825</t>
    <phoneticPr fontId="2" type="noConversion"/>
  </si>
  <si>
    <t>Gemini Enterprise</t>
    <phoneticPr fontId="2" type="noConversion"/>
  </si>
  <si>
    <t>bao-monitoring</t>
    <phoneticPr fontId="2" type="noConversion"/>
  </si>
  <si>
    <t>BAO Team 1</t>
    <phoneticPr fontId="2" type="noConversion"/>
  </si>
  <si>
    <t>권창현</t>
    <phoneticPr fontId="2" type="noConversion"/>
  </si>
  <si>
    <t>https://ask.krafton.com/projects/ASKIT/queues/issue/ASKIT-44781</t>
    <phoneticPr fontId="2" type="noConversion"/>
  </si>
  <si>
    <t>bgmi-brain</t>
    <phoneticPr fontId="2" type="noConversion"/>
  </si>
  <si>
    <t>Srinjoy Das</t>
    <phoneticPr fontId="2" type="noConversion"/>
  </si>
  <si>
    <t>https://ask.krafton.com/browse/ASKIT-44801</t>
    <phoneticPr fontId="2" type="noConversion"/>
  </si>
  <si>
    <t>brand-creative-dept</t>
    <phoneticPr fontId="2" type="noConversion"/>
  </si>
  <si>
    <t>Brand Creative Dept.</t>
    <phoneticPr fontId="2" type="noConversion"/>
  </si>
  <si>
    <t>https://ask.krafton.com/browse/ASKIT-43210</t>
    <phoneticPr fontId="2" type="noConversion"/>
  </si>
  <si>
    <t>pd2-automation</t>
    <phoneticPr fontId="2" type="noConversion"/>
  </si>
  <si>
    <t>GPD1 Publishing Coordination Dept.</t>
    <phoneticPr fontId="2" type="noConversion"/>
  </si>
  <si>
    <t>정길환</t>
    <phoneticPr fontId="2" type="noConversion"/>
  </si>
  <si>
    <t>https://ask.krafton.com/browse/ASKIT-29358</t>
    <phoneticPr fontId="2" type="noConversion"/>
  </si>
  <si>
    <t>내역</t>
  </si>
  <si>
    <t>코스트 센터</t>
  </si>
  <si>
    <t>사업 영역</t>
  </si>
  <si>
    <t>[N/A] Product Marketing Team</t>
  </si>
  <si>
    <t>temp</t>
  </si>
  <si>
    <t>SDS Spain Member</t>
  </si>
  <si>
    <t>[N/A] SDS R&amp;D Team_SP</t>
  </si>
  <si>
    <t>[N/A] SDS Rendering Engineering Part_SP</t>
  </si>
  <si>
    <t>[N/A] inZOI Studio</t>
  </si>
  <si>
    <t>KRAFTON INC_HQ</t>
  </si>
  <si>
    <t>KRAFTON INC_TH</t>
  </si>
  <si>
    <t>KRAFTON INC_TK</t>
  </si>
  <si>
    <t>KRAFTON INC_TW</t>
  </si>
  <si>
    <t>KRAFTON INC_JP</t>
  </si>
  <si>
    <t>CHAIRMAN</t>
  </si>
  <si>
    <t>Chairman's Office</t>
  </si>
  <si>
    <t>[N/A]Art Production Management Team</t>
  </si>
  <si>
    <t>[N/A] DL PM &amp; Operations Dept.</t>
  </si>
  <si>
    <t>[N/A]Strategy Dept.</t>
  </si>
  <si>
    <t>[N/A] New Business Team</t>
  </si>
  <si>
    <t>[N/A] President Identity Team</t>
  </si>
  <si>
    <t>[N/A]PUBG Universe Mgmt Dept._HQ</t>
  </si>
  <si>
    <t>[N/A] D1 Dept.</t>
  </si>
  <si>
    <t>[N/A] Jupiter Team</t>
  </si>
  <si>
    <t>[N/A] PYKE Team</t>
  </si>
  <si>
    <t>[N/A]R Team</t>
  </si>
  <si>
    <t>Junior Caring Part</t>
  </si>
  <si>
    <t>Kissflow TFT</t>
  </si>
  <si>
    <t>[N/A]KOS TPM Team</t>
  </si>
  <si>
    <t>[N/A] GPP US Team</t>
  </si>
  <si>
    <t>[N/A] PPE PM Team</t>
  </si>
  <si>
    <t>[N/A] UI&amp;UX Design Part</t>
  </si>
  <si>
    <t>[N/A]XE Dev Team 1</t>
  </si>
  <si>
    <t>[N/A]KOS SDK Team</t>
  </si>
  <si>
    <t>[N/A]Engineering Service QA Team</t>
  </si>
  <si>
    <t>[N/A]Data Infra Engineering Team</t>
  </si>
  <si>
    <t>Security Team</t>
  </si>
  <si>
    <t>NetWork Team</t>
  </si>
  <si>
    <t>IT Procurement Team</t>
  </si>
  <si>
    <t>ITSD Team</t>
  </si>
  <si>
    <t>Game Investments &amp; Partnerships Div.</t>
  </si>
  <si>
    <t>[N/A] Investment&amp;Partnership Dept.</t>
  </si>
  <si>
    <t>[N/A] Global Investment Team II_HQ</t>
  </si>
  <si>
    <t>[N/A] KR Studio Partnership&amp;Investment T</t>
  </si>
  <si>
    <t>[N/A]Game Intelligence Lab Team</t>
  </si>
  <si>
    <t>[N/A] Legal Dept.</t>
  </si>
  <si>
    <t>[N/A] Korea Legal Team</t>
  </si>
  <si>
    <t>[N/A] Global Legal Team</t>
  </si>
  <si>
    <t>[N/A]Investment Dept.</t>
  </si>
  <si>
    <t>[N/A] Investment Management Team</t>
  </si>
  <si>
    <t>[N/A] Corporate Communications Div.</t>
  </si>
  <si>
    <t>Corporate Real Estate Team</t>
  </si>
  <si>
    <t>Corporate Relations Dept.</t>
  </si>
  <si>
    <t>[N/A] Brand Communications Dept.</t>
  </si>
  <si>
    <t>Brand Design Team</t>
  </si>
  <si>
    <t>Brand Planning Team</t>
  </si>
  <si>
    <t>[N/A]Communications Dept.</t>
  </si>
  <si>
    <t>[N/A]Global Corporate PR Team</t>
  </si>
  <si>
    <t>Studio Communications Team</t>
  </si>
  <si>
    <t>Corporate Communications Team</t>
  </si>
  <si>
    <t>[N/A] Work&amp;Space Dept.</t>
  </si>
  <si>
    <t>[N/A] Space Connect Team</t>
  </si>
  <si>
    <t>[N/A] Work Connect Team</t>
  </si>
  <si>
    <t>[N/A]A.I.R. Dept.</t>
  </si>
  <si>
    <t>Interior A Team</t>
  </si>
  <si>
    <t>Operational Planning Dept.</t>
  </si>
  <si>
    <t>PI Dept.</t>
  </si>
  <si>
    <t>[N/A] HR Div.</t>
  </si>
  <si>
    <t>[N/A] Talent Mgmt Team</t>
  </si>
  <si>
    <t>HR Operations Team</t>
  </si>
  <si>
    <t>Compensation Team</t>
  </si>
  <si>
    <t>Learning &amp; Value Team</t>
  </si>
  <si>
    <t>[N/A] Workday TFT</t>
  </si>
  <si>
    <t>[N/A] People Dept.</t>
  </si>
  <si>
    <t>Finance Div.</t>
  </si>
  <si>
    <t>IR Team</t>
  </si>
  <si>
    <t>Accounting Dept.</t>
  </si>
  <si>
    <t>Separate Accounting Team</t>
  </si>
  <si>
    <t>Consolidated Accounting Team</t>
  </si>
  <si>
    <t>Tax Team</t>
  </si>
  <si>
    <t>Financial Planning Dept.</t>
  </si>
  <si>
    <t>Treasury Team</t>
  </si>
  <si>
    <t>Financial Strategy Team</t>
  </si>
  <si>
    <t>[N/A] ERP Enhancement TFT</t>
  </si>
  <si>
    <t>Game Production Div.</t>
  </si>
  <si>
    <t>[N/A]Production Management Cell</t>
  </si>
  <si>
    <t>[N/A]GPM QA1 Team</t>
  </si>
  <si>
    <t>[N/A] STM QA part</t>
  </si>
  <si>
    <t>[N/A]GPM QA2 Team</t>
  </si>
  <si>
    <t>[N/A]Developer Relation Dept.</t>
  </si>
  <si>
    <t>[N/A]First Party Relations Team</t>
  </si>
  <si>
    <t>[N/A] Production Partnership Team</t>
  </si>
  <si>
    <t>Audio Dept.</t>
  </si>
  <si>
    <t>[N/A] Audio Engineering Team</t>
  </si>
  <si>
    <t>[N/A] Sound Design Team</t>
  </si>
  <si>
    <t>Music Production Part</t>
  </si>
  <si>
    <t>[N/A]Game Dev Incubator</t>
  </si>
  <si>
    <t>[N/A] BBM TF</t>
  </si>
  <si>
    <t>[N/A] Camp4 Unit</t>
  </si>
  <si>
    <t>[N/A] Frost Unit</t>
  </si>
  <si>
    <t>[N/A] Frost Design Team</t>
  </si>
  <si>
    <t>[N/A] Frost Contents Part</t>
  </si>
  <si>
    <t>[N/A] Frost System Part</t>
  </si>
  <si>
    <t>[N/A] Frost Tech Team</t>
  </si>
  <si>
    <t>[N/A] Frost Client Part</t>
  </si>
  <si>
    <t>[N/A] Frost Server Part</t>
  </si>
  <si>
    <t>[N/A] Frost Art Team</t>
  </si>
  <si>
    <t>[N/A] Frost Concept Part</t>
  </si>
  <si>
    <t>[N/A] Frost Modeling Part</t>
  </si>
  <si>
    <t>[N/A] Frost Animation Part</t>
  </si>
  <si>
    <t>[N/A] Frost World Part</t>
  </si>
  <si>
    <t>[N/A] Frost UX Part</t>
  </si>
  <si>
    <t>[N/A] Frost TA Part</t>
  </si>
  <si>
    <t>[N/A] BEAVER Unit</t>
  </si>
  <si>
    <t>[N/A] BV PM Team</t>
  </si>
  <si>
    <t>[N/A] BV ART Cell</t>
  </si>
  <si>
    <t>[N/A] BV_Concept Team</t>
  </si>
  <si>
    <t>[N/A] BV_Character Team</t>
  </si>
  <si>
    <t>[N/A] BV_Environments Team</t>
  </si>
  <si>
    <t>[N/A] BV_VFX Team</t>
  </si>
  <si>
    <t>[N/A] BV_Animation Team</t>
  </si>
  <si>
    <t>[N/A] BV Tech Cell</t>
  </si>
  <si>
    <t>[N/A] BV Game Design Cell</t>
  </si>
  <si>
    <t>[N/A] BV Graphics Eng. Team</t>
  </si>
  <si>
    <t>[N/A] BV GraphicsEng Part</t>
  </si>
  <si>
    <t>[N/A] BV TA Part</t>
  </si>
  <si>
    <t>[N/A] BV QA Team</t>
  </si>
  <si>
    <t>[N/A] BV Co-op.Eng.Team</t>
  </si>
  <si>
    <t>[N/A] BV DevOps Team</t>
  </si>
  <si>
    <t>[N/A] BV Service&amp;Biz Team</t>
  </si>
  <si>
    <t>[N/A] MutantLab Unit</t>
  </si>
  <si>
    <t>[N/A]Project Windless</t>
  </si>
  <si>
    <t>[N/A] Global Biz Dev Div.</t>
  </si>
  <si>
    <t>Partnerships Team</t>
  </si>
  <si>
    <t>West Translation Team</t>
  </si>
  <si>
    <t>[N/A] IP Management Dept.</t>
  </si>
  <si>
    <t>[N/A] Content&amp;IP Biz Dev Team</t>
  </si>
  <si>
    <t>[N/A] Tech Partnerships Team</t>
  </si>
  <si>
    <t>[N/A] Special Project II</t>
  </si>
  <si>
    <t>[N/A]X1 Team</t>
  </si>
  <si>
    <t>EvilPlan Team</t>
  </si>
  <si>
    <t>[N/A]FOONDA Team</t>
  </si>
  <si>
    <t>[N/A] D1 Team</t>
  </si>
  <si>
    <t>GotYou Team</t>
  </si>
  <si>
    <t>[N/A]O2 Team</t>
  </si>
  <si>
    <t>[N/A]S2 Team</t>
  </si>
  <si>
    <t>INTERNATIONAL BIZ &amp; PUPBLISHING GROUP</t>
  </si>
  <si>
    <t>[N/A] Service Management Div.</t>
  </si>
  <si>
    <t>[N/A] Service Policy Team</t>
  </si>
  <si>
    <t>[N/A]Publishing Evaluation &amp; Deal Team</t>
  </si>
  <si>
    <t>[N/A]XTRM Publishing Dept.</t>
  </si>
  <si>
    <t>[N/A] XTRM Anti-cheat Part</t>
  </si>
  <si>
    <t>[N/A] XTRM Partnerships Team</t>
  </si>
  <si>
    <t>[N/A]New State HQ Team</t>
  </si>
  <si>
    <t>[N/A] Biringam Publishing Team</t>
  </si>
  <si>
    <t>PUBG IP Collaborations Team</t>
  </si>
  <si>
    <t>PUBG Esports Dept.</t>
  </si>
  <si>
    <t>KR Esports Part</t>
  </si>
  <si>
    <t>[N/A]Esports Dev Team</t>
  </si>
  <si>
    <t>[N/A] Esports Event Production Team</t>
  </si>
  <si>
    <t>[N/A] Esports Brand Marketing Team</t>
  </si>
  <si>
    <t>[N/A]Esports Business Development Team</t>
  </si>
  <si>
    <t>[N/A] Creative Asset Design Dept.</t>
  </si>
  <si>
    <t>Motion Creative Team</t>
  </si>
  <si>
    <t>Live Creative Team</t>
  </si>
  <si>
    <t>[N/A]JP Tokyo Office_HQ</t>
  </si>
  <si>
    <t>JP Office Management Team_HQ</t>
  </si>
  <si>
    <t>[N/A]PUBGM Div.</t>
  </si>
  <si>
    <t>JP Publishing Dept._HQ</t>
  </si>
  <si>
    <t>JP PUBGM Biz Team_HQ</t>
  </si>
  <si>
    <t>[N/A]JP PUBGM Content Part_HQ</t>
  </si>
  <si>
    <t>JP Esports Part_HQ</t>
  </si>
  <si>
    <t>[N/A]JP PUBGM Service Ops Part_HQ</t>
  </si>
  <si>
    <t>[N/A]PUBGM Biz Dept.</t>
  </si>
  <si>
    <t>[N/A] PUBGM Contents Biz Team</t>
  </si>
  <si>
    <t>[N/A] PUBGM Live Biz Team</t>
  </si>
  <si>
    <t>[N/A]PUBGM Live Ops Team</t>
  </si>
  <si>
    <t>PUBGM JP Marketing Team_HQ</t>
  </si>
  <si>
    <t>[N/A] KR JP Translator Part_HQ</t>
  </si>
  <si>
    <t>[N/A] JP Design Part</t>
  </si>
  <si>
    <t>Business Intelligence Team</t>
  </si>
  <si>
    <t>[N/A]Publishing QA Team</t>
  </si>
  <si>
    <t>[N/A] PUBGM Strategy Team</t>
  </si>
  <si>
    <t>[N/A] PUBGM Strategic Marketing Dept.</t>
  </si>
  <si>
    <t>[N/A]PUBGM MKT HQ Team</t>
  </si>
  <si>
    <t>[N/A] PUBGM Esports Team</t>
  </si>
  <si>
    <t>PUBGM Biz Dev Team</t>
  </si>
  <si>
    <t>Global Creative Div.</t>
  </si>
  <si>
    <t>[N/A] Brand Creative Seoul Team</t>
  </si>
  <si>
    <t>[N/A] Video Creative SM Team_HQ</t>
  </si>
  <si>
    <t>[N/A]Brand Creative Design Team_</t>
  </si>
  <si>
    <t>[N/A] Data Science Div.</t>
  </si>
  <si>
    <t>[N/A] XTRM Analytics Team</t>
  </si>
  <si>
    <t>EMEA Analytics Team</t>
  </si>
  <si>
    <t>[N/A] Thunder Analytic Team</t>
  </si>
  <si>
    <t>[N/A]Platform Analytics Team</t>
  </si>
  <si>
    <t>[N/A] Anti-cheat Analytics Team</t>
  </si>
  <si>
    <t>[N/A] PUBG Gameplay Analytics Team</t>
  </si>
  <si>
    <t>[N/A] PUBG Platform Analytics Team</t>
  </si>
  <si>
    <t>[N/A] PUBG Esports Analytics Part</t>
  </si>
  <si>
    <t>[N/A] PUBG Outgame Analytics Team</t>
  </si>
  <si>
    <t>[N/A] PUBG Console Dev Analytics Team</t>
  </si>
  <si>
    <t>[N/A] BI Renewal TFT</t>
  </si>
  <si>
    <t>[N/A]Data Infra Team</t>
  </si>
  <si>
    <t>[N/A]Data Service Team</t>
  </si>
  <si>
    <t>[N/A] PSML Team</t>
  </si>
  <si>
    <t>[N/A] ML Anti-Cheat Part</t>
  </si>
  <si>
    <t>[N/A] ML Service Part</t>
  </si>
  <si>
    <t>[N/A] ML Contents Part</t>
  </si>
  <si>
    <t>[N/A] Mobile Analytics Dept.</t>
  </si>
  <si>
    <t>[N/A]PUBG Publishing Dept.</t>
  </si>
  <si>
    <t>[N/A]Live Operations Team</t>
  </si>
  <si>
    <t>[N/A]PUBG HQ Team</t>
  </si>
  <si>
    <t>[N/A]Global Community Management Team</t>
  </si>
  <si>
    <t>[N/A]International Biz</t>
  </si>
  <si>
    <t>[N/A] West Publishing</t>
  </si>
  <si>
    <t>Americas Biz Div._HQ</t>
  </si>
  <si>
    <t>[N/A] PUBGM TFT_HQ</t>
  </si>
  <si>
    <t>[N/A] NA Technology Team_HQ</t>
  </si>
  <si>
    <t>[N/A]AMT DevOps Part_HQ</t>
  </si>
  <si>
    <t>[N/A]NA Growth Marketing Team_HQ</t>
  </si>
  <si>
    <t>[N/A]Americas Creative Services Team_HQ</t>
  </si>
  <si>
    <t>Americas Project Management Team_HQ</t>
  </si>
  <si>
    <t>Americas Brand Marketing Team_HQ</t>
  </si>
  <si>
    <t>Americas Marketing Communications Tea_HQ</t>
  </si>
  <si>
    <t>NA PR &amp; Influencers Part_HQ</t>
  </si>
  <si>
    <t>[N/A]Americas Social Part_HQ</t>
  </si>
  <si>
    <t>[N/A]Americas Influencer Part_HQ</t>
  </si>
  <si>
    <t>NA Community &amp; Social Part_HQ</t>
  </si>
  <si>
    <t>Americas Human Resources Team_HQ</t>
  </si>
  <si>
    <t>Americas Finance Team_HQ</t>
  </si>
  <si>
    <t>NA Convergence Team_HQ</t>
  </si>
  <si>
    <t>Krafton Americas Translation Part_HQ</t>
  </si>
  <si>
    <t>[N/A]Americas Esports &amp; Events Team_HQ</t>
  </si>
  <si>
    <t>[N/A] LATAM Biz Dept.</t>
  </si>
  <si>
    <t>[N/A] LATAM Esports Team_HQ</t>
  </si>
  <si>
    <t>[N/A] LATAM Biz Dev Team_HQ</t>
  </si>
  <si>
    <t>[N/A]LATAM Publishing Team_HQ</t>
  </si>
  <si>
    <t>EMEA Biz Div._HQ</t>
  </si>
  <si>
    <t>EMEA People Operations Team_HQ</t>
  </si>
  <si>
    <t>EMEA HR Team_HQ</t>
  </si>
  <si>
    <t>EME IT Admin Part_HQ</t>
  </si>
  <si>
    <t>EMEA Workplace Part_HQ</t>
  </si>
  <si>
    <t>EMEA Publishing Dept._HQ</t>
  </si>
  <si>
    <t>[N/A] Thunder Publishing Team_HQ</t>
  </si>
  <si>
    <t>[N/A] EMEA Data Analysis Team_HQ</t>
  </si>
  <si>
    <t>EMEA Product Management Team_HQ</t>
  </si>
  <si>
    <t>Europe Publishing Team_HQ</t>
  </si>
  <si>
    <t>[N/A] UK&amp;EU Publishing Part_HQ</t>
  </si>
  <si>
    <t>[N/A] DACH Publishing Part_HQ</t>
  </si>
  <si>
    <t>[N/A] FR Publishing Part_HQ</t>
  </si>
  <si>
    <t>[N/A] EMEA Publishing Strategy Team_HQ</t>
  </si>
  <si>
    <t>[N/A] EMEA PM&amp;Marketing Part_HQ</t>
  </si>
  <si>
    <t>[N/A] EMEA Localization Part_HQ</t>
  </si>
  <si>
    <t>MENA Publishing Team_HQ</t>
  </si>
  <si>
    <t>CIS Publishing Team_HQ</t>
  </si>
  <si>
    <t>EMEA eSports Team_HQ</t>
  </si>
  <si>
    <t>EMEA Content Part_HQ</t>
  </si>
  <si>
    <t>EMEA League Ops Part_HQ</t>
  </si>
  <si>
    <t>EMEA Content Team_HQ</t>
  </si>
  <si>
    <t>EMEA Merchandise_HQ</t>
  </si>
  <si>
    <t>EMEA Creative Part_HQ</t>
  </si>
  <si>
    <t>EMEA Project Management Part_HQ</t>
  </si>
  <si>
    <t>EMEA Communication Team_HQ</t>
  </si>
  <si>
    <t>[N/A]EMEA PR Part_HQ</t>
  </si>
  <si>
    <t>EMEA Partner Experience Part_HQ</t>
  </si>
  <si>
    <t>EMEA Finance Team_HQ</t>
  </si>
  <si>
    <t>EMEA Biz Div._TK</t>
  </si>
  <si>
    <t>EMEA People Operations Team_TK</t>
  </si>
  <si>
    <t>EMEA HR Team_TK</t>
  </si>
  <si>
    <t>EME IT Admin Part_TK</t>
  </si>
  <si>
    <t>EMEA Workplace Part_TK</t>
  </si>
  <si>
    <t>EMEA Publishing Dept._TK</t>
  </si>
  <si>
    <t>Thunder Publishing Team_TK</t>
  </si>
  <si>
    <t>[N/A] EMEA Data Analysis Team_TK</t>
  </si>
  <si>
    <t>EMEA Product Management Team_TK</t>
  </si>
  <si>
    <t>Europe Publishing Team_TK</t>
  </si>
  <si>
    <t>[N/A] EMEA UK&amp;EU Part_TK</t>
  </si>
  <si>
    <t>[N/A] EMEA DACH Part_TK</t>
  </si>
  <si>
    <t>[N/A] EMEA FR Part_TK</t>
  </si>
  <si>
    <t>[N/A]EMEA Publishing Strategy Team_TK</t>
  </si>
  <si>
    <t>EMEA PM&amp;Marketing Part_TK</t>
  </si>
  <si>
    <t>EMEA Localization Part_TK</t>
  </si>
  <si>
    <t>MENA Publishing Team_TK</t>
  </si>
  <si>
    <t>CIS Publishing Team_TK</t>
  </si>
  <si>
    <t>West Esports Team</t>
  </si>
  <si>
    <t>EMEA Content Part_TK</t>
  </si>
  <si>
    <t>EMEA League Ops Part_TK</t>
  </si>
  <si>
    <t>EMEA Content Team_TK</t>
  </si>
  <si>
    <t>EMEA Merchandise_TK</t>
  </si>
  <si>
    <t>EMEA Creative Part_TK</t>
  </si>
  <si>
    <t>EMEA Project Management Part_TK</t>
  </si>
  <si>
    <t>EMEA Communication Team_TK</t>
  </si>
  <si>
    <t>[N/A]EMEA PR Part_TK</t>
  </si>
  <si>
    <t>EMEA Partner Experience Part_TK</t>
  </si>
  <si>
    <t>EMEA Finance Team_TK</t>
  </si>
  <si>
    <t>[N/A]PlayerUnknown Productions Div._H</t>
  </si>
  <si>
    <t>[N/A]PlayerUnknown Productions Dept._</t>
  </si>
  <si>
    <t>[N/A]Research Team_HQ</t>
  </si>
  <si>
    <t>[N/A]Product Team_HQ</t>
  </si>
  <si>
    <t>[N/A]Design Team_HQ</t>
  </si>
  <si>
    <t>[N/A]Tech Team_HQ</t>
  </si>
  <si>
    <t>[N/A]Art Team_HQ</t>
  </si>
  <si>
    <t>[N/A]Market Insights Lab Dept.</t>
  </si>
  <si>
    <t>Market Insights Team</t>
  </si>
  <si>
    <t>[N/A]BI Business Analytics Team</t>
  </si>
  <si>
    <t>[N/A]Market Analysis Team</t>
  </si>
  <si>
    <t>[N/A]Asia Biz Div.</t>
  </si>
  <si>
    <t>[N/A] KR Biz Dept.</t>
  </si>
  <si>
    <t>[N/A] KR MKT&amp;Comm Team</t>
  </si>
  <si>
    <t>[N/A] KR Biz Team</t>
  </si>
  <si>
    <t>[N/A]Asia Biz Dept.</t>
  </si>
  <si>
    <t>[N/A] SEA Biz Team</t>
  </si>
  <si>
    <t>[N/A]SEA Publishing Dept.</t>
  </si>
  <si>
    <t>[N/A]TH Publishing Team</t>
  </si>
  <si>
    <t>[N/A] PH Biz Part</t>
  </si>
  <si>
    <t>[N/A] ID Biz Part</t>
  </si>
  <si>
    <t>PUBG SEA Publishing Team</t>
  </si>
  <si>
    <t>TW Publishing Part</t>
  </si>
  <si>
    <t>TW Biz Team_TW</t>
  </si>
  <si>
    <t>China Biz Div._HQ</t>
  </si>
  <si>
    <t>Marketing Communication Dept._HQ</t>
  </si>
  <si>
    <t>PUBG CN Publishing Team_HQ</t>
  </si>
  <si>
    <t>[N/A] CN Product MKT Part</t>
  </si>
  <si>
    <t>[N/A] CN Contents Part_HQ</t>
  </si>
  <si>
    <t>[N/A] CN Community Part_HQ</t>
  </si>
  <si>
    <t>CN PR Team_HQ</t>
  </si>
  <si>
    <t>CN Strategy Team_HQ</t>
  </si>
  <si>
    <t>CN Service Dept._HQ</t>
  </si>
  <si>
    <t>CN Player Support Part_HQ</t>
  </si>
  <si>
    <t>CN Esports Biz Part_HQ</t>
  </si>
  <si>
    <t>CN League Ops Part_HQ</t>
  </si>
  <si>
    <t>CN PM Team_HQ</t>
  </si>
  <si>
    <t>SH Office Management Team_HQ</t>
  </si>
  <si>
    <t>IT Part_HQ</t>
  </si>
  <si>
    <t>[N/A] JP Biz Dept.</t>
  </si>
  <si>
    <t>JP Biz Team_HQ</t>
  </si>
  <si>
    <t>JP PUBG Part_HQ</t>
  </si>
  <si>
    <t>[N/A]JP Esports Part_HQ</t>
  </si>
  <si>
    <t>PUBG STUDIOS</t>
  </si>
  <si>
    <t>[N/A] Thunder Level Art Team_HQ</t>
  </si>
  <si>
    <t>[N/A] Thunder Program Team</t>
  </si>
  <si>
    <t>Thunder Content Art Team</t>
  </si>
  <si>
    <t>Dev Team 1</t>
  </si>
  <si>
    <t>Dev Team 2</t>
  </si>
  <si>
    <t>Dev Tool Part</t>
  </si>
  <si>
    <t>[N/A] Dev3 Team</t>
  </si>
  <si>
    <t>[N/A] Dev4 Team</t>
  </si>
  <si>
    <t>[N/A] Dev5 Team</t>
  </si>
  <si>
    <t>[N/A] DevP Team</t>
  </si>
  <si>
    <t>[N/A] DevF Team</t>
  </si>
  <si>
    <t>DevOps Team</t>
  </si>
  <si>
    <t>[N/A] DevOps1 Part</t>
  </si>
  <si>
    <t>DevOps2 Part</t>
  </si>
  <si>
    <t>Platform PM Team</t>
  </si>
  <si>
    <t>[N/A]NS Core Tech Unit</t>
  </si>
  <si>
    <t>[N/A] XD Live Contents Program Team</t>
  </si>
  <si>
    <t>[N/A]NS Core Contents Tech Team</t>
  </si>
  <si>
    <t>[N/A]NS Live Contents Tech Team</t>
  </si>
  <si>
    <t>[N/A]XD Platform PM Cell</t>
  </si>
  <si>
    <t>[N/A] NS Game Design Unit</t>
  </si>
  <si>
    <t>[N/A] XD BM Design Team</t>
  </si>
  <si>
    <t>[N/A] XD Deep Dive Team</t>
  </si>
  <si>
    <t>PUBG QA Part 3</t>
  </si>
  <si>
    <t>Nexus QA Part 3</t>
  </si>
  <si>
    <t>[N/A]NS QA Part 2</t>
  </si>
  <si>
    <t>[N/A]NS Art Unit</t>
  </si>
  <si>
    <t>[N/A]NS World Concept Team</t>
  </si>
  <si>
    <t>[N/A]NS Art PM Team</t>
  </si>
  <si>
    <t>[N/A] XD Cinematic Cell</t>
  </si>
  <si>
    <t>[N/A]NS Animation Team</t>
  </si>
  <si>
    <t>[N/A]NS TA Team</t>
  </si>
  <si>
    <t>[N/A]NS FX Team</t>
  </si>
  <si>
    <t>[N/A] XD TA Part</t>
  </si>
  <si>
    <t>[N/A]NS Character Concept Team</t>
  </si>
  <si>
    <t>[N/A]NS Character Modeling Team</t>
  </si>
  <si>
    <t>[N/A] XD World Level Team</t>
  </si>
  <si>
    <t>[N/A]NS World Team</t>
  </si>
  <si>
    <t>[N/A] XD Outgame Design Cell</t>
  </si>
  <si>
    <t>[N/A] XD Outgame Design 1 Team</t>
  </si>
  <si>
    <t>[N/A] XD Outgame Design 2 Team</t>
  </si>
  <si>
    <t>[N/A]NS Live UI Team</t>
  </si>
  <si>
    <t>Mobile Server Unit</t>
  </si>
  <si>
    <t>[N/A] XD Service Dev Cell</t>
  </si>
  <si>
    <t>MS Support Team</t>
  </si>
  <si>
    <t>[N/A] XD System Dev Team</t>
  </si>
  <si>
    <t>MS Backend Team</t>
  </si>
  <si>
    <t>[N/A] XD DevOps Team</t>
  </si>
  <si>
    <t>[N/A] XD SA Team</t>
  </si>
  <si>
    <t>XD Dev Ops Alpha Part</t>
  </si>
  <si>
    <t>[N/A] XD Data Cell</t>
  </si>
  <si>
    <t>[N/A]XD Data Infra Part</t>
  </si>
  <si>
    <t>[N/A]XD Data Analytics Part</t>
  </si>
  <si>
    <t>[N/A] XD Ingame Design Cell</t>
  </si>
  <si>
    <t>[N/A] XD Balance Design Team</t>
  </si>
  <si>
    <t>[N/A] XD System Design Team</t>
  </si>
  <si>
    <t>[N/A]NS Level Design Team</t>
  </si>
  <si>
    <t>[N/A]NS Level Mode Part</t>
  </si>
  <si>
    <t>[N/A]NS Level Production Part</t>
  </si>
  <si>
    <t>[N/A] XD Engine Dev Unit</t>
  </si>
  <si>
    <t>[N/A]GSE Tech Team</t>
  </si>
  <si>
    <t>[N/A]GSE Platform Team</t>
  </si>
  <si>
    <t>[N/A]GSE Service Team</t>
  </si>
  <si>
    <t>[N/A] ACU Analytics Team</t>
  </si>
  <si>
    <t>[N/A]GSE PM Team</t>
  </si>
  <si>
    <t>[N/A] CD Design Team</t>
  </si>
  <si>
    <t>Translation Dept.</t>
  </si>
  <si>
    <t>Translation Team 1</t>
  </si>
  <si>
    <t>[N/A] Translation3 Team</t>
  </si>
  <si>
    <t>[N/A] CD Production Unit</t>
  </si>
  <si>
    <t>[N/A] CD Game Design Part</t>
  </si>
  <si>
    <t>[N/A] CD PM Team</t>
  </si>
  <si>
    <t>[N/A] Console Dev Mgmt Part</t>
  </si>
  <si>
    <t>[N/A] CD Contents Eng Team</t>
  </si>
  <si>
    <t>[N/A] CD Platform Team</t>
  </si>
  <si>
    <t>[N/A] CD Analytics Team</t>
  </si>
  <si>
    <t>[N/A] New York Dev Unit_HQ</t>
  </si>
  <si>
    <t>PUBG Valor Operations Dept.</t>
  </si>
  <si>
    <t>[N/A] NY Frontend Team_HQ</t>
  </si>
  <si>
    <t>[N/A] NY Production Team_HQ</t>
  </si>
  <si>
    <t>[N/A] NY Communication Team_HQ</t>
  </si>
  <si>
    <t>[N/A] NY Creative Team_HQ</t>
  </si>
  <si>
    <t>[N/A] NY Service Design Team_HQ</t>
  </si>
  <si>
    <t>[N/A] NY QA Team_HQ</t>
  </si>
  <si>
    <t>[N/A] NY Backend Team_HQ</t>
  </si>
  <si>
    <t>A&amp;G Unit_HQ</t>
  </si>
  <si>
    <t>[N/A] A&amp;G Production Team_HQ</t>
  </si>
  <si>
    <t>[N/A] A&amp;G Art Team_HQ</t>
  </si>
  <si>
    <t>[N/A] A&amp;G Art Part_HQ</t>
  </si>
  <si>
    <t>[N/A] A&amp;G Animation Part_HQ</t>
  </si>
  <si>
    <t>[N/A] A&amp;G UX Part_HQ</t>
  </si>
  <si>
    <t>[N/A] A&amp;G Programming Team_HQ</t>
  </si>
  <si>
    <t>[N/A] A&amp;G Gameplay Part_HQ</t>
  </si>
  <si>
    <t>[N/A] A&amp;G Data Team_HQ</t>
  </si>
  <si>
    <t>[N/A] A&amp;G Sound Team_HQ</t>
  </si>
  <si>
    <t>AMS QA Team_HQ</t>
  </si>
  <si>
    <t>Game Tech Unit</t>
  </si>
  <si>
    <t>Contents Tech Team 2</t>
  </si>
  <si>
    <t>Live Tech Team 1</t>
  </si>
  <si>
    <t>Core Tech Unit</t>
  </si>
  <si>
    <t>Engine Tech Team</t>
  </si>
  <si>
    <t>Graphic Tech Team</t>
  </si>
  <si>
    <t>[N/A] Live Production Unit</t>
  </si>
  <si>
    <t>IGU PM Team</t>
  </si>
  <si>
    <t>[N/A] Live Team</t>
  </si>
  <si>
    <t>PUBG L10N Team</t>
  </si>
  <si>
    <t>[N/A] World Dev Unit Seoul</t>
  </si>
  <si>
    <t>World Team 1</t>
  </si>
  <si>
    <t>[N/A] Environment Tech Part</t>
  </si>
  <si>
    <t>[N/A] World Concept Part</t>
  </si>
  <si>
    <t>[N/A] Effect Team</t>
  </si>
  <si>
    <t>Contents Design Team</t>
  </si>
  <si>
    <t>Gunplay &amp; Balance Team</t>
  </si>
  <si>
    <t>World Level Design Team</t>
  </si>
  <si>
    <t>[N/A] China Dev Unit</t>
  </si>
  <si>
    <t>[N/A] China Contents Eng Team</t>
  </si>
  <si>
    <t>[N/A] China Infra Team</t>
  </si>
  <si>
    <t>[N/A] PCC China Character Team</t>
  </si>
  <si>
    <t>[N/A] China Dev Support Team</t>
  </si>
  <si>
    <t>Out-Game Unit</t>
  </si>
  <si>
    <t>Premium Character Cell</t>
  </si>
  <si>
    <t>PCC 3D Art Team</t>
  </si>
  <si>
    <t>PCC Concept Art Team</t>
  </si>
  <si>
    <t>PCC Animation Team</t>
  </si>
  <si>
    <t>[N/A] OGU Dev Cell</t>
  </si>
  <si>
    <t>[N/A] OGU Production Team</t>
  </si>
  <si>
    <t>[NA]Out-Game Design Team</t>
  </si>
  <si>
    <t>[N/A] OGU Backend Team</t>
  </si>
  <si>
    <t>[N/A] OGU Frontend Team</t>
  </si>
  <si>
    <t>[N/A] Premium Dev Cell</t>
  </si>
  <si>
    <t>Premium Sales Team</t>
  </si>
  <si>
    <t>Premium Design Team</t>
  </si>
  <si>
    <t>Premium Dev Team</t>
  </si>
  <si>
    <t>PDC Backend Part</t>
  </si>
  <si>
    <t>Premium PM Team</t>
  </si>
  <si>
    <t>[N/A] PDC Analytics Team</t>
  </si>
  <si>
    <t>BM TF</t>
  </si>
  <si>
    <t>[N/A] WSUS TF</t>
  </si>
  <si>
    <t>[N/A] Esports Dev Unit</t>
  </si>
  <si>
    <t>[N/A] EDU Production Team</t>
  </si>
  <si>
    <t>QA Unit</t>
  </si>
  <si>
    <t>[N/A] Console Live QA Team</t>
  </si>
  <si>
    <t>[N/A]Console Live QA Part</t>
  </si>
  <si>
    <t>[N/A] Production QA Team</t>
  </si>
  <si>
    <t>[N/A] Console Production QA Part</t>
  </si>
  <si>
    <t>[N/A] PC Production QA Part</t>
  </si>
  <si>
    <t>World QA Part</t>
  </si>
  <si>
    <t>Live QA Team</t>
  </si>
  <si>
    <t>[N/A]PC Live QA Part</t>
  </si>
  <si>
    <t>UX Cell</t>
  </si>
  <si>
    <t>[N/A] PCA UX TF</t>
  </si>
  <si>
    <t>[N/A]UI Design Team 1</t>
  </si>
  <si>
    <t>[N/A] Front-end Team</t>
  </si>
  <si>
    <t>[N/A] Front-end Green Part</t>
  </si>
  <si>
    <t>[N/A] Front-end Blue Part</t>
  </si>
  <si>
    <t>UX Design Team</t>
  </si>
  <si>
    <t>UI Engineering Team</t>
  </si>
  <si>
    <t>[N/A] GamePlay Analytics Team</t>
  </si>
  <si>
    <t>[N/A] PMO</t>
  </si>
  <si>
    <t>[N/A] Integration Office</t>
  </si>
  <si>
    <t>EMEA Product Insight Part_HQ</t>
  </si>
  <si>
    <t>EMEA Product Insight Part_TK</t>
  </si>
  <si>
    <t>Data Service Part</t>
  </si>
  <si>
    <t>Text Mining Part</t>
  </si>
  <si>
    <t>[N/A] IN Biz Operations Team_HQ</t>
  </si>
  <si>
    <t>IN Design Team_HQ</t>
  </si>
  <si>
    <t>IN eX Dept._HQ</t>
  </si>
  <si>
    <t>IN Marcom Team_HQ</t>
  </si>
  <si>
    <t>[N/A] Outgame Design1 Part</t>
  </si>
  <si>
    <t>[N/A] Outgame Design2 Part</t>
  </si>
  <si>
    <t>CMO_HQ</t>
  </si>
  <si>
    <t>[N/A] Game Analysis Part</t>
  </si>
  <si>
    <t>Madison Concept Part_HQ</t>
  </si>
  <si>
    <t>Madison Environment Team_HQ</t>
  </si>
  <si>
    <t>Valor Engineering Dept.</t>
  </si>
  <si>
    <t>[N/A] Valor Game Design Team</t>
  </si>
  <si>
    <t>Madison Player Art Part_HQ</t>
  </si>
  <si>
    <t>Madison Shared Lighting &amp; VFX Art Par_HQ</t>
  </si>
  <si>
    <t>Valor Animation &amp; Assets Dept.</t>
  </si>
  <si>
    <t>Valor QA Team</t>
  </si>
  <si>
    <t>[N/A]NS Character Modeling1 Part</t>
  </si>
  <si>
    <t>[N/A]NS Character Modeling2 Part</t>
  </si>
  <si>
    <t>[N/A]NS BM Design Team</t>
  </si>
  <si>
    <t>[N/A] XTRM Marketing Team</t>
  </si>
  <si>
    <t>[N/A] XTRM UA TFT</t>
  </si>
  <si>
    <t>[N/A] Krafton Operations_HQ</t>
  </si>
  <si>
    <t>[N/A] EME Platform_HQ</t>
  </si>
  <si>
    <t>[N/A] EME Tech Team_HQ</t>
  </si>
  <si>
    <t>[N/A] EME Infrastructure_HQ</t>
  </si>
  <si>
    <t>Americas Product Analytics Team_HQ</t>
  </si>
  <si>
    <t>[N/A]PUBGM Translator Team</t>
  </si>
  <si>
    <t>[N/A] XD SRE Team</t>
  </si>
  <si>
    <t>[N/A]Publishing Analytics Team 3</t>
  </si>
  <si>
    <t>[N/A]Publishing Analytics Team 1</t>
  </si>
  <si>
    <t>[N/A] PUBG User Motivation Part</t>
  </si>
  <si>
    <t>[N/A]XTRM Social Media Team</t>
  </si>
  <si>
    <t>[N/A] XTRM Publishing Strategy Team</t>
  </si>
  <si>
    <t>Laboratory</t>
  </si>
  <si>
    <t>Americas XTRM TFT_HQ</t>
  </si>
  <si>
    <t>[N/A] XD General Eng 1 Team</t>
  </si>
  <si>
    <t>[N/A] XD Graphics Eng Team</t>
  </si>
  <si>
    <t>[N/A] XD Data Ops Part</t>
  </si>
  <si>
    <t>[N/A]NS Live PM Team</t>
  </si>
  <si>
    <t>[N/A]HQ Investment Team 1</t>
  </si>
  <si>
    <t>DXE Part</t>
  </si>
  <si>
    <t>SRE Part</t>
  </si>
  <si>
    <t>JP HR&amp;GA Part_HQ</t>
  </si>
  <si>
    <t>C Dept.</t>
  </si>
  <si>
    <t>[N/A] Data Infra Part</t>
  </si>
  <si>
    <t>[N/A] Data Platform 3 Team</t>
  </si>
  <si>
    <t>[N/A] NLP Eng. Part</t>
  </si>
  <si>
    <t>Art Dept.</t>
  </si>
  <si>
    <t>Outside director</t>
  </si>
  <si>
    <t>[N/A] XD Producing Team</t>
  </si>
  <si>
    <t>[N/A] XD R&amp;D TF Team</t>
  </si>
  <si>
    <t>[N/A] XD A&amp;G Design Part</t>
  </si>
  <si>
    <t>[N/A] XD Session Balance Part</t>
  </si>
  <si>
    <t>[N/A]NS BM Character Modeling Team</t>
  </si>
  <si>
    <t>[N/A]XD Character Concept1 Part</t>
  </si>
  <si>
    <t>[N/A]XD Character Concept2 Part</t>
  </si>
  <si>
    <t>[N/A] XD World Modeling1 Part</t>
  </si>
  <si>
    <t>[N/A] XD World Modeling2 Part</t>
  </si>
  <si>
    <t>[N/A] XTRM Launch Campaign TFT</t>
  </si>
  <si>
    <t>[N/A] XTRM Japan TFT</t>
  </si>
  <si>
    <t>[N/A]Mobile Analytics Team</t>
  </si>
  <si>
    <t>[N/A] Mobile Revenue Analytics Team</t>
  </si>
  <si>
    <t>[N/A] Asia PM Team</t>
  </si>
  <si>
    <t>[N/A] SEA Esports Team</t>
  </si>
  <si>
    <t>[N/A]Asia Biz Management Team</t>
  </si>
  <si>
    <t>Audio Post Production Part</t>
  </si>
  <si>
    <t>Audio Tech Team</t>
  </si>
  <si>
    <t>[N/A]Customer Service Planning Part</t>
  </si>
  <si>
    <t>[N/A]Customer Service Ops Part</t>
  </si>
  <si>
    <t>[N/A]Global Legal Dept.</t>
  </si>
  <si>
    <t>[N/A] GLegal Admin US Part</t>
  </si>
  <si>
    <t>Legal Operations Part</t>
  </si>
  <si>
    <t>[N/A] Legal West Team_HQ</t>
  </si>
  <si>
    <t>[N/A] GLegal_IP&amp;Lit Team</t>
  </si>
  <si>
    <t>Legal Japan Part</t>
  </si>
  <si>
    <t>Legal China Part</t>
  </si>
  <si>
    <t>Legal Esports Part</t>
  </si>
  <si>
    <t>Transaction Team 2</t>
  </si>
  <si>
    <t>Global Reg &amp; Privacy Part</t>
  </si>
  <si>
    <t>Legal &amp; Compliance Dept.</t>
  </si>
  <si>
    <t>[N/A] PUBGM Analytics Dept.</t>
  </si>
  <si>
    <t>[N/A] PUBGM Traffic Analytics Team</t>
  </si>
  <si>
    <t>[N/A] PUBGM Revenue Analytics Team</t>
  </si>
  <si>
    <t>[N/A]Americas Content Management Part_HQ</t>
  </si>
  <si>
    <t>EMEA Social Media Part_HQ</t>
  </si>
  <si>
    <t>[N/A] EMEA Growth Team_HQ</t>
  </si>
  <si>
    <t>[N/A] EMEA Growth PM Part_HQ</t>
  </si>
  <si>
    <t>[N/A] EMEA Growth Marketing Part_HQ</t>
  </si>
  <si>
    <t>[N/A] EMEA Community Growth Part_HQ</t>
  </si>
  <si>
    <t>Chairman EA Team</t>
  </si>
  <si>
    <t>[N/A] C4_Action Team</t>
  </si>
  <si>
    <t>[N/A] C4_World Team</t>
  </si>
  <si>
    <t>[N/A] C4_Tech Team</t>
  </si>
  <si>
    <t>[N/A] C4_Art Team</t>
  </si>
  <si>
    <t>[N/A] C4_Character Art Part</t>
  </si>
  <si>
    <t>[N/A] C4_World Art Part</t>
  </si>
  <si>
    <t>[N/A] C4_VFX Part</t>
  </si>
  <si>
    <t>[N/A] XD Web Devops Part</t>
  </si>
  <si>
    <t>[N/A]XTRM Influencer Team</t>
  </si>
  <si>
    <t>CN Esports Part</t>
  </si>
  <si>
    <t>[N/A] CN Communications Team_HQ</t>
  </si>
  <si>
    <t>[N/A] UIUX v2 TF</t>
  </si>
  <si>
    <t>[N/A]LATAM Brand Management Part_HQ</t>
  </si>
  <si>
    <t>[N/A]LATAM Product Marketing Part_HQ</t>
  </si>
  <si>
    <t>[N/A]LATAM BD&amp;BI Part_HQ</t>
  </si>
  <si>
    <t>[N/A] B Team</t>
  </si>
  <si>
    <t>[N/A] Voice Synthesis Team</t>
  </si>
  <si>
    <t>[N/A]Beluga Dev Team</t>
  </si>
  <si>
    <t>[N/A]Beluga Product Team</t>
  </si>
  <si>
    <t>[N/A] NA Product Management Part_HQ</t>
  </si>
  <si>
    <t>[N/A] BV Game Play Eng. Team</t>
  </si>
  <si>
    <t>[N/A] BV Game System Eng. Team</t>
  </si>
  <si>
    <t>[N/A]V_Concept Team</t>
  </si>
  <si>
    <t>V_Character Team</t>
  </si>
  <si>
    <t>V_Animation Team</t>
  </si>
  <si>
    <t>[N/A] V_Hard Surface Team</t>
  </si>
  <si>
    <t>[N/A]V_Environments Team</t>
  </si>
  <si>
    <t>[N/A] V_VFX Team</t>
  </si>
  <si>
    <t>[N/A] V_UI&amp;UX Team</t>
  </si>
  <si>
    <t>[N/A]V_Camera Team</t>
  </si>
  <si>
    <t>[N/A]VRD Prototyping Team</t>
  </si>
  <si>
    <t>[N/A] V_Code Team</t>
  </si>
  <si>
    <t>V_PM Team</t>
  </si>
  <si>
    <t>Motion Capture Part</t>
  </si>
  <si>
    <t>KRAFTON Producer Guild</t>
  </si>
  <si>
    <t>[N/A]Pathfinders Team</t>
  </si>
  <si>
    <t>[N/A]Producer Network</t>
  </si>
  <si>
    <t>[N/A] PUBG Universe Creative Team</t>
  </si>
  <si>
    <t>[N/A]XTRM Global Biz Part</t>
  </si>
  <si>
    <t>[N/A] XTRM Anti-cheat TFT</t>
  </si>
  <si>
    <t>[N/A] XD BM Concept Design Part</t>
  </si>
  <si>
    <t>[N/A] XD Platform Support Part</t>
  </si>
  <si>
    <t>L10N Producer Part</t>
  </si>
  <si>
    <t>L10N Engineering Part</t>
  </si>
  <si>
    <t>[N/A] Frost UI Design Part</t>
  </si>
  <si>
    <t>[N/A] NA Web Part_HQ</t>
  </si>
  <si>
    <t>[N/A] NA Tech Global Accounts Part_HQ</t>
  </si>
  <si>
    <t>[N/A] Americas Publishing Dept._HQ</t>
  </si>
  <si>
    <t>[N/A] NA Mobile Marketing Part_HQ</t>
  </si>
  <si>
    <t>[N/A] NA PC Marketing Part_HQ</t>
  </si>
  <si>
    <t>[N/A] Americas Esports Marketing Part_HQ</t>
  </si>
  <si>
    <t>[N/A] Americas Esports League Ops Part_H</t>
  </si>
  <si>
    <t>[N/A] Americas Esports Player Management</t>
  </si>
  <si>
    <t>[N/A] Corp. Legal Team</t>
  </si>
  <si>
    <t>[N/A]Compliance Dept.</t>
  </si>
  <si>
    <t>India Div._HQ</t>
  </si>
  <si>
    <t>[N/A] India&amp;MENA Corp. Dev. Dept._HQ</t>
  </si>
  <si>
    <t>[N/A]XD UA Part</t>
  </si>
  <si>
    <t>[N/A] XD Anti-cheat Part</t>
  </si>
  <si>
    <t>[N/A]Contents Dev Cell</t>
  </si>
  <si>
    <t>[N/A] Game research center</t>
  </si>
  <si>
    <t>CN Service PM Team_HQ</t>
  </si>
  <si>
    <t>[N/A] XTRM Creative Team</t>
  </si>
  <si>
    <t>[N/A]New State Analytics Team</t>
  </si>
  <si>
    <t>[N/A] Data Dev Team</t>
  </si>
  <si>
    <t>[N/A]NS Web Contents Dev Team</t>
  </si>
  <si>
    <t>[N/A]NS Live Design Team</t>
  </si>
  <si>
    <t>[N/A]NS Service Design Part</t>
  </si>
  <si>
    <t>[N/A] XD Contents Design Team</t>
  </si>
  <si>
    <t>[N/A]NS Tech Team</t>
  </si>
  <si>
    <t>[N/A] XD Art R&amp;D Team</t>
  </si>
  <si>
    <t>[N/A]XD Data Dev Part</t>
  </si>
  <si>
    <t>In-Game Unit</t>
  </si>
  <si>
    <t>World Team 2</t>
  </si>
  <si>
    <t>Environment Team</t>
  </si>
  <si>
    <t>Contents Concept Team</t>
  </si>
  <si>
    <t>[N/A] IGU_D Mode Part</t>
  </si>
  <si>
    <t>[N/A]Esports Production Team</t>
  </si>
  <si>
    <t>Game Tech Cell</t>
  </si>
  <si>
    <t>Contents Tech Team 1</t>
  </si>
  <si>
    <t>[N/A] Contents Dev Part</t>
  </si>
  <si>
    <t>[N/A] China Contents Dev Part</t>
  </si>
  <si>
    <t>V_Rendering Team</t>
  </si>
  <si>
    <t>[N/A] Service Planning Part</t>
  </si>
  <si>
    <t>[N/A] Promotion Planning Part</t>
  </si>
  <si>
    <t>[N/A]Global Marketing Team</t>
  </si>
  <si>
    <t>Creative Producer Team</t>
  </si>
  <si>
    <t>Creative Project Management Team</t>
  </si>
  <si>
    <t>[N/A] Creative Cinematic Team</t>
  </si>
  <si>
    <t>[N/A] V_TA_A Team</t>
  </si>
  <si>
    <t>[N/A] V_TA_B Team</t>
  </si>
  <si>
    <t>[N/A] V_PC Part</t>
  </si>
  <si>
    <t>[N/A] V_NPC Part</t>
  </si>
  <si>
    <t>[N/A]Asset Library Team</t>
  </si>
  <si>
    <t>[N/A] ECD Production Management Team</t>
  </si>
  <si>
    <t>[N/A]GSE Anomaly Detection Team</t>
  </si>
  <si>
    <t>[N/A] XD Cinematic Animation Team</t>
  </si>
  <si>
    <t>[N/A] XD Cinematic Production Team</t>
  </si>
  <si>
    <t>[N/A] XD Cinematic Modeling Team</t>
  </si>
  <si>
    <t>[N/A] XD Cinematic Animation 1 Part</t>
  </si>
  <si>
    <t>[N/A] XD Cinematic Animation 2 Part</t>
  </si>
  <si>
    <t>[N/A] XD Cinematic Rigging Part</t>
  </si>
  <si>
    <t>[N/A] XD Cinematic Modeling 1 Part</t>
  </si>
  <si>
    <t>[N/A] XD Cinematic Modeling 2 Part</t>
  </si>
  <si>
    <t>[N/A] XD Anti-Cheat Team</t>
  </si>
  <si>
    <t>[N/A]NS QA Part 3</t>
  </si>
  <si>
    <t>[N/A]NS Live Tech2 Team</t>
  </si>
  <si>
    <t>[N/A] XD Marketing Asset Part</t>
  </si>
  <si>
    <t>[N/A] XD General Eng 2 Team</t>
  </si>
  <si>
    <t>[N/A]Growth&amp;Innovation Team</t>
  </si>
  <si>
    <t>[N/A] Corp. Development Strategy Team -</t>
  </si>
  <si>
    <t>[N/A] BV Core Game Design Team</t>
  </si>
  <si>
    <t>[N/A] BV Meta Game Design Team</t>
  </si>
  <si>
    <t>[N/A] BV Technical Game Design Team</t>
  </si>
  <si>
    <t>[N/A] BV UI Design Team</t>
  </si>
  <si>
    <t>[N/A] BV Level Design Team</t>
  </si>
  <si>
    <t>[N/A] BV_PC Part</t>
  </si>
  <si>
    <t>[N/A] BV_NPC Part</t>
  </si>
  <si>
    <t>[N/A] BV_World Part</t>
  </si>
  <si>
    <t>[N/A] BV_Architecture Part</t>
  </si>
  <si>
    <t>[N/A] BV_Prop Part</t>
  </si>
  <si>
    <t>[N/A] BV_Gameplay Part</t>
  </si>
  <si>
    <t>[N/A] BV_Narrative Part</t>
  </si>
  <si>
    <t>[N/A] BV_Lighting Team</t>
  </si>
  <si>
    <t>[N/A] BV_TA_A Team</t>
  </si>
  <si>
    <t>[N/A] BV_TA_B Team</t>
  </si>
  <si>
    <t>[N/A] BV_Code Team</t>
  </si>
  <si>
    <t>[N/A] BV_Production Team</t>
  </si>
  <si>
    <t>[N/A] BV_Cinema Team</t>
  </si>
  <si>
    <t>[N/A] BV_Hard Surface Team</t>
  </si>
  <si>
    <t>[N/A] BV_Weapon Part</t>
  </si>
  <si>
    <t>[N/A] BV_Vehicle Part</t>
  </si>
  <si>
    <t>[N/A] T Service Part</t>
  </si>
  <si>
    <t>[N/A] CN Marketing Part_HQ</t>
  </si>
  <si>
    <t>[N/A]Asia Publishing Dept.</t>
  </si>
  <si>
    <t>[N/A]Asia PUBG Publishing Team</t>
  </si>
  <si>
    <t>[N/A]Asia New State Publishing Team</t>
  </si>
  <si>
    <t>[N/A] MY Biz Part</t>
  </si>
  <si>
    <t>[N/A]AMT Production Part_HQ</t>
  </si>
  <si>
    <t>[N/A] NA Tech Product Management Part_HQ</t>
  </si>
  <si>
    <t>Valor Production Team</t>
  </si>
  <si>
    <t>Out-Game PM Team</t>
  </si>
  <si>
    <t>[N/A] F2P TF</t>
  </si>
  <si>
    <t>PUBG QA Team 2</t>
  </si>
  <si>
    <t>PUBG QA Team 1</t>
  </si>
  <si>
    <t>Release QA Part 1</t>
  </si>
  <si>
    <t>Release QA Part 2</t>
  </si>
  <si>
    <t>PUBG QA Part 1</t>
  </si>
  <si>
    <t>PUBG QA Part 2</t>
  </si>
  <si>
    <t>[N/A] NS Web Contents Tech Team</t>
  </si>
  <si>
    <t>[N/A] NS Web Contents Design Team</t>
  </si>
  <si>
    <t>[N/A] XD Web Server Tech Team</t>
  </si>
  <si>
    <t>[N/A] XTRM Global MKT Part</t>
  </si>
  <si>
    <t>[N/A] XTRM UA Analytics Part</t>
  </si>
  <si>
    <t>JP New State Part_HQ</t>
  </si>
  <si>
    <t>[N/A] HQ Translation Part</t>
  </si>
  <si>
    <t>[N/A]ME MKT Strategy Team</t>
  </si>
  <si>
    <t>[N/A]Creative Strategy &amp; Operations Dept</t>
  </si>
  <si>
    <t>[N/A]DTF</t>
  </si>
  <si>
    <t>[N/A]Game Industry Insights Part</t>
  </si>
  <si>
    <t>[N/A]KRAFTON ID Team_HQ</t>
  </si>
  <si>
    <t>[N/A]NA Tech Team</t>
  </si>
  <si>
    <t>[N/A]Americas Marketing Tech Team_HQ</t>
  </si>
  <si>
    <t>Seoungsu2 322-11</t>
  </si>
  <si>
    <t>[N/A]AMT Backend Part_HQ</t>
  </si>
  <si>
    <t>[N/A]AMT Frontend Part_HQ</t>
  </si>
  <si>
    <t>Americas Engineering Contractors Part_HQ</t>
  </si>
  <si>
    <t>[N/A]GSE Solution Dev Part</t>
  </si>
  <si>
    <t>[N/A]GSE Reverse Eng Part</t>
  </si>
  <si>
    <t>[N/A]AC Mobile Eng Part</t>
  </si>
  <si>
    <t>[N/A] AC Ops Part</t>
  </si>
  <si>
    <t>[N/A] AC Mobile Ops Part</t>
  </si>
  <si>
    <t>[N/A]Memory Optimization TF</t>
  </si>
  <si>
    <t>[N/A]XD Ingame VF Part</t>
  </si>
  <si>
    <t>[N/A] EMEA PC&amp;Console PM Part_HQ</t>
  </si>
  <si>
    <t>[N/A] EMEA Mobile PM Part_HQ</t>
  </si>
  <si>
    <t>[N/A] EMEA Product Marketing Part_HQ</t>
  </si>
  <si>
    <t>MENA Publishing Part_HQ</t>
  </si>
  <si>
    <t>[N/A] MEA Publishing Part_HQ</t>
  </si>
  <si>
    <t>[N/A] XTRM India Biz TF</t>
  </si>
  <si>
    <t>India PR Team_HQ</t>
  </si>
  <si>
    <t>[N/A] Global Operations Div.</t>
  </si>
  <si>
    <t>[N/A] G-star2021 TF</t>
  </si>
  <si>
    <t>PUBG Publisihng Dept._TW</t>
  </si>
  <si>
    <t>PUBG Esports Dept._TW</t>
  </si>
  <si>
    <t>[N/A] Beluga Customer Experience Part</t>
  </si>
  <si>
    <t>[N/A]Beluga Design Part</t>
  </si>
  <si>
    <t>[N/A]Beluga Insight Part</t>
  </si>
  <si>
    <t>[N/A]A3 Team</t>
  </si>
  <si>
    <t>E3 Team</t>
  </si>
  <si>
    <t>[N/A]Special Project ll</t>
  </si>
  <si>
    <t>PUBGM Operations &amp; Coordination Team_HQ</t>
  </si>
  <si>
    <t>[N/A]PUBGM KR Biz Team</t>
  </si>
  <si>
    <t>[N/A] E2022 TFT</t>
  </si>
  <si>
    <t>[N/A]XTRM Live Biz Part</t>
  </si>
  <si>
    <t>[N/A]XTRM Live Ops Part</t>
  </si>
  <si>
    <t>[N/A]Asia BD Part</t>
  </si>
  <si>
    <t>[N/A]Asia Translator Part</t>
  </si>
  <si>
    <t>JP PUBGM Creative Team_HQ</t>
  </si>
  <si>
    <t>[N/A]In-Game Contents Part</t>
  </si>
  <si>
    <t>PCC Weapon &amp; Vehicle Team</t>
  </si>
  <si>
    <t>UI Design Team</t>
  </si>
  <si>
    <t>[N/A]NS Outgame Art Part</t>
  </si>
  <si>
    <t>PBB Seoul Unit_HQ</t>
  </si>
  <si>
    <t>PBB AMS Unit_HQ</t>
  </si>
  <si>
    <t>[N/A]Asia New State Publishing Team_TW</t>
  </si>
  <si>
    <t>XTRM Marketing Team_TW</t>
  </si>
  <si>
    <t>[N/A]Corporate Legal Team</t>
  </si>
  <si>
    <t>Corporate Governance Part</t>
  </si>
  <si>
    <t>Transaction Team 1</t>
  </si>
  <si>
    <t>Regulatory &amp; Corporate Governance Team</t>
  </si>
  <si>
    <t>[N/A]Regulatory Team</t>
  </si>
  <si>
    <t>Game Analysis Team</t>
  </si>
  <si>
    <t>Interior B Team</t>
  </si>
  <si>
    <t>[N/A]SPX Team</t>
  </si>
  <si>
    <t>[N/A] XD Live Producing Part</t>
  </si>
  <si>
    <t>[N/A]NS Asset Producing Part</t>
  </si>
  <si>
    <t>[N/A] XD Contents System Part</t>
  </si>
  <si>
    <t>[N/A] XD Contents Balance Part</t>
  </si>
  <si>
    <t>[N/A] NS SA Part</t>
  </si>
  <si>
    <t>[N/A] XD Network Security Part</t>
  </si>
  <si>
    <t>[N/A]Esports Dev &amp; League Ops Team</t>
  </si>
  <si>
    <t>[N/A]Beluga Dev Tool Part</t>
  </si>
  <si>
    <t>[N/A]Tutorial TF</t>
  </si>
  <si>
    <t>[N/A] Program Management Team</t>
  </si>
  <si>
    <t>[N/A] XTRM Communication Cell</t>
  </si>
  <si>
    <t>[N/A] Agit TF</t>
  </si>
  <si>
    <t>[N/A] XTRM NA biz Team</t>
  </si>
  <si>
    <t>EMEA Product Management Part_HQ</t>
  </si>
  <si>
    <t>[N/A]Asia New State PM Part</t>
  </si>
  <si>
    <t>[N/A]Asia New State MKT Part</t>
  </si>
  <si>
    <t>[N/A] Chatbot Part</t>
  </si>
  <si>
    <t>[N/A] Vision and Animation Part</t>
  </si>
  <si>
    <t>Compliance Team</t>
  </si>
  <si>
    <t>[N/A] Cross-border Part</t>
  </si>
  <si>
    <t>[N/A]IP Part</t>
  </si>
  <si>
    <t>People Dept.</t>
  </si>
  <si>
    <t>[N/A] ECD KR Content Production Team</t>
  </si>
  <si>
    <t>[N/A]Story Development Part</t>
  </si>
  <si>
    <t>[N/A]ECD NA Content Production Team_HQ</t>
  </si>
  <si>
    <t>[N/A]PUBGU KR PM Part_HQ</t>
  </si>
  <si>
    <t>[N/A]PUBGU NA PM Part_HQ</t>
  </si>
  <si>
    <t>[N/A] PUBGU-Game Alignment Part</t>
  </si>
  <si>
    <t>[N/A]Contents Effect Part</t>
  </si>
  <si>
    <t>[N/A]NS World Cell</t>
  </si>
  <si>
    <t>[N/A] XD Create World 1 Part</t>
  </si>
  <si>
    <t>[N/A] XD Create World 2 Part</t>
  </si>
  <si>
    <t>[N/A] XD Create World 3 Part</t>
  </si>
  <si>
    <t>[N/A]XD Android Platform PM Team</t>
  </si>
  <si>
    <t>[N/A]XD iOS Platform PM Team</t>
  </si>
  <si>
    <t>[N/A]XD Service Platform PM Team</t>
  </si>
  <si>
    <t>[N/A] XD Session Play Part</t>
  </si>
  <si>
    <t>[N/A] XD Dev Planning Team</t>
  </si>
  <si>
    <t>[N/A] XD Service Planning Team</t>
  </si>
  <si>
    <t>PUBG Research Center</t>
  </si>
  <si>
    <t>[N/A] C-Team</t>
  </si>
  <si>
    <t>[N/A]Z3 Team</t>
  </si>
  <si>
    <t>JP Finance Part_HQ</t>
  </si>
  <si>
    <t>[N/A]Data Platform Team</t>
  </si>
  <si>
    <t>[N/A]Data Infra Part</t>
  </si>
  <si>
    <t>[N/A]Data Mgmt Part</t>
  </si>
  <si>
    <t>[N/A]Data Intelligence Team</t>
  </si>
  <si>
    <t>CN Community Team_HQ</t>
  </si>
  <si>
    <t>CN Contents Team_HQ</t>
  </si>
  <si>
    <t>[N/A]Program Mgmt Team</t>
  </si>
  <si>
    <t>[N/A]C Team</t>
  </si>
  <si>
    <t>PT Team</t>
  </si>
  <si>
    <t>PrototypingA Part</t>
  </si>
  <si>
    <t>PrototypingB Part</t>
  </si>
  <si>
    <t>[N/A] BV GE TA Part</t>
  </si>
  <si>
    <t>[N/A] BV GE Engineering Part</t>
  </si>
  <si>
    <t>[N/A] BV GPE Action Part</t>
  </si>
  <si>
    <t>[N/A] BV GPE Vehicle Part</t>
  </si>
  <si>
    <t>[N/A] BV GPE AI Part</t>
  </si>
  <si>
    <t>[N/A] BV GPE Opt Part</t>
  </si>
  <si>
    <t>[N/A] BV GSE Meta Part</t>
  </si>
  <si>
    <t>[N/A] BV GSE World Part</t>
  </si>
  <si>
    <t>[N/A] BV Tech UI Part</t>
  </si>
  <si>
    <t>[N/A] BV Tech Backend Part</t>
  </si>
  <si>
    <t>[N/A] BV Tech Tool Part</t>
  </si>
  <si>
    <t>Madison Gameplay Engineering 1 Part_HQ</t>
  </si>
  <si>
    <t>Madison Gameplay Engineering 2 Part_HQ</t>
  </si>
  <si>
    <t>Madison Env Art Part_HQ</t>
  </si>
  <si>
    <t>Madison Env Art 2 Part_HQ</t>
  </si>
  <si>
    <t>[N/A] Madison VFX Part_HQ</t>
  </si>
  <si>
    <t>Madison IT Part_HQ</t>
  </si>
  <si>
    <t>[N/A]Valor Animation Systems Part_HQ</t>
  </si>
  <si>
    <t>Valor Animation Team 2_HQ</t>
  </si>
  <si>
    <t>Valor Mocap Part</t>
  </si>
  <si>
    <t>Madison Systems Animation Part_HQ</t>
  </si>
  <si>
    <t>Madison Design 1 Part_HQ</t>
  </si>
  <si>
    <t>Madison Design 2 Part_HQ</t>
  </si>
  <si>
    <t>Madison UX UI Team_HQ</t>
  </si>
  <si>
    <t>Madison Techart Team_HQ</t>
  </si>
  <si>
    <t>[N/A] XD Optimization TF Team</t>
  </si>
  <si>
    <t>[N/A]NS Character Cell</t>
  </si>
  <si>
    <t>[N/A]MoonBreaker Publishing Team_HQ</t>
  </si>
  <si>
    <t>Glegal India Part_HQ</t>
  </si>
  <si>
    <t>[N/A] Web 3.0 Roundtable Team</t>
  </si>
  <si>
    <t>[N/A]Americas Brand Marketing Part_HQ</t>
  </si>
  <si>
    <t>Americas Brand Marketing 1 Part_HQ</t>
  </si>
  <si>
    <t>[N/A]MB Project Management Team</t>
  </si>
  <si>
    <t>[N/A] ECD Game Synergy Team</t>
  </si>
  <si>
    <t>Privacy Team</t>
  </si>
  <si>
    <t>Creative Cinematic Dept.</t>
  </si>
  <si>
    <t>Cinematic Production Team</t>
  </si>
  <si>
    <t>[N/A] Virtual Interactive Lab Team</t>
  </si>
  <si>
    <t>[N/A] Virtual Animation Part</t>
  </si>
  <si>
    <t>[N/A] Virtual Character Part</t>
  </si>
  <si>
    <t>[N/A] Virtual World Part</t>
  </si>
  <si>
    <t>Creative Americas Video Part</t>
  </si>
  <si>
    <t>[N/A] Affiliate Accounting Team</t>
  </si>
  <si>
    <t>[N/A]Asia New State Communication Part</t>
  </si>
  <si>
    <t>Contents Tech Art Team</t>
  </si>
  <si>
    <t>Contents Tech Team 3</t>
  </si>
  <si>
    <t>[N/A] OVERDARE Dept.</t>
  </si>
  <si>
    <t>OVDR Biz &amp; Ops Team</t>
  </si>
  <si>
    <t>OVDR Settlus Dept.</t>
  </si>
  <si>
    <t>[N/A] OVDR Content Product Cell</t>
  </si>
  <si>
    <t>[N/A] OVDR Content Dev Team</t>
  </si>
  <si>
    <t>OVDR Art Dept.</t>
  </si>
  <si>
    <t>OVDR OTW Dept.</t>
  </si>
  <si>
    <t>[N/A]Project NC Team</t>
  </si>
  <si>
    <t>PBB_A Art Cell_HQ</t>
  </si>
  <si>
    <t>PBB_A Content Art Team_HQ</t>
  </si>
  <si>
    <t>PBB_A Env Team 1_HQ</t>
  </si>
  <si>
    <t>PBB_A Env Team 2_HQ</t>
  </si>
  <si>
    <t>PBB Design Cell</t>
  </si>
  <si>
    <t>PBB_A Level Design Team_HQ</t>
  </si>
  <si>
    <t>PBB_A Game Design Team_HQ</t>
  </si>
  <si>
    <t>PBB_A Narrative Design Team</t>
  </si>
  <si>
    <t>PBB_A Tech Art Cell_HQ</t>
  </si>
  <si>
    <t>PBB_A Sound Team_HQ</t>
  </si>
  <si>
    <t>PBB_A Animation Cell_HQ</t>
  </si>
  <si>
    <t>PBB_A Creature Animation Team_HQ</t>
  </si>
  <si>
    <t>PBB_A Human Animation Team_HQ</t>
  </si>
  <si>
    <t>PBB_A Tech Cell_HQ</t>
  </si>
  <si>
    <t>PBB_A Programming AMS Team_HQ</t>
  </si>
  <si>
    <t>PBB_A Programming Porto Team_HQ</t>
  </si>
  <si>
    <t>[N/A]Asia Sourcing Dept.</t>
  </si>
  <si>
    <t>[N/A]KR Sourcing Team 2</t>
  </si>
  <si>
    <t>[N/A]KR Sourcing Team 1</t>
  </si>
  <si>
    <t>[N/A] Principal Investing Part</t>
  </si>
  <si>
    <t>HQ Investment Management Team</t>
  </si>
  <si>
    <t>[N/A]EMEA Live OPS Team_HQ</t>
  </si>
  <si>
    <t>[N/A]EMEA Live OPS Team_TK</t>
  </si>
  <si>
    <t>EMEA L10N Part_HQ</t>
  </si>
  <si>
    <t>EMEA L10N Part_TK</t>
  </si>
  <si>
    <t>[N/A]EMEA Live OPS Part_HQ</t>
  </si>
  <si>
    <t>[N/A]EMEA Live OPS Part_TK</t>
  </si>
  <si>
    <t>EU MKT Part_HQ</t>
  </si>
  <si>
    <t>EU MKT Part_TK</t>
  </si>
  <si>
    <t>EU Publishing Part_HQ</t>
  </si>
  <si>
    <t>EU Community Development Part_TK</t>
  </si>
  <si>
    <t>PBB_A QA Team_HQ</t>
  </si>
  <si>
    <t>[N/A]Americas Product Management Part_HQ</t>
  </si>
  <si>
    <t>IT Procurement Team_budget</t>
  </si>
  <si>
    <t>[N/A]Strategic Investment Team</t>
  </si>
  <si>
    <t>[N/A]Applied DL Team</t>
  </si>
  <si>
    <t>[N/A] OGU Vehicle Skin TF</t>
  </si>
  <si>
    <t>[N/A]NA Film&amp;TV Partnerships Part</t>
  </si>
  <si>
    <t>[N/A]KR Film&amp;TV Partnerships Part</t>
  </si>
  <si>
    <t>Transmedia Partnerships Team</t>
  </si>
  <si>
    <t>[N/A]Asia MKT TF</t>
  </si>
  <si>
    <t>[N/A]Ingame UX TF</t>
  </si>
  <si>
    <t>[N/A] Lobby Customize TF</t>
  </si>
  <si>
    <t>AI Research Div.</t>
  </si>
  <si>
    <t>[N/A]Foundation Model Research Team</t>
  </si>
  <si>
    <t>[N/A]AI Project Initiative Office</t>
  </si>
  <si>
    <t>[N/A] Moonbreaker EMEA TFT_HQ</t>
  </si>
  <si>
    <t>CIS Publishing Part_HQ</t>
  </si>
  <si>
    <t>CIS MKT Part_HQ</t>
  </si>
  <si>
    <t>MENA MKT Part_HQ</t>
  </si>
  <si>
    <t>Unknown Worlds_HQ</t>
  </si>
  <si>
    <t>India Biz Div._HQ</t>
  </si>
  <si>
    <t>[N/A]Publishing Strategy &amp; Operations Te</t>
  </si>
  <si>
    <t>[N/A]Esports Strategy &amp; Operations Team</t>
  </si>
  <si>
    <t>[N/A] PUBGM Esports Part</t>
  </si>
  <si>
    <t>[N/A] Esports Global Management Team</t>
  </si>
  <si>
    <t>[N/A]Esports Partnerships &amp; Community Te</t>
  </si>
  <si>
    <t>IN Esports Team_HQ</t>
  </si>
  <si>
    <t>IN BD Part_HQ</t>
  </si>
  <si>
    <t>IN PM Team _HQ</t>
  </si>
  <si>
    <t>[N/A]Marketing Dept.</t>
  </si>
  <si>
    <t>[NA]PUBG Marketing Dept.</t>
  </si>
  <si>
    <t>[N/A] PUBG MKT Team</t>
  </si>
  <si>
    <t>[N/A]Brand Management Team 2</t>
  </si>
  <si>
    <t>[N/A] Brand Management Team 3</t>
  </si>
  <si>
    <t>[N/A] Communication Strategy Team</t>
  </si>
  <si>
    <t>[N/A] Community Team</t>
  </si>
  <si>
    <t>[N/A] Brand Management Team</t>
  </si>
  <si>
    <t>[N/A]Product Marketing Dept. 2</t>
  </si>
  <si>
    <t>[N/A]Digital Marketing Team</t>
  </si>
  <si>
    <t>[N/A]Digital Marketing Team 2</t>
  </si>
  <si>
    <t>[N/A]Marketing Platform Design Team</t>
  </si>
  <si>
    <t>[N/A] Live Ops Team</t>
  </si>
  <si>
    <t>[N/A]Live Ops1 Team</t>
  </si>
  <si>
    <t>[N/A] Mobile Live Ops Part</t>
  </si>
  <si>
    <t>[N/A]Live Ops Part</t>
  </si>
  <si>
    <t>Publishing Business Div.</t>
  </si>
  <si>
    <t>[N/A] Publishing Group</t>
  </si>
  <si>
    <t>[NA]PUBG Product Management Dept.</t>
  </si>
  <si>
    <t>[N/A]Product Management Dept. 2</t>
  </si>
  <si>
    <t>[N/A] PUBGM Global Management Team</t>
  </si>
  <si>
    <t>[N/A] Product Management Dept. 3</t>
  </si>
  <si>
    <t>Product Management Part</t>
  </si>
  <si>
    <t>Region Product Management Part</t>
  </si>
  <si>
    <t>Publishing QA Dept.</t>
  </si>
  <si>
    <t>[N/A]Publishing Platform PM Team</t>
  </si>
  <si>
    <t>Financial Strategy Dept.</t>
  </si>
  <si>
    <t>[N/A]In-Depth Review Part</t>
  </si>
  <si>
    <t>East Translation Team</t>
  </si>
  <si>
    <t>[N/A]EN Translation Part</t>
  </si>
  <si>
    <t>[N/A]CN Translation Part</t>
  </si>
  <si>
    <t>[N/A]JP Translation Part</t>
  </si>
  <si>
    <t>[N/A] Asia PUBG Biz Part</t>
  </si>
  <si>
    <t>PUBGM KR Operations Team</t>
  </si>
  <si>
    <t>[N/A]Corp Strategy Team</t>
  </si>
  <si>
    <t>PBB_S Contents Engineering Team</t>
  </si>
  <si>
    <t>PBB_S Out-Game Design Team</t>
  </si>
  <si>
    <t>PBB_S World Art Team</t>
  </si>
  <si>
    <t>[N/A] Global Operations Planning Team</t>
  </si>
  <si>
    <t>PBB Core Tech Team</t>
  </si>
  <si>
    <t>[N/A] Global Project Management Team</t>
  </si>
  <si>
    <t>Americas Office Management Dept.</t>
  </si>
  <si>
    <t>[N/A]PBB Audio Tech Part</t>
  </si>
  <si>
    <t>[N/A]Global Project Management Team</t>
  </si>
  <si>
    <t>[N/A]Asia Office Management Dept.</t>
  </si>
  <si>
    <t>[N/A]Newbie Retention TF</t>
  </si>
  <si>
    <t>[N/A] Epic Games Store TF</t>
  </si>
  <si>
    <t>[N/A]Gunplay TF Team</t>
  </si>
  <si>
    <t>[N/A]NS Service System 1 Part</t>
  </si>
  <si>
    <t>[N/A]NS Service System 2 Part</t>
  </si>
  <si>
    <t>SEA Ops Team_HQ</t>
  </si>
  <si>
    <t>Taiwan Operations Part</t>
  </si>
  <si>
    <t>[N/A] Virtual Production Part</t>
  </si>
  <si>
    <t>Brand Creative Dept.</t>
  </si>
  <si>
    <t>[N/A]China Office Management Dept.</t>
  </si>
  <si>
    <t>[N/A]EMEA Office Management Dept.</t>
  </si>
  <si>
    <t>[N/A]India Office Management Dept.</t>
  </si>
  <si>
    <t>[N/A]IN Corp. Operation Team</t>
  </si>
  <si>
    <t>Creative Americas Sound Part</t>
  </si>
  <si>
    <t>[N/A]Brand Creative Design Team</t>
  </si>
  <si>
    <t>Video Creative Part</t>
  </si>
  <si>
    <t>Motion Creative Part</t>
  </si>
  <si>
    <t>Sound Creative Part</t>
  </si>
  <si>
    <t>Capture Artist Creative Part</t>
  </si>
  <si>
    <t>SEA Ops Team_TH</t>
  </si>
  <si>
    <t>[N/A]Americas Video Creative Part_HQ</t>
  </si>
  <si>
    <t>[N/A]Americas Design Creative Part_HQ</t>
  </si>
  <si>
    <t>Workplace Team</t>
  </si>
  <si>
    <t>Welfare Team</t>
  </si>
  <si>
    <t>Property Team</t>
  </si>
  <si>
    <t>[N/A]Americas Dev Relations Team</t>
  </si>
  <si>
    <t>Europe Dev Relations Team</t>
  </si>
  <si>
    <t>[N/A]Beluga Biz Team</t>
  </si>
  <si>
    <t>[N/A]Beluga Backend Part</t>
  </si>
  <si>
    <t>[N/A]Beluga Frontend Part</t>
  </si>
  <si>
    <t>[N/A]Beluga Voice Part</t>
  </si>
  <si>
    <t>OVDR Character Concept Team</t>
  </si>
  <si>
    <t>OVDR Character Modeling 1 Part</t>
  </si>
  <si>
    <t>OVDR World Concept Team</t>
  </si>
  <si>
    <t>[N/A]MGL World Modeling 1 Part</t>
  </si>
  <si>
    <t>OVDR Animator Part</t>
  </si>
  <si>
    <t>OVDR VFX Team_HQ</t>
  </si>
  <si>
    <t>OVDR TA Team</t>
  </si>
  <si>
    <t>OVDR Art PM Team</t>
  </si>
  <si>
    <t>OVDR Engine DEV Team</t>
  </si>
  <si>
    <t>OVDR Creator Studio DEV Team</t>
  </si>
  <si>
    <t>[N/A]SBX Content Dev Part</t>
  </si>
  <si>
    <t>[N/A]OVDR Service DEV Team</t>
  </si>
  <si>
    <t>OVDR DevOps Team</t>
  </si>
  <si>
    <t>MGL Support Team</t>
  </si>
  <si>
    <t>[N/A]PUBG PM1 Part</t>
  </si>
  <si>
    <t>[N/A]PUBG PM1 Part 2</t>
  </si>
  <si>
    <t>[N/A]PUBG CM Part</t>
  </si>
  <si>
    <t>PBB_S QA Team</t>
  </si>
  <si>
    <t>[N/A]NS Core Play Design Team</t>
  </si>
  <si>
    <t>[N/A]NS Flow Design Team</t>
  </si>
  <si>
    <t>[N/A]NS System Design Part</t>
  </si>
  <si>
    <t>[N/A]NS Session Design Part</t>
  </si>
  <si>
    <t>[N/A]NS Engine Team</t>
  </si>
  <si>
    <t>[N/A] NS Platform Team</t>
  </si>
  <si>
    <t>[N/A]Madison IT Part</t>
  </si>
  <si>
    <t>[N/A]Madison Shared IT Part</t>
  </si>
  <si>
    <t>[N/A]Space Engineering Team</t>
  </si>
  <si>
    <t>[N/A] Publishing Planning Dept.</t>
  </si>
  <si>
    <t>[N/A] CCA TFT</t>
  </si>
  <si>
    <t>[N/A]SBX PMO Team</t>
  </si>
  <si>
    <t>[N/A] MGL Production Team</t>
  </si>
  <si>
    <t>[N/A]KR PUBGM Publishing Dept.</t>
  </si>
  <si>
    <t>[N/A]Asia PUBG Publishing Dept.</t>
  </si>
  <si>
    <t>[N/A]PUBG KR Biz Team</t>
  </si>
  <si>
    <t>[N/A]Asia PUBG Marketing Team</t>
  </si>
  <si>
    <t>[N/A]Asia Partnerships Team</t>
  </si>
  <si>
    <t>[N/A] GSTAR2022TF</t>
  </si>
  <si>
    <t>JP Office Management Cell_HQ</t>
  </si>
  <si>
    <t>PBB_A Production Team_HQ</t>
  </si>
  <si>
    <t>Americas PR &amp; Influencer Part_HQ</t>
  </si>
  <si>
    <t>Americas Social &amp; Community Part_HQ</t>
  </si>
  <si>
    <t>SM Finance Part_HQ</t>
  </si>
  <si>
    <t>UW Finance Part_HQ</t>
  </si>
  <si>
    <t>MG Finance Part_HQ</t>
  </si>
  <si>
    <t>Jungle Operation Dept.</t>
  </si>
  <si>
    <t>[N/A]BAO Team 1</t>
  </si>
  <si>
    <t>BAO Team 1</t>
  </si>
  <si>
    <t>[N/A]GPP Production Team</t>
  </si>
  <si>
    <t>[N/A]Web Service QA Part</t>
  </si>
  <si>
    <t>[N/A]KOS QA Team</t>
  </si>
  <si>
    <t>[N/A]AI Audio Gen Team</t>
  </si>
  <si>
    <t>[N/A]HR Support Team</t>
  </si>
  <si>
    <t>[N/A]Audio Dev Part</t>
  </si>
  <si>
    <t>[N/A]Audio Rec&amp;Mix Part</t>
  </si>
  <si>
    <t>[N/A]Audio Live Part</t>
  </si>
  <si>
    <t>[N/A]Audio Program Team</t>
  </si>
  <si>
    <t>East Publishing Contents Team_HQ</t>
  </si>
  <si>
    <t>[N/A]Asia TCP TF Team</t>
  </si>
  <si>
    <t>[N/A]SEA Publishing Part</t>
  </si>
  <si>
    <t>[N/A]SEA Esports Part</t>
  </si>
  <si>
    <t>[N/A]SEA Live Ops &amp; Communuty Part</t>
  </si>
  <si>
    <t>[N/A]SEA Contents Creative Part</t>
  </si>
  <si>
    <t>[N/A]KR League Management Part</t>
  </si>
  <si>
    <t>[N/A]KR Esports Publishing Part</t>
  </si>
  <si>
    <t>Premium Contents Part</t>
  </si>
  <si>
    <t>Out-Game Retention Part</t>
  </si>
  <si>
    <t>[N/A]Marketing Service Team</t>
  </si>
  <si>
    <t>[N/A]Global Communications Team</t>
  </si>
  <si>
    <t>[N/A]Marketing Intelligence Team</t>
  </si>
  <si>
    <t>Creative Project Part</t>
  </si>
  <si>
    <t>[N/A]MC Team</t>
  </si>
  <si>
    <t>Americas Esports Team_HQ</t>
  </si>
  <si>
    <t>[N/A]Americas Events Part_HQ</t>
  </si>
  <si>
    <t>[N/A]Web Tech Frontend Part</t>
  </si>
  <si>
    <t>[N/A]Web Tech Backend Part</t>
  </si>
  <si>
    <t>[N/A] OVDR Contents QA Part</t>
  </si>
  <si>
    <t>[N/A] MGL PM Part</t>
  </si>
  <si>
    <t>[N/A]KR Moonbreaker TF Team</t>
  </si>
  <si>
    <t>[N/A] Ordo TF Team</t>
  </si>
  <si>
    <t>[N/A]Platform UX TF Team</t>
  </si>
  <si>
    <t>HR Management Dept.</t>
  </si>
  <si>
    <t>[N/A] HRBP Team</t>
  </si>
  <si>
    <t>Global HR Planning Team</t>
  </si>
  <si>
    <t>[N/A] HR Strategy Team</t>
  </si>
  <si>
    <t>Americas Publishing Operations Dept._HQ</t>
  </si>
  <si>
    <t>Americas Product Team_HQ</t>
  </si>
  <si>
    <t>[N/A]Americas Live Operations Part_HQ</t>
  </si>
  <si>
    <t>[N/A] Investment Strategy Team</t>
  </si>
  <si>
    <t>[N/A]New Growth Dept.</t>
  </si>
  <si>
    <t>[N/A]JP Visual Part</t>
  </si>
  <si>
    <t>[N/A]JP Media Part</t>
  </si>
  <si>
    <t>EMEA Brand Experience Team_HQ</t>
  </si>
  <si>
    <t>ERP Part</t>
  </si>
  <si>
    <t>Milestone Review Team</t>
  </si>
  <si>
    <t>Legal East Team</t>
  </si>
  <si>
    <t>Legal EMEA Part</t>
  </si>
  <si>
    <t>[N/A]Glegal Regulatory Part</t>
  </si>
  <si>
    <t>Legal US Part</t>
  </si>
  <si>
    <t>[N/A]GLegal US Transactions Part</t>
  </si>
  <si>
    <t>Commander Team</t>
  </si>
  <si>
    <t>[N/A] OVDR World Design Part</t>
  </si>
  <si>
    <t>[N/A]OVDR Nacho Team</t>
  </si>
  <si>
    <t>Project N</t>
  </si>
  <si>
    <t>[N/A]HQ Investment Team 2</t>
  </si>
  <si>
    <t>[N/A]Career Buildup A Part</t>
  </si>
  <si>
    <t>[N/ACareer Buildup B Part</t>
  </si>
  <si>
    <t>[N/A]Career Buildup C Part</t>
  </si>
  <si>
    <t>[N/A]Career Buildup D Part</t>
  </si>
  <si>
    <t>[N/A]Career Buildup E Part</t>
  </si>
  <si>
    <t>V_Tech Team</t>
  </si>
  <si>
    <t>Public Affairs Team</t>
  </si>
  <si>
    <t>CSR Team</t>
  </si>
  <si>
    <t>VECTOR NORTH Unit</t>
  </si>
  <si>
    <t>[N/A]Creative Solutions Team</t>
  </si>
  <si>
    <t>AI Agent Research Team</t>
  </si>
  <si>
    <t>[N/A] Project inZOI Unit</t>
  </si>
  <si>
    <t>[N/A] OVDR UI&amp;UX Part</t>
  </si>
  <si>
    <t>[N/A]Ranked Mode TF Team</t>
  </si>
  <si>
    <t>[N/A] NewBR TF</t>
  </si>
  <si>
    <t>Engine Tech Part</t>
  </si>
  <si>
    <t>Dev Tech Part</t>
  </si>
  <si>
    <t>Graphic Tech Art Part</t>
  </si>
  <si>
    <t>대륭(Daeryung)</t>
  </si>
  <si>
    <t>동흥(Dongheung)</t>
  </si>
  <si>
    <t>성동마트(Seongdong)</t>
  </si>
  <si>
    <t>덕성(Deokseong)</t>
  </si>
  <si>
    <t>일슬빌라(Ilseung)</t>
  </si>
  <si>
    <t>Ghost Team</t>
  </si>
  <si>
    <t>EP GameDesign Part</t>
  </si>
  <si>
    <t>EP Tech Part</t>
  </si>
  <si>
    <t>EP Art Part</t>
  </si>
  <si>
    <t>[N/A]VN Prague Cell</t>
  </si>
  <si>
    <t>[N/A]VN Seoul Cell</t>
  </si>
  <si>
    <t>[N/A]VNP Operations Team_HQ</t>
  </si>
  <si>
    <t>VN Programming Team_HQ</t>
  </si>
  <si>
    <t>VN Deisgn Team_HQ</t>
  </si>
  <si>
    <t>VN Art Team_HQ</t>
  </si>
  <si>
    <t>VN Production Team_HQ</t>
  </si>
  <si>
    <t>[N/A] VN Animation Team_HQ</t>
  </si>
  <si>
    <t>[N/A]NSM MKT HQ Part</t>
  </si>
  <si>
    <t>[N/A]PUBGM MKT HQ Part 1</t>
  </si>
  <si>
    <t>[N/A]PUBGM MKT HQ Part 2</t>
  </si>
  <si>
    <t>[N/A]Publishing Policy Planning Team</t>
  </si>
  <si>
    <t>[N/A] Gaming Partnerships Team</t>
  </si>
  <si>
    <t>[N/A] Derby PM Team</t>
  </si>
  <si>
    <t>[N/A]User Insights Part</t>
  </si>
  <si>
    <t>[N/A]Publishing Analytics Team 2</t>
  </si>
  <si>
    <t>[N/A]Metaverse Business Development Team</t>
  </si>
  <si>
    <t>[N/A]MGL App Product Team</t>
  </si>
  <si>
    <t>PUBG Strategy &amp; Operations Team</t>
  </si>
  <si>
    <t>EMEA Growth Team_HQ</t>
  </si>
  <si>
    <t>EMEA Growth Team_TK</t>
  </si>
  <si>
    <t>Madison DevOps Part_HQ</t>
  </si>
  <si>
    <t>inZOI Art Unit_HQ</t>
  </si>
  <si>
    <t>inZOI Character Team_HQ</t>
  </si>
  <si>
    <t>inZOI Motion Team_HQ</t>
  </si>
  <si>
    <t>inZOI World Team_HQ</t>
  </si>
  <si>
    <t>inZOI UI &amp; UX Team_HQ</t>
  </si>
  <si>
    <t>inZOI Tech Unit_HQ</t>
  </si>
  <si>
    <t>inZOI Design Cell_HQ</t>
  </si>
  <si>
    <t>HQ India &amp; Emerging Office</t>
  </si>
  <si>
    <t>Space &amp; Property Center</t>
  </si>
  <si>
    <t>[N/A] Defense Derby Marketing Team</t>
  </si>
  <si>
    <t>[N/A] Service Policy2 Part</t>
  </si>
  <si>
    <t>[N/A] Publishing Strategy Part</t>
  </si>
  <si>
    <t>[N/A] Gameplay Insights Part</t>
  </si>
  <si>
    <t>Game Research &amp; Insights Dept.</t>
  </si>
  <si>
    <t>[N/A]ME MKT Strategy Part</t>
  </si>
  <si>
    <t>[N/A]ME MKT Branding&amp;Communications Part</t>
  </si>
  <si>
    <t>[N/A] Film&amp;TV Partnerships Team</t>
  </si>
  <si>
    <t>[N/A] ME Business &amp; Strategy Team</t>
  </si>
  <si>
    <t>[N/A]ME BA Part</t>
  </si>
  <si>
    <t>[N/A]ME Operations Part</t>
  </si>
  <si>
    <t>Frontend Team</t>
  </si>
  <si>
    <t>Nexus QA Part 1</t>
  </si>
  <si>
    <t>[N/A]NS Contents Design Part</t>
  </si>
  <si>
    <t>[N/A]NS Character Modeling Part 1</t>
  </si>
  <si>
    <t>[N/A]NS Character Modeling Part 2</t>
  </si>
  <si>
    <t>[N/A]NS Design Unit</t>
  </si>
  <si>
    <t>[N/A]NS Core Design Team</t>
  </si>
  <si>
    <t>NS Game Play Design Part</t>
  </si>
  <si>
    <t>[N/A]NS Producing Cell</t>
  </si>
  <si>
    <t>[N/A]KRAFTON MONTREAL STUDIO</t>
  </si>
  <si>
    <t>[N/A]DD MKT Part 1</t>
  </si>
  <si>
    <t>[N/A]DD MKT Part 2</t>
  </si>
  <si>
    <t>OVDR Player Platform Dept.</t>
  </si>
  <si>
    <t>OVDR Product Steering TFT</t>
  </si>
  <si>
    <t>OVDR Platform Operation Dept._HQ</t>
  </si>
  <si>
    <t>CN Biz Operation Team</t>
  </si>
  <si>
    <t>[N/A]CN Mobile Team</t>
  </si>
  <si>
    <t>[N/A]KOS Server Team 1</t>
  </si>
  <si>
    <t>[N/A]KOS Server Team 2</t>
  </si>
  <si>
    <t>[N/A]GPP Client Part</t>
  </si>
  <si>
    <t>[N/A]P Dept.</t>
  </si>
  <si>
    <t>Deliverable Review Team</t>
  </si>
  <si>
    <t>inZOI Design Team_HQ</t>
  </si>
  <si>
    <t>Nexon PC TF</t>
  </si>
  <si>
    <t>[N/A]Product Management Dept. 3</t>
  </si>
  <si>
    <t>[N/A]Publishing PM Team</t>
  </si>
  <si>
    <t>JP PUBGM Part</t>
  </si>
  <si>
    <t>[N/A]JP DD TF Team</t>
  </si>
  <si>
    <t>[N/A]Product Marketing Dept. 1</t>
  </si>
  <si>
    <t>[N/A]PUBG MKT HQ Part 1</t>
  </si>
  <si>
    <t>[N/A]PUBG MKT HQ Part 2</t>
  </si>
  <si>
    <t>[N/A]PUBG MKT HQ Part 3</t>
  </si>
  <si>
    <t>JP Art Part_HQ</t>
  </si>
  <si>
    <t>[N/A] E4 Team</t>
  </si>
  <si>
    <t>[N/A] Data PM Team</t>
  </si>
  <si>
    <t>[N/A]Publishing Platform PM Team 1</t>
  </si>
  <si>
    <t>AI Applied Research Dept.</t>
  </si>
  <si>
    <t>AI Model Research Dept.</t>
  </si>
  <si>
    <t>[N/A]Core Research Team</t>
  </si>
  <si>
    <t>[N/A] GenAI Research Team</t>
  </si>
  <si>
    <t>[N/A]Simulation AI Team</t>
  </si>
  <si>
    <t>[N/A]DL Virtual Friend Team</t>
  </si>
  <si>
    <t>[N/A]Publishing QA Part 1</t>
  </si>
  <si>
    <t>[N/A]Publishing QA Part 2</t>
  </si>
  <si>
    <t>Compatibility &amp; Optimization QA Team</t>
  </si>
  <si>
    <t>[N/A]Asia Biz Management Dept.</t>
  </si>
  <si>
    <t>Asia New Product Service Team</t>
  </si>
  <si>
    <t>[N/A]ID Publishing Team</t>
  </si>
  <si>
    <t>[N/A]Migaloo Marketplace TFT</t>
  </si>
  <si>
    <t>OVDR PPL Product Group Team</t>
  </si>
  <si>
    <t>OVDR Creator HUB DEV Team</t>
  </si>
  <si>
    <t>[NA]World Part 1</t>
  </si>
  <si>
    <t>[NA]World Part 2</t>
  </si>
  <si>
    <t>[NA]World Part 3</t>
  </si>
  <si>
    <t>[N/A]Contents PM Part</t>
  </si>
  <si>
    <t>[N/A]Special Vehicle 2023 TF</t>
  </si>
  <si>
    <t>[N/A]In-Game UI v2 TF Team</t>
  </si>
  <si>
    <t>EMEA Product Communication Part_HQ</t>
  </si>
  <si>
    <t>EMEA Product Communication Part_TK</t>
  </si>
  <si>
    <t>[N/A]JP Publishing Operations TF Team</t>
  </si>
  <si>
    <t>Jungle Operations &amp; Outreach Team</t>
  </si>
  <si>
    <t>Space Team 1</t>
  </si>
  <si>
    <t>Space Team 2</t>
  </si>
  <si>
    <t>[N/A]Cinematic Solutions Team</t>
  </si>
  <si>
    <t>[N/A]Global Marketing Service Team</t>
  </si>
  <si>
    <t>inZOI Concept Team_HQ</t>
  </si>
  <si>
    <t>inZOI Server Team_HQ</t>
  </si>
  <si>
    <t>inZOI Client Team 1_HQ</t>
  </si>
  <si>
    <t>OVDR Data Analysis Team</t>
  </si>
  <si>
    <t>[N/A] Endurance Team</t>
  </si>
  <si>
    <t>[N/A]PUBG Retention TF</t>
  </si>
  <si>
    <t>PBB_A Character Art Part</t>
  </si>
  <si>
    <t>PBB_A Hard Surface Art Part</t>
  </si>
  <si>
    <t>PBB_S Production Team</t>
  </si>
  <si>
    <t>PBB_A Lighting Art Team</t>
  </si>
  <si>
    <t>PBB_A Concept Art Team</t>
  </si>
  <si>
    <t>PBB_A VFX Team</t>
  </si>
  <si>
    <t>PBB_A Tools Team</t>
  </si>
  <si>
    <t>PBB_A Content Tech Art Team</t>
  </si>
  <si>
    <t>PBB_A Technical Animation Team</t>
  </si>
  <si>
    <t>PBB_A AI Programming Team</t>
  </si>
  <si>
    <t>PBB_A Production Cell</t>
  </si>
  <si>
    <t>PBB Creative Direction Cell</t>
  </si>
  <si>
    <t>PBB Art Cell</t>
  </si>
  <si>
    <t>PBB Animation Cell</t>
  </si>
  <si>
    <t>PBB Progression Cell</t>
  </si>
  <si>
    <t>PBB Production Cell</t>
  </si>
  <si>
    <t>PBB Tech Cell</t>
  </si>
  <si>
    <t>PBB Tech Art Cell</t>
  </si>
  <si>
    <t>[N/A]PBB Platform Team</t>
  </si>
  <si>
    <t>PBB Sound Team</t>
  </si>
  <si>
    <t>PBB Level Design Team</t>
  </si>
  <si>
    <t>PBB Game Design Team</t>
  </si>
  <si>
    <t>PBB Narrative Design Team</t>
  </si>
  <si>
    <t>[N/A]PBB UI &amp; UX Design Team</t>
  </si>
  <si>
    <t>[N/A]PBB Sound Design Part</t>
  </si>
  <si>
    <t>PBB Content Art Team</t>
  </si>
  <si>
    <t>PBB Lighting Art Team</t>
  </si>
  <si>
    <t>PBB Concept Art Team</t>
  </si>
  <si>
    <t>PBB Env Art Team 1</t>
  </si>
  <si>
    <t>PBB Env Art Team 2</t>
  </si>
  <si>
    <t>PBB Env Art Team 3</t>
  </si>
  <si>
    <t>PBB Character Art Part</t>
  </si>
  <si>
    <t>PBB Hard Surface Art Part</t>
  </si>
  <si>
    <t>PBB Creature Animation Team</t>
  </si>
  <si>
    <t>PBB Human Animation Team</t>
  </si>
  <si>
    <t>PBB Technical Animation Team</t>
  </si>
  <si>
    <t>[N/A]PBB Progression Design Team</t>
  </si>
  <si>
    <t>[N/A]PBB Economy Design Team</t>
  </si>
  <si>
    <t>PBB AMS Production Team</t>
  </si>
  <si>
    <t>PBB AMS QA Team</t>
  </si>
  <si>
    <t>[N/A]PBB Seoul Production Team</t>
  </si>
  <si>
    <t>PBB AMS Programming Team</t>
  </si>
  <si>
    <t>PBB Porto Programming Team</t>
  </si>
  <si>
    <t>PBB AI Programming Team</t>
  </si>
  <si>
    <t>PBB Contents Engineering Team</t>
  </si>
  <si>
    <t>PBB VFX Team</t>
  </si>
  <si>
    <t>PBB Tools Team</t>
  </si>
  <si>
    <t>PBB Content Tech Art Team</t>
  </si>
  <si>
    <t>삼양(Samyang)</t>
  </si>
  <si>
    <t>[N/A] ReLU TF Cell</t>
  </si>
  <si>
    <t>[N/A] ReLU Dev. Team</t>
  </si>
  <si>
    <t>[N/A] ReLU PM Team</t>
  </si>
  <si>
    <t>[N/A]ReLU People Team</t>
  </si>
  <si>
    <t>[N/A]Zero Team</t>
  </si>
  <si>
    <t>Strategic Planning Team 1</t>
  </si>
  <si>
    <t>IN Strategy Team_HQ</t>
  </si>
  <si>
    <t>[N/A]DD PM Part 1</t>
  </si>
  <si>
    <t>[N/A]DD PM Part 2</t>
  </si>
  <si>
    <t>[N/A]OVDR World Modeling 2 Part</t>
  </si>
  <si>
    <t>[N/A] OVDR Character Customizing TFT</t>
  </si>
  <si>
    <t>MGL Avatar Concept TFT</t>
  </si>
  <si>
    <t>OVDR Data Engineering Team</t>
  </si>
  <si>
    <t>[N/A] OVDR UGC Product Team</t>
  </si>
  <si>
    <t>[N/A]MGL Avatar Design Part</t>
  </si>
  <si>
    <t>[N/A] OVDR System Design Part</t>
  </si>
  <si>
    <t>[N/A] OVDR DL Tool Part</t>
  </si>
  <si>
    <t>[N/A] OVDR World UGC Part</t>
  </si>
  <si>
    <t>[N/A] OVDR Avatar UGC Part</t>
  </si>
  <si>
    <t>[N/A] OVDR UX&amp;BX Team</t>
  </si>
  <si>
    <t>[N/A]DL Tool Dev Part</t>
  </si>
  <si>
    <t>[N/A]AI Game Dev Team</t>
  </si>
  <si>
    <t>[N/A]Growth Engineering TF Team</t>
  </si>
  <si>
    <t>inZOI Client Team 2_HQ</t>
  </si>
  <si>
    <t>Strategic Planning Dept.</t>
  </si>
  <si>
    <t>[N/A] HR Business Dept.</t>
  </si>
  <si>
    <t>[N/A]Growth &amp; Alignment Team</t>
  </si>
  <si>
    <t>[N/A]Build Review Part</t>
  </si>
  <si>
    <t>Production Support Dept.</t>
  </si>
  <si>
    <t>External Development Management Part</t>
  </si>
  <si>
    <t>[N/A]DL MLOps Dept.</t>
  </si>
  <si>
    <t>M Team</t>
  </si>
  <si>
    <t>[N/A]Special Build TF Team</t>
  </si>
  <si>
    <t>EME Finance Part_HQ</t>
  </si>
  <si>
    <t>Champions Team</t>
  </si>
  <si>
    <t>OVDR PPL DEV Cell</t>
  </si>
  <si>
    <t>OVDR Publishing PM Team</t>
  </si>
  <si>
    <t>OVDR QA Team</t>
  </si>
  <si>
    <t>OVDR Live Ops Team</t>
  </si>
  <si>
    <t>OVDR People Part_HQ</t>
  </si>
  <si>
    <t>CM Art Part</t>
  </si>
  <si>
    <t>CM Tech Part</t>
  </si>
  <si>
    <t>CM Design Part</t>
  </si>
  <si>
    <t>CM UI&amp;UX Part</t>
  </si>
  <si>
    <t>Esports Transformation Team</t>
  </si>
  <si>
    <t>[N/A]Publishing Support Div.</t>
  </si>
  <si>
    <t>[N/A]PUBG Neon Campaign TF</t>
  </si>
  <si>
    <t>[N/A] Creative Producer Team 2</t>
  </si>
  <si>
    <t>[N/A]EMEA Live Ops Team</t>
  </si>
  <si>
    <t>EMEA Live Ops Part</t>
  </si>
  <si>
    <t>[N/A]GPP IAM Part</t>
  </si>
  <si>
    <t>I&amp;E Game Initiatives Team</t>
  </si>
  <si>
    <t>[N/A]Live Ops2 Team</t>
  </si>
  <si>
    <t>[N/A]PUBG MKT Campaign Team</t>
  </si>
  <si>
    <t>[N/A]PUBG MKT Campaign Part</t>
  </si>
  <si>
    <t>[N/A]PUBG PM1 Team</t>
  </si>
  <si>
    <t>[N/A]PUBG PM2 Team</t>
  </si>
  <si>
    <t>Black Budget Publishing Part</t>
  </si>
  <si>
    <t>[N/A]PUBG PM3 Part</t>
  </si>
  <si>
    <t>Advanced Tech Team</t>
  </si>
  <si>
    <t>UROPA Cell</t>
  </si>
  <si>
    <t>[N/A]R&amp;I TF</t>
  </si>
  <si>
    <t>N/A</t>
  </si>
  <si>
    <t>KRAFTON India Incubator Team</t>
  </si>
  <si>
    <t>[N/A] OVDR Web 3.0 Core Part</t>
  </si>
  <si>
    <t>[N/A]OVDR Customizing &amp; Store TFT</t>
  </si>
  <si>
    <t>[N/A]VRD Support Team</t>
  </si>
  <si>
    <t>IN New Games Publishing Team 2_HQ</t>
  </si>
  <si>
    <t>Contents VFX Part</t>
  </si>
  <si>
    <t>VFX_PBB Part</t>
  </si>
  <si>
    <t>[N/A]VFX_NS Part</t>
  </si>
  <si>
    <t>[N/A]AB TF Team</t>
  </si>
  <si>
    <t>[N/A]PUBGM HQ PM Part</t>
  </si>
  <si>
    <t>[N/A]PUBGM BM Part</t>
  </si>
  <si>
    <t>P&amp;L Incharge</t>
  </si>
  <si>
    <t>OVDR World Modeling Team</t>
  </si>
  <si>
    <t>OVDR Android DEV Team</t>
  </si>
  <si>
    <t>OVDR iOS DEV Team</t>
  </si>
  <si>
    <t>Global Finance Dept.</t>
  </si>
  <si>
    <t>[N/A]G-star TF</t>
  </si>
  <si>
    <t>[N/A]AI Strategy &amp; Operations Team</t>
  </si>
  <si>
    <t>[N/A]Montreal Finance Part</t>
  </si>
  <si>
    <t>Project Nest Dept.</t>
  </si>
  <si>
    <t>[N/A]IN Strategy Dept._HQ</t>
  </si>
  <si>
    <t>[N/A]P Team</t>
  </si>
  <si>
    <t>[N/A]Discovery &amp; Investments Team</t>
  </si>
  <si>
    <t>HQ ADK Office</t>
  </si>
  <si>
    <t>inZOI World Part 1_HQ</t>
  </si>
  <si>
    <t>inZOI World Part 2_HQ</t>
  </si>
  <si>
    <t>OVDR Character Modeling 2 Part</t>
  </si>
  <si>
    <t>[N/A]OVDR Deep Learning Mask TFT</t>
  </si>
  <si>
    <t>[N/A] OVDR User Product Design Part</t>
  </si>
  <si>
    <t>[N/A] OVDR Creator Product Design Part</t>
  </si>
  <si>
    <t>OVDR BX Team</t>
  </si>
  <si>
    <t>OVDR Server DEV Team</t>
  </si>
  <si>
    <t>[N/A]DL Vision-data Part</t>
  </si>
  <si>
    <t>[N/A] DL Text-data Part</t>
  </si>
  <si>
    <t>[N/A] DL Speech-data Part</t>
  </si>
  <si>
    <t>[N/A]DD P2 TF</t>
  </si>
  <si>
    <t>Space Planning Team</t>
  </si>
  <si>
    <t>[N/A]PUBG PM2 Part</t>
  </si>
  <si>
    <t>OVDR UGC Art Team</t>
  </si>
  <si>
    <t>[N/A]Creative Project Management Part</t>
  </si>
  <si>
    <t>[N/A] Brand Campaign Part</t>
  </si>
  <si>
    <t>[N/A] Avatar DL Team</t>
  </si>
  <si>
    <t>[N/A]AI Art Gen Team</t>
  </si>
  <si>
    <t>[N/A]JP Sourcing Team_HQ</t>
  </si>
  <si>
    <t>MementoMori Team</t>
  </si>
  <si>
    <t>[N/A] OVDR Gameplay Part</t>
  </si>
  <si>
    <t>OVDR UE DEV Team</t>
  </si>
  <si>
    <t>[N/A] OVDR Project Management Support Pa</t>
  </si>
  <si>
    <t>HR Planning Team</t>
  </si>
  <si>
    <t>OVDR Marketing Team</t>
  </si>
  <si>
    <t>ARL VFX Team</t>
  </si>
  <si>
    <t>Strategy Div.</t>
  </si>
  <si>
    <t>[N/A]Management Planning Team</t>
  </si>
  <si>
    <t>[N/A] IP Governance Team</t>
  </si>
  <si>
    <t>[N/A] IP Expansion Team</t>
  </si>
  <si>
    <t>HR Div.</t>
  </si>
  <si>
    <t>Global Operations Dept.</t>
  </si>
  <si>
    <t>메가박스(Megabox)</t>
  </si>
  <si>
    <t>inZOI Client Part 1_HQ</t>
  </si>
  <si>
    <t>inZOI Client Part 2_HQ</t>
  </si>
  <si>
    <t>inZOI Animation Part_HQ</t>
  </si>
  <si>
    <t>[N/A]inZOI Rigging Part</t>
  </si>
  <si>
    <t>inZOI FX Team_HQ</t>
  </si>
  <si>
    <t>User Research Team</t>
  </si>
  <si>
    <t>[N/A]Game Analysis Part</t>
  </si>
  <si>
    <t>[N/A]Korea Legal Dept.</t>
  </si>
  <si>
    <t>[N/A] D2 Channels &amp; Relations Team</t>
  </si>
  <si>
    <t>[N/A] Match making TF Team</t>
  </si>
  <si>
    <t>[N/A]UGC TF Team</t>
  </si>
  <si>
    <t>VFX_PUBG Part</t>
  </si>
  <si>
    <t>[N/A] SEA Operations Team</t>
  </si>
  <si>
    <t>TW Operations Part</t>
  </si>
  <si>
    <t>Work Support Part</t>
  </si>
  <si>
    <t>Office Admin Part</t>
  </si>
  <si>
    <t>Global Communications Dept.</t>
  </si>
  <si>
    <t>[N/A]Brand Dept.</t>
  </si>
  <si>
    <t>[N/A]Game Validation &amp; Milestone Review</t>
  </si>
  <si>
    <t>[N/A]Game Production Support Dept.</t>
  </si>
  <si>
    <t>VN Dept.</t>
  </si>
  <si>
    <t>[N/A] KRAFTON Advisory Team</t>
  </si>
  <si>
    <t>Live Creative Part 1</t>
  </si>
  <si>
    <t>Live Creative Part 2</t>
  </si>
  <si>
    <t>West L10N Part</t>
  </si>
  <si>
    <t>inZOI TA Team_HQ</t>
  </si>
  <si>
    <t>inZOI Rigging Part_HQ</t>
  </si>
  <si>
    <t>inZOI QA &amp; Service Mgmt Team_HQ</t>
  </si>
  <si>
    <t>inZOI PM Part_HQ</t>
  </si>
  <si>
    <t>Creative Producer Dept.</t>
  </si>
  <si>
    <t>[N/A]Creative Producer Team 4</t>
  </si>
  <si>
    <t>[N/A] D2 Publishing Channels Dept.</t>
  </si>
  <si>
    <t>[N/A] Production Management Office</t>
  </si>
  <si>
    <t>Revenue Accounting Part</t>
  </si>
  <si>
    <t>[N/A]Publishing Planning Team</t>
  </si>
  <si>
    <t>[N/A] PMO Dept.</t>
  </si>
  <si>
    <t>[N/A] IN PM Team 2</t>
  </si>
  <si>
    <t>Global Publishing Dept. 3_HQ</t>
  </si>
  <si>
    <t>[N/A] D5 Game Publishing Team 3</t>
  </si>
  <si>
    <t>GPD3 Publishing Team 2_HQ</t>
  </si>
  <si>
    <t>[N/A]D5 Growth Marketing Team</t>
  </si>
  <si>
    <t>[N/A]Publishing Div. 1</t>
  </si>
  <si>
    <t>[N/A] D4 Marketing Dept. 2</t>
  </si>
  <si>
    <t>[N/A] D4 Marketing Team 1</t>
  </si>
  <si>
    <t>[N/A] D4 Marketing Team 2</t>
  </si>
  <si>
    <t>D4 New Project PM Team 1</t>
  </si>
  <si>
    <t>[N/A] D4 Publishing Management Dept. 2</t>
  </si>
  <si>
    <t>[N/A] AOD Service Team</t>
  </si>
  <si>
    <t>East Publishing Services Div.</t>
  </si>
  <si>
    <t>Greater China Publishing Dept.</t>
  </si>
  <si>
    <t>[N/A]Publishing Div. 4</t>
  </si>
  <si>
    <t>D4 Project Management Dept.</t>
  </si>
  <si>
    <t>[N/A]D4 Operations Management Team</t>
  </si>
  <si>
    <t>D4 New Project Drive Team</t>
  </si>
  <si>
    <t>[N/A]D4 New Product Planning Team</t>
  </si>
  <si>
    <t>[N/A]D4 Publishing Management Dept.</t>
  </si>
  <si>
    <t>[N/A]DKT Publishing Management Team</t>
  </si>
  <si>
    <t>[N/A] Gold Rush PM Team</t>
  </si>
  <si>
    <t>[N/A]D4 Marketing Dept.</t>
  </si>
  <si>
    <t>[N/A]Dinkum Marketing Team</t>
  </si>
  <si>
    <t>[N/A] Gold Rush Marketing Team</t>
  </si>
  <si>
    <t>[N/A] D4 Growth Marketing Team</t>
  </si>
  <si>
    <t>Publishing Services Management Div.</t>
  </si>
  <si>
    <t>[N/A]Publishing BD Team 2</t>
  </si>
  <si>
    <t>[N/A]Publishing Services Management Ops</t>
  </si>
  <si>
    <t>IP Franchise</t>
  </si>
  <si>
    <t>PUBG IP Franchise Group</t>
  </si>
  <si>
    <t>PUBG IP Strategy Team</t>
  </si>
  <si>
    <t>PUBG IP Planning &amp; Operations Team</t>
  </si>
  <si>
    <t>[N/A] PUBG IP PMO Team</t>
  </si>
  <si>
    <t>PUBG Publishing Div.</t>
  </si>
  <si>
    <t>[N/A]PUBG Operations Management Team</t>
  </si>
  <si>
    <t>PUBG Publishing PM Part 2</t>
  </si>
  <si>
    <t>PUBG Publishing PM Part 1</t>
  </si>
  <si>
    <t>[N/A] PUBG Content Planning Part</t>
  </si>
  <si>
    <t>PUBG Live Ops Part</t>
  </si>
  <si>
    <t>[NA]PUBG Brand Marketing Team</t>
  </si>
  <si>
    <t>PUBG East Dept.</t>
  </si>
  <si>
    <t>PUBG KR Publishing Team</t>
  </si>
  <si>
    <t>PUBGM Publishing Div.</t>
  </si>
  <si>
    <t>[N/A]PUBGM Operation Management Team</t>
  </si>
  <si>
    <t>[N/A]PUBGM Contents Management Team</t>
  </si>
  <si>
    <t>PUBGM IP Licensing Team</t>
  </si>
  <si>
    <t>PUBGM KR Service Dept.</t>
  </si>
  <si>
    <t>PUBGM KR Marketing Team</t>
  </si>
  <si>
    <t>[N/A]PUBGM KR Growth Team</t>
  </si>
  <si>
    <t>Esports Marketing Team</t>
  </si>
  <si>
    <t>[N/A] Esports Broadcast &amp; Contents Team</t>
  </si>
  <si>
    <t>Esports Game Service Planning Team</t>
  </si>
  <si>
    <t>[N/A]East Esports Team</t>
  </si>
  <si>
    <t>[N/A]APAC Esports Part</t>
  </si>
  <si>
    <t>Mode Production Team</t>
  </si>
  <si>
    <t>[N/A]PPM Dept.</t>
  </si>
  <si>
    <t>[N/A]PPM Team</t>
  </si>
  <si>
    <t>[N/A]Global Publishing Services Div.</t>
  </si>
  <si>
    <t>Seattle Studio Operations Part</t>
  </si>
  <si>
    <t>JP PR &amp; Planning Part_HQ</t>
  </si>
  <si>
    <t>Executive Talent Part</t>
  </si>
  <si>
    <t>HR Enablement Team</t>
  </si>
  <si>
    <t>[N/A] VNP Finance Part</t>
  </si>
  <si>
    <t>PUBGM JP Services Dept.</t>
  </si>
  <si>
    <t>[N/A]JP Publishing Team</t>
  </si>
  <si>
    <t>[N/A]CN Publishing Team</t>
  </si>
  <si>
    <t>[N/A]West Scale-Up Team 3_HQ</t>
  </si>
  <si>
    <t>PUBG CN Live Management Team</t>
  </si>
  <si>
    <t>[N/A]PBB Out-Game Design Team</t>
  </si>
  <si>
    <t>[N/A]PBB UI Design Team</t>
  </si>
  <si>
    <t>[N/A]PBB_S Contents Design Part</t>
  </si>
  <si>
    <t>[N/A]PBB_S Economy Design Part</t>
  </si>
  <si>
    <t>PBB_S UI Design Team</t>
  </si>
  <si>
    <t>PBB_S Premium Design Team</t>
  </si>
  <si>
    <t>PBB SEL VFX Part</t>
  </si>
  <si>
    <t>[N/A] inZOI Design Part 1</t>
  </si>
  <si>
    <t>[N/A]Rivals Marketing Team</t>
  </si>
  <si>
    <t>[N/A]Rivals Publishing Management Team</t>
  </si>
  <si>
    <t>[N/A]Publishing Services Ops Dept.</t>
  </si>
  <si>
    <t>HR Planning Dept.</t>
  </si>
  <si>
    <t>[N/A]Insights &amp; Research Team</t>
  </si>
  <si>
    <t>IN New Frontier Team_HQ</t>
  </si>
  <si>
    <t>GPD3 Publishing Team 1</t>
  </si>
  <si>
    <t>[N/A] RW Project Publishing Part_HQ</t>
  </si>
  <si>
    <t>SEA Publishing Team</t>
  </si>
  <si>
    <t>PUBG SEA PM Part</t>
  </si>
  <si>
    <t>[N/A] SEA Marketing Part</t>
  </si>
  <si>
    <t>SEA Content Part</t>
  </si>
  <si>
    <t>Commercial Transactions Part</t>
  </si>
  <si>
    <t>Legal West &amp; Global Regulatory Team_HQ</t>
  </si>
  <si>
    <t>[N/A] Brand Creative Team</t>
  </si>
  <si>
    <t>[N/A]Strategic Initiatives Part</t>
  </si>
  <si>
    <t>BOD Support Office</t>
  </si>
  <si>
    <t>[N/A] Operations Planning Team</t>
  </si>
  <si>
    <t>Strategy &amp; Partnerships Dept.</t>
  </si>
  <si>
    <t>PUBG UE5 Production Team</t>
  </si>
  <si>
    <t>World Art Cell</t>
  </si>
  <si>
    <t>Character Tech Part</t>
  </si>
  <si>
    <t>East L10N Part</t>
  </si>
  <si>
    <t>PBB Console Unit</t>
  </si>
  <si>
    <t>[N/A]IP &amp; Lit Team_HQ</t>
  </si>
  <si>
    <t>inZOI Cinematic Team_HQ</t>
  </si>
  <si>
    <t>[N/A]DNDM Growth Marketing Part</t>
  </si>
  <si>
    <t>Investment Transaction Part 2</t>
  </si>
  <si>
    <t>PBB Platform TF Team</t>
  </si>
  <si>
    <t>IGU Art PM Part</t>
  </si>
  <si>
    <t>AOD Product Part 1</t>
  </si>
  <si>
    <t>AOD Product Part 2</t>
  </si>
  <si>
    <t>[N/A]JP PR Part_HQ</t>
  </si>
  <si>
    <t>[N/A]gamescom TF Team</t>
  </si>
  <si>
    <t>[N/A] IP Governance TF Team</t>
  </si>
  <si>
    <t>inZOI 3D Character Modeling Part_HQ</t>
  </si>
  <si>
    <t>MTL_HR Talent Team</t>
  </si>
  <si>
    <t>MTL_Operations Team</t>
  </si>
  <si>
    <t>PUBG CN Publishing Part 1</t>
  </si>
  <si>
    <t>PUBG CN Publishing Part 2</t>
  </si>
  <si>
    <t>PUBG KR PM Part</t>
  </si>
  <si>
    <t>PUBG KR MKT Part</t>
  </si>
  <si>
    <t>PUBG CN PM Part</t>
  </si>
  <si>
    <t>MTL_Managment Cell</t>
  </si>
  <si>
    <t>PGY_Character Modeling Team</t>
  </si>
  <si>
    <t>PGY_Modeling Team</t>
  </si>
  <si>
    <t>PGY_Environment Part</t>
  </si>
  <si>
    <t>PGY_Object Bank Part</t>
  </si>
  <si>
    <t>PGY_Cinematic Team</t>
  </si>
  <si>
    <t>PGY_Lighting Team</t>
  </si>
  <si>
    <t>PGY_Character Concept Team</t>
  </si>
  <si>
    <t>PGY_Environment Concept Team</t>
  </si>
  <si>
    <t>PGY_Management Team</t>
  </si>
  <si>
    <t>MTL_UI&amp;UX Team</t>
  </si>
  <si>
    <t>MTL_Design Team</t>
  </si>
  <si>
    <t>MTL_Tech Animation Team</t>
  </si>
  <si>
    <t>MTL_Tech Art Team</t>
  </si>
  <si>
    <t>MTL_Technical Design Team</t>
  </si>
  <si>
    <t>MTL_Narrative Team</t>
  </si>
  <si>
    <t>MTL_System Team</t>
  </si>
  <si>
    <t>BGMI Project Management Team_HQ</t>
  </si>
  <si>
    <t>[N/A] BGMI Project Management Part_HQ</t>
  </si>
  <si>
    <t>[N/A] IN Live PM Part_HQ</t>
  </si>
  <si>
    <t>Game Lab Dept.</t>
  </si>
  <si>
    <t>[N/A] HQ India Finance Team</t>
  </si>
  <si>
    <t>[N/A] inZOI Content Review Part</t>
  </si>
  <si>
    <t>[N/A]I&amp;E Business Support Team</t>
  </si>
  <si>
    <t>EMEA IT Team</t>
  </si>
  <si>
    <t>Executive Assistant Team</t>
  </si>
  <si>
    <t>FWG Live Service Team</t>
  </si>
  <si>
    <t>Publishing QA Team 2</t>
  </si>
  <si>
    <t>[N/A]Publishing QA Part 3</t>
  </si>
  <si>
    <t>[N/A]Publishing QA Part 4</t>
  </si>
  <si>
    <t>[N/A]Publishing QA Growth Team</t>
  </si>
  <si>
    <t>Convention Planning Part</t>
  </si>
  <si>
    <t>[N/A] Gstar 2024 TF Team</t>
  </si>
  <si>
    <t>inZOI Client Part 3_HQ</t>
  </si>
  <si>
    <t>inZOI Client Part 4_HQ</t>
  </si>
  <si>
    <t>[N/A]inZOI Publishing Dept.</t>
  </si>
  <si>
    <t>[N/A]User Modeling AI Team</t>
  </si>
  <si>
    <t>Nexus QA Team</t>
  </si>
  <si>
    <t>[N/A]KIZNA Cell</t>
  </si>
  <si>
    <t>[N/A] DNDM Marketing Part 1</t>
  </si>
  <si>
    <t>[N/A] DNDM Marketing Part 2</t>
  </si>
  <si>
    <t>[N/A] DNDM Marketing Part 3</t>
  </si>
  <si>
    <t>MTL_QA Team_HQ</t>
  </si>
  <si>
    <t>[N/A]PUBG West Product Management Team_H</t>
  </si>
  <si>
    <t>[N/A]KOS DevOps Team_HQ</t>
  </si>
  <si>
    <t>Corporate Brand Div.</t>
  </si>
  <si>
    <t>Brand Strategy Dept.</t>
  </si>
  <si>
    <t>[N/A] Compensation Operations Part</t>
  </si>
  <si>
    <t>[N/A] LTI Part</t>
  </si>
  <si>
    <t>[N/A]Live Ops Team 2</t>
  </si>
  <si>
    <t>[N/A]Publishing Platform PM Team 2</t>
  </si>
  <si>
    <t>[N/A]Publishing Platform PM Team 3</t>
  </si>
  <si>
    <t>[N/A]Platform Design Team</t>
  </si>
  <si>
    <t>[N/A]XE Dev Team 2</t>
  </si>
  <si>
    <t>[N/A]XE Dev Team 3</t>
  </si>
  <si>
    <t>[N/A]XE Dev Team 4</t>
  </si>
  <si>
    <t>[N/A]XE QA Team</t>
  </si>
  <si>
    <t>[N/A] Japan T Team</t>
  </si>
  <si>
    <t>PalM Animation Team</t>
  </si>
  <si>
    <t>[N/A]PalM BM Concept Team 1</t>
  </si>
  <si>
    <t>PalM Character Modeling Team</t>
  </si>
  <si>
    <t>[N/A] PalM World 1 Team</t>
  </si>
  <si>
    <t>PalM Tech Cell</t>
  </si>
  <si>
    <t>PalM Survival Design Team</t>
  </si>
  <si>
    <t>[N/A]KIZNA Design Team</t>
  </si>
  <si>
    <t>[N/A]KIZNA System Design Part</t>
  </si>
  <si>
    <t>[N/A]KIZNA S&amp;C Part</t>
  </si>
  <si>
    <t>[N/A]KIZNA Tech Team</t>
  </si>
  <si>
    <t>[N/A]KIZNA Art Team</t>
  </si>
  <si>
    <t>PUBG UE5 Service Unit</t>
  </si>
  <si>
    <t>PBB 3D Asset Art Part</t>
  </si>
  <si>
    <t>AB_A Cell</t>
  </si>
  <si>
    <t>[N/A] AB_B Cell</t>
  </si>
  <si>
    <t>AB_V8 Team</t>
  </si>
  <si>
    <t>PGY_Cinematic Animation Part</t>
  </si>
  <si>
    <t>PBB Audio Design Team_HQ</t>
  </si>
  <si>
    <t>Blindspot Publishing Part</t>
  </si>
  <si>
    <t>VN Design Cell_HQ</t>
  </si>
  <si>
    <t>VN Production Cell_HQ</t>
  </si>
  <si>
    <t>[N/A] VNS Production Part_HQ</t>
  </si>
  <si>
    <t>VN QA Part_HQ</t>
  </si>
  <si>
    <t>VN Tech Cell_HQ</t>
  </si>
  <si>
    <t>VN World Cell_HQ</t>
  </si>
  <si>
    <t>VN Concept Art Team_HQ</t>
  </si>
  <si>
    <t>VN Level Design Team_HQ</t>
  </si>
  <si>
    <t>[N/A] KR Contents Part_HQ</t>
  </si>
  <si>
    <t>CN Contents Part_HQ</t>
  </si>
  <si>
    <t>[N/A] CGPO's Office</t>
  </si>
  <si>
    <t>[N/A] PS Team</t>
  </si>
  <si>
    <t>[N/A]DKO Marketing Part</t>
  </si>
  <si>
    <t>[N/A] Dinkum MKT Console Part</t>
  </si>
  <si>
    <t>[N/A]DKT Marketing Part</t>
  </si>
  <si>
    <t>[N/A] Corporate Strategy Dept.</t>
  </si>
  <si>
    <t>[N/A] Project Team 1</t>
  </si>
  <si>
    <t>IN QA Part_HQ</t>
  </si>
  <si>
    <t>IN Esports Planning &amp; Operations Part_HQ</t>
  </si>
  <si>
    <t>IN Esports BD Part_HQ</t>
  </si>
  <si>
    <t>[N/A] D5 Strategy &amp; Operations Team</t>
  </si>
  <si>
    <t>[N/A] Budget Planning Part</t>
  </si>
  <si>
    <t>[N/A] Financial Analysis Part</t>
  </si>
  <si>
    <t>HQ Translation Part 1</t>
  </si>
  <si>
    <t>HQ Translation Part 2</t>
  </si>
  <si>
    <t>HQ Translation Part 3</t>
  </si>
  <si>
    <t>Creative Producer Part 1</t>
  </si>
  <si>
    <t>Creative Producer Part 2</t>
  </si>
  <si>
    <t>[N/A] User Research Innovation Team</t>
  </si>
  <si>
    <t>[N/A]Social Analytics Team</t>
  </si>
  <si>
    <t>inZOI Design Part 2_HQ</t>
  </si>
  <si>
    <t>inZOI Dev R&amp;D Team_HQ</t>
  </si>
  <si>
    <t>inZOI Creative Design Team_HQ</t>
  </si>
  <si>
    <t>[N/A]PUBG New Console TF Team</t>
  </si>
  <si>
    <t>[N/A] NP Base TF Team</t>
  </si>
  <si>
    <t>[N/A]PUBG Collaboration Management Part</t>
  </si>
  <si>
    <t>[N/A]XE Dev Team 1_HQ</t>
  </si>
  <si>
    <t>[N/A]Hi-Fi Rush PM Team</t>
  </si>
  <si>
    <t>[N/A]India M&amp;A Support Team</t>
  </si>
  <si>
    <t>Global Publishing Div. 1</t>
  </si>
  <si>
    <t>[N/A] Growth Strategy Team</t>
  </si>
  <si>
    <t>[N/A]Hi-Fi Rush Marketing Team</t>
  </si>
  <si>
    <t>D4 New Project PM Team 2</t>
  </si>
  <si>
    <t>[N/A] Game AI Research Part</t>
  </si>
  <si>
    <t>[N/A] MSG Unit</t>
  </si>
  <si>
    <t>[N/A] MSG Art Team</t>
  </si>
  <si>
    <t>[N/A] MSG Design Team</t>
  </si>
  <si>
    <t>[N/A] MSG Tech Team</t>
  </si>
  <si>
    <t>PUBGM JP Growth Part</t>
  </si>
  <si>
    <t>PUBGM JP Digital Marketing Part</t>
  </si>
  <si>
    <t>JP PM Part_HQ</t>
  </si>
  <si>
    <t>JP MarCom Part_HQ</t>
  </si>
  <si>
    <t>IN PMKT BGMI Part_HQ</t>
  </si>
  <si>
    <t>IN PMKT New Project Part_HQ</t>
  </si>
  <si>
    <t>IN Platform Operations Dept._HQ</t>
  </si>
  <si>
    <t>PalM Art Cell</t>
  </si>
  <si>
    <t>[N/A] PalM World 2 Team</t>
  </si>
  <si>
    <t>V Dept.</t>
  </si>
  <si>
    <t>V Team</t>
  </si>
  <si>
    <t>[N/A]Cinematic SV Team</t>
  </si>
  <si>
    <t>Cinematic Asset Part</t>
  </si>
  <si>
    <t>[N/A]Cinematic Motion Part</t>
  </si>
  <si>
    <t>[N/A] Corporate Strategy Team</t>
  </si>
  <si>
    <t>[N/A]Publishing Analytics Team 4</t>
  </si>
  <si>
    <t>[N/A]DKO Publishing Management Team</t>
  </si>
  <si>
    <t>[N/A]Live Ops Team 3</t>
  </si>
  <si>
    <t>PalM Combat Design Cell</t>
  </si>
  <si>
    <t>PalM System Design Team</t>
  </si>
  <si>
    <t>PalM Service Design Team</t>
  </si>
  <si>
    <t>PalM PM Team</t>
  </si>
  <si>
    <t>PalM UI Team</t>
  </si>
  <si>
    <t>PalM World Concept Part</t>
  </si>
  <si>
    <t>PalM World Team</t>
  </si>
  <si>
    <t>PalM World Modeling Part 1</t>
  </si>
  <si>
    <t>PalM World Modeling Part 2</t>
  </si>
  <si>
    <t>PalM Combat TF Team</t>
  </si>
  <si>
    <t>PalM Survival TF Team</t>
  </si>
  <si>
    <t>PalM System TF Team</t>
  </si>
  <si>
    <t>PalM EX TF Team</t>
  </si>
  <si>
    <t>[N/A] GSE Service Response Part</t>
  </si>
  <si>
    <t>[N/A]GSE Data Analytics Eng Part</t>
  </si>
  <si>
    <t>[N/A]GSE ML Eng Part</t>
  </si>
  <si>
    <t>[NA]Arc Publishing PM Part</t>
  </si>
  <si>
    <t>AI Service Dept.</t>
  </si>
  <si>
    <t>GPD1 Publishing Management Dept.</t>
  </si>
  <si>
    <t>GPD1 Community Management Team</t>
  </si>
  <si>
    <t>GPD1 Brand Management Team</t>
  </si>
  <si>
    <t>[N/A]D2 Publishing Management Team 2</t>
  </si>
  <si>
    <t>Special Project Team 3</t>
  </si>
  <si>
    <t>[N/A] A4 Team</t>
  </si>
  <si>
    <t>PUBGM JP Operations Team</t>
  </si>
  <si>
    <t>[N/A]PUBG West Dept._HQ</t>
  </si>
  <si>
    <t>PUBG West Publishing Team</t>
  </si>
  <si>
    <t>SEA Operations Part</t>
  </si>
  <si>
    <t>[N/A]G Dept.</t>
  </si>
  <si>
    <t>[N/A]G Team</t>
  </si>
  <si>
    <t>JP PM Team_HQ</t>
  </si>
  <si>
    <t>JP MarCom Team_HQ</t>
  </si>
  <si>
    <t>[N/A] VN Seoul Team</t>
  </si>
  <si>
    <t>[N/A] Americas Operations Team_HQ</t>
  </si>
  <si>
    <t>Americas TA Team_HQ</t>
  </si>
  <si>
    <t>[N/A]Disclosure Team</t>
  </si>
  <si>
    <t>Technology Transformation Office</t>
  </si>
  <si>
    <t>[N/A]XE DevOps Part</t>
  </si>
  <si>
    <t>[N/A]Emerging Market Support Team</t>
  </si>
  <si>
    <t>[N/A] AOD Business Team</t>
  </si>
  <si>
    <t>AOD Product Part 3</t>
  </si>
  <si>
    <t>[N/A] AOD Brand MKT Part</t>
  </si>
  <si>
    <t>[NA]D4 Marketing Part</t>
  </si>
  <si>
    <t>[N/A]Worldwide HR Div.</t>
  </si>
  <si>
    <t>Asia HR Dept.</t>
  </si>
  <si>
    <t>Operations Div.</t>
  </si>
  <si>
    <t>[N/A]D5T1 Publishing Management Part</t>
  </si>
  <si>
    <t>D3T2 Brand Management Part_HQ</t>
  </si>
  <si>
    <t>[N/A]D5T2 Publishing Management Part_HQ</t>
  </si>
  <si>
    <t>Publishing S&amp;O Div.</t>
  </si>
  <si>
    <t>Publishing Business Alignment Dept.</t>
  </si>
  <si>
    <t>Publishing Business Alignment Team</t>
  </si>
  <si>
    <t>[N/A] Publishing Strategy Team</t>
  </si>
  <si>
    <t>AI Game Service Dept.</t>
  </si>
  <si>
    <t>[N/A]AI Companion Team</t>
  </si>
  <si>
    <t>[N/A]Gameplay AI Team</t>
  </si>
  <si>
    <t>[N/A]AI Game Engineering Team</t>
  </si>
  <si>
    <t>[N/A]IN Platform Dev Team_HQ</t>
  </si>
  <si>
    <t>[N/A]PUBG Marketing Part</t>
  </si>
  <si>
    <t>[N/A]PUBG Communications Management Part</t>
  </si>
  <si>
    <t>PalM Combat System Team</t>
  </si>
  <si>
    <t>PalM Combat Contents Team</t>
  </si>
  <si>
    <t>PalM LED TF Team</t>
  </si>
  <si>
    <t>PalM LED Graphics Part</t>
  </si>
  <si>
    <t>PalM LED Content Part</t>
  </si>
  <si>
    <t>[N/A]inZOI Creative TF Team</t>
  </si>
  <si>
    <t>[N/A]inZOI Social Creative Part</t>
  </si>
  <si>
    <t>[N/A]inZOI Campaign Creative Part</t>
  </si>
  <si>
    <t>[N/A]inZOI Creative PM Part</t>
  </si>
  <si>
    <t>Graphic Design Team</t>
  </si>
  <si>
    <t>Video Creative Team</t>
  </si>
  <si>
    <t>[N/A] Design System Team</t>
  </si>
  <si>
    <t>Contents Tech Team 4</t>
  </si>
  <si>
    <t>Live Tech Team 2</t>
  </si>
  <si>
    <t>Animation Tech Part</t>
  </si>
  <si>
    <t>Anti-Cheat Tech Part</t>
  </si>
  <si>
    <t>[N/A]UGC Tech Part</t>
  </si>
  <si>
    <t>Mode Tech Part</t>
  </si>
  <si>
    <t>[N/A]Cinematic Character Part</t>
  </si>
  <si>
    <t>Cinematic World Part</t>
  </si>
  <si>
    <t>Cinematic Animation Part</t>
  </si>
  <si>
    <t>Cinematic FX Part</t>
  </si>
  <si>
    <t>Cinematic Rigging Part</t>
  </si>
  <si>
    <t>[N/A]Platform Service Mgmt Team_HQ</t>
  </si>
  <si>
    <t>[N/A]VN Seoul Team_HQ</t>
  </si>
  <si>
    <t>Global Publishing</t>
  </si>
  <si>
    <t>[N/A]Pre-visualization Team</t>
  </si>
  <si>
    <t>S2 Talent Part</t>
  </si>
  <si>
    <t>KCN TF Team</t>
  </si>
  <si>
    <t>[N/A]CN Data Team</t>
  </si>
  <si>
    <t>PUBG Ally Dev TF Team</t>
  </si>
  <si>
    <t>World Optimization Part</t>
  </si>
  <si>
    <t>Premium Dev Archivement Part</t>
  </si>
  <si>
    <t>Premium Dev Economy Part</t>
  </si>
  <si>
    <t>Nexus QA Part 2</t>
  </si>
  <si>
    <t>PalM QA Team</t>
  </si>
  <si>
    <t>[N/A] PalM UX Game Design TF Team</t>
  </si>
  <si>
    <t>PalM World Contents Part</t>
  </si>
  <si>
    <t>PalM In-Game System Part</t>
  </si>
  <si>
    <t>PalM Out-Game System Part</t>
  </si>
  <si>
    <t>PalM BM Design Part</t>
  </si>
  <si>
    <t>PalM Core Tech Team</t>
  </si>
  <si>
    <t>PalM Combat Tech Team</t>
  </si>
  <si>
    <t>[N/A]KIZNA Character Concept Part</t>
  </si>
  <si>
    <t>[N/A]KIZNA Spine Animation Part</t>
  </si>
  <si>
    <t>[N/A]KIZNA UI&amp;UX Team</t>
  </si>
  <si>
    <t>[N/A] Project Lotus TF Team</t>
  </si>
  <si>
    <t>[N/A]IT DevOps Part</t>
  </si>
  <si>
    <t>[N/A]VRD Asset Part</t>
  </si>
  <si>
    <t>[N/A]VRD Tech Part</t>
  </si>
  <si>
    <t>[N/A]GPSI Team 1</t>
  </si>
  <si>
    <t>[N/A]Vision &amp; Values TF Team</t>
  </si>
  <si>
    <t>[N/A]Media Contents AI Team</t>
  </si>
  <si>
    <t>Robot Learning Team</t>
  </si>
  <si>
    <t>Platform Business &amp; Operations Dept.</t>
  </si>
  <si>
    <t>[N/A]Krafton Creator Network Team_HQ</t>
  </si>
  <si>
    <t>[N/A]Technical Sourcing Services Team</t>
  </si>
  <si>
    <t>[N/A]KID User Management Team_HQ</t>
  </si>
  <si>
    <t>PalM Survival Tech Team</t>
  </si>
  <si>
    <t>PalM System Tech Team</t>
  </si>
  <si>
    <t>[N/A]Esports Game Planning Part</t>
  </si>
  <si>
    <t>[N/A]PalM Publishing Management Team</t>
  </si>
  <si>
    <t>GPD1 Strategic Insights Team</t>
  </si>
  <si>
    <t>2PP Publishing Part</t>
  </si>
  <si>
    <t>PUBG Seongsu Team</t>
  </si>
  <si>
    <t>PUBG Business Planning Team</t>
  </si>
  <si>
    <t>PUBG East Management Part</t>
  </si>
  <si>
    <t>PUBG BW TF Team</t>
  </si>
  <si>
    <t>[N/A]PUBGM IPX TF Team</t>
  </si>
  <si>
    <t>Tableau TF Team</t>
  </si>
  <si>
    <t>[N/A]DataOps Team</t>
  </si>
  <si>
    <t>PRC_PBB Seoul Unit</t>
  </si>
  <si>
    <t>PRC_PalM Unit</t>
  </si>
  <si>
    <t>[N/A] Athena Div.</t>
  </si>
  <si>
    <t>[N/A]TPP Esports TF Team</t>
  </si>
  <si>
    <t>[N/A] Music Partnership TF Team</t>
  </si>
  <si>
    <t>[N/A]AI Frontier Team</t>
  </si>
  <si>
    <t>Global Publishing Growth &amp; Portfolio Dep</t>
  </si>
  <si>
    <t>Publishing QA Team 3</t>
  </si>
  <si>
    <t>PPD Americas Team</t>
  </si>
  <si>
    <t>PPDA Data Analytics Part</t>
  </si>
  <si>
    <t>PPDA Data Engineering Part</t>
  </si>
  <si>
    <t>PPDA Experience Engineering Part</t>
  </si>
  <si>
    <t>PPDA KOS Engineering Part</t>
  </si>
  <si>
    <t>PPDA Business &amp; Operations Part</t>
  </si>
  <si>
    <t>PPDA Product Management Part</t>
  </si>
  <si>
    <t>[N/A]D4 Multi-product Marketing Team</t>
  </si>
  <si>
    <t>[N/A] Rivals Marketing Part</t>
  </si>
  <si>
    <t>[N/A] Hi-Fi Rush Marketing Part</t>
  </si>
  <si>
    <t>NA Publishing Services Div.</t>
  </si>
  <si>
    <t>[N/A]PUBG West Marketing Team_HQ</t>
  </si>
  <si>
    <t>[N/A]D2 Publishing Management Team 1</t>
  </si>
  <si>
    <t>GPD1 Publishing Coordination Dept.</t>
  </si>
  <si>
    <t>BE Dev Part 1</t>
  </si>
  <si>
    <t>BE Dev Part 2</t>
  </si>
  <si>
    <t>PalM BM Concept Team</t>
  </si>
  <si>
    <t>PalM VFX Part</t>
  </si>
  <si>
    <t>[N/A]IN Platform Planning Team_HQ</t>
  </si>
  <si>
    <t>[N/A]D3 Planning &amp; Operations Team_HQ</t>
  </si>
  <si>
    <t>Global Publishing Div. 2_HQ</t>
  </si>
  <si>
    <t>GPD2 Publishing Management Dept._HQ</t>
  </si>
  <si>
    <t>Investment Transaction Part 1</t>
  </si>
  <si>
    <t>[NA]Gamescom PR TF Team</t>
  </si>
  <si>
    <t>JP Publishing Contents Team_HQ</t>
  </si>
  <si>
    <t>Amenity Management Team</t>
  </si>
  <si>
    <t>[N/A]VRD TA Part</t>
  </si>
  <si>
    <t>[N/A]Publishing UA Team</t>
  </si>
  <si>
    <t>[N/A]Publishing Influencer Team</t>
  </si>
  <si>
    <t>Research &amp; Engagement Team</t>
  </si>
  <si>
    <t>[N/A]User Expectation Analytics Part</t>
  </si>
  <si>
    <t>I&amp;E Strategic Initiatives Team</t>
  </si>
  <si>
    <t>[N/A]Global Integration PMO</t>
  </si>
  <si>
    <t>Strategic Planning Team 2</t>
  </si>
  <si>
    <t>[N/A]PUBG CN MKT Planning Part_HQ</t>
  </si>
  <si>
    <t>[N/A]PUBG CN KOL TF Team_HQ</t>
  </si>
  <si>
    <t>PalM Art PM Team</t>
  </si>
  <si>
    <t>PalM TA Team</t>
  </si>
  <si>
    <t>Americas HR Dept._HQ</t>
  </si>
  <si>
    <t>PBB SEL World Art Team</t>
  </si>
  <si>
    <t>PBB Env Art Team</t>
  </si>
  <si>
    <t>IN Government Affairs Team</t>
  </si>
  <si>
    <t>[N/A]GPSI Team 4</t>
  </si>
  <si>
    <t>Publishing Communications Part</t>
  </si>
  <si>
    <t>[N/A]Live Service Planning Team</t>
  </si>
  <si>
    <t>[N/A]Customer Intelligence Team</t>
  </si>
  <si>
    <t>[N/A]AtoZ Team</t>
  </si>
  <si>
    <t>PalM Gameplay Part</t>
  </si>
  <si>
    <t>PalM Survival Contents Part</t>
  </si>
  <si>
    <t>World UE5 Part</t>
  </si>
  <si>
    <t>PPD China Team</t>
  </si>
  <si>
    <t>Self-Publishing TF Team</t>
  </si>
  <si>
    <t>[N/A]KOS SDK Unity Part</t>
  </si>
  <si>
    <t>[N/A]KOS SDK Unreal Part</t>
  </si>
  <si>
    <t>[N/A]KPS Engineering Part</t>
  </si>
  <si>
    <t>IN Esports Enablement Part_HQ</t>
  </si>
  <si>
    <t>[N/A]D2 Live Community Management Part</t>
  </si>
  <si>
    <t>[N/A]D2 Launch Community Management Part</t>
  </si>
  <si>
    <t>Global Publishing Group</t>
  </si>
  <si>
    <t>East Asia Finance Team</t>
  </si>
  <si>
    <t>Publishing Portfolio Management Team</t>
  </si>
  <si>
    <t>[N/A]D2 Business Operations Team</t>
  </si>
  <si>
    <t>SW-AI Lab Team</t>
  </si>
  <si>
    <t>Jungle Management Dept.</t>
  </si>
  <si>
    <t>[N/A]AI Art Gen Part 1</t>
  </si>
  <si>
    <t>[N/A]AI Art Gen Part 2</t>
  </si>
  <si>
    <t>[N/A] AI Art Gen Part 3</t>
  </si>
  <si>
    <t>Greater China Service Part</t>
  </si>
  <si>
    <t>CN PM Part_HQ</t>
  </si>
  <si>
    <t>Visual Tech Art Part</t>
  </si>
  <si>
    <t>PalM Balance Design TF Team</t>
  </si>
  <si>
    <t>PUBG EAST Biz Planning Team</t>
  </si>
  <si>
    <t>PUBG TW Part</t>
  </si>
  <si>
    <t>[N/A]Esports External Affairs Part</t>
  </si>
  <si>
    <t>GPD3 Publishing Team 3</t>
  </si>
  <si>
    <t>PUBG Marketing Team 2</t>
  </si>
  <si>
    <t>Game Production Leaders Team</t>
  </si>
  <si>
    <t>PUBG IP New Publishing TF Team</t>
  </si>
  <si>
    <t>Valor Publishing Part</t>
  </si>
  <si>
    <t>GW Publishing Part</t>
  </si>
  <si>
    <t>[N/A] NineB Div.</t>
  </si>
  <si>
    <t>Tree Business Team</t>
  </si>
  <si>
    <t>Studio Support Div.</t>
  </si>
  <si>
    <t>AI Research Design Team</t>
  </si>
  <si>
    <t>Mode Contents Part</t>
  </si>
  <si>
    <t>3D Modeling Part 1</t>
  </si>
  <si>
    <t>3D Modeling Part 2</t>
  </si>
  <si>
    <t>IN 3PP Part_HQ</t>
  </si>
  <si>
    <t>AI Transformation Dept.</t>
  </si>
  <si>
    <t>Brazil Strategic Development Office</t>
  </si>
  <si>
    <t>Regulatory Part</t>
  </si>
  <si>
    <t>AI Creative TF Team</t>
  </si>
  <si>
    <t>Learning &amp; Value Part 1</t>
  </si>
  <si>
    <t>Learning &amp; Value Part 2</t>
  </si>
  <si>
    <t>Publishing Business Management Part</t>
  </si>
  <si>
    <t>QA AI &amp; Operations Part</t>
  </si>
  <si>
    <t>Aegis Publishing Part</t>
  </si>
  <si>
    <t>Esports Operations Team</t>
  </si>
  <si>
    <t>AI Research Div._HQ</t>
  </si>
  <si>
    <t>BGMI Product Management Team_HQ</t>
  </si>
  <si>
    <t>Corporate Strategy Part</t>
  </si>
  <si>
    <t>Culture Ground TF Team</t>
  </si>
  <si>
    <t>H Dept.</t>
  </si>
  <si>
    <t>H Team</t>
  </si>
  <si>
    <t>Audio Creative Team</t>
  </si>
  <si>
    <t>1PP Publishing Part</t>
  </si>
  <si>
    <t>Publishing Strategy Part</t>
  </si>
  <si>
    <t>HQ Interior Part</t>
  </si>
  <si>
    <t>Technical Management Dept.</t>
  </si>
  <si>
    <t>PUBG Console Enhancement TF Team</t>
  </si>
  <si>
    <t>PCC Key Art Part</t>
  </si>
  <si>
    <t>Infra Tech Part</t>
  </si>
  <si>
    <t>Performance Tech Part</t>
  </si>
  <si>
    <t>PUBG UE5 PM Part</t>
  </si>
  <si>
    <t>Visual Engineering Part</t>
  </si>
  <si>
    <t>Graphics Engineering Part</t>
  </si>
  <si>
    <t>PalM Combat Tech Part 1</t>
  </si>
  <si>
    <t>PalM Combat Tech Part 2</t>
  </si>
  <si>
    <t>PalM DM Part</t>
  </si>
  <si>
    <t>PalM OM Part</t>
  </si>
  <si>
    <t>VFX_Shared Part</t>
  </si>
  <si>
    <t>Corporate Operations Div.</t>
  </si>
  <si>
    <t>PUBG Product Management Dept.</t>
  </si>
  <si>
    <t>LE Publishing TF Team</t>
  </si>
  <si>
    <t>SN2 &amp; inZOI Publishing TF Team</t>
  </si>
  <si>
    <t>PalM Publishing TF Team</t>
  </si>
  <si>
    <t>SN2 Live Ops &amp; QA TF Team</t>
  </si>
  <si>
    <t>ZETA Live Ops &amp; QA TF Team</t>
  </si>
  <si>
    <t>A Team</t>
  </si>
  <si>
    <t>Regional Communications Team</t>
  </si>
  <si>
    <t>EU PR Part</t>
  </si>
  <si>
    <t>NA PR Part</t>
  </si>
  <si>
    <t>M&amp;A Dept.</t>
  </si>
  <si>
    <t>Venture Investments &amp; Talent Sourcing De</t>
  </si>
  <si>
    <t>PalM Server Integration TF Team</t>
  </si>
  <si>
    <t>PalM Client &amp; Dedi Part</t>
  </si>
  <si>
    <t>PalM Server &amp; Infra Part</t>
  </si>
  <si>
    <t>UI Engineering Part</t>
  </si>
  <si>
    <t>Ranked Season Transition TF Team</t>
  </si>
  <si>
    <t>IGU AI Boost TF Team</t>
  </si>
  <si>
    <t>URP Tech Team</t>
  </si>
  <si>
    <t>URP Gameplay Tech Part</t>
  </si>
  <si>
    <t>URP Combat Tech PartS</t>
  </si>
  <si>
    <t>URP Out-Game &amp; Platform Tech Part</t>
  </si>
  <si>
    <t>URP Out-Game Design Team</t>
  </si>
  <si>
    <t>URP Contents &amp; Progression Design Part</t>
  </si>
  <si>
    <t>URP BM &amp; Balance Design Part</t>
  </si>
  <si>
    <t>URP In-Game Design Team</t>
  </si>
  <si>
    <t>URP Combat Design Part</t>
  </si>
  <si>
    <t>URP Level Design Part</t>
  </si>
  <si>
    <t>URP UX &amp; BX Team</t>
  </si>
  <si>
    <t>URP Art Team</t>
  </si>
  <si>
    <t>URP Live Contents Design Part</t>
  </si>
  <si>
    <t>Payment TF Team</t>
  </si>
  <si>
    <t>Ops AX TF Team</t>
  </si>
  <si>
    <t>Game AI Tribe Dept.</t>
  </si>
  <si>
    <t>AI Product Tribe Dept.</t>
  </si>
  <si>
    <t>Game AI Dev Chapter Dept.</t>
  </si>
  <si>
    <t>AI Product Dev Chapter Dept.</t>
  </si>
  <si>
    <t>In-game AI Squad Team</t>
  </si>
  <si>
    <t>Production AI Squad Team</t>
  </si>
  <si>
    <t>Live AI Squad Team</t>
  </si>
  <si>
    <t>LLM Biz Squad Team</t>
  </si>
  <si>
    <t>AI Application Squad Team</t>
  </si>
  <si>
    <t>Agent Squad Team</t>
  </si>
  <si>
    <t>Game Dev for AI Team</t>
  </si>
  <si>
    <t>AI Frontier Div.</t>
  </si>
  <si>
    <t>[N/A]Legal West Team_AM</t>
  </si>
  <si>
    <t>[N/A]NA Data Engineering Team_HQ</t>
  </si>
  <si>
    <t>Contents Production PM Part</t>
  </si>
  <si>
    <t>Service Production PM Part</t>
  </si>
  <si>
    <t>Tech Production PM Part</t>
  </si>
  <si>
    <t>Out-Game Contents Part</t>
  </si>
  <si>
    <t>In-Game Contents Part</t>
  </si>
  <si>
    <t>[N/A]Arc QA Part</t>
  </si>
  <si>
    <t>VFX_Valor Part</t>
  </si>
  <si>
    <t>[N/A]KIZNA World Concept Part</t>
  </si>
  <si>
    <t>SDS People Team_HQ</t>
  </si>
  <si>
    <t>[N/A]GPSI Team 3</t>
  </si>
  <si>
    <t>GPD1 Publishing Coordination Team</t>
  </si>
  <si>
    <t>Content L10N Part</t>
  </si>
  <si>
    <t>Game Lab Team</t>
  </si>
  <si>
    <t>Game Tech Lab Team</t>
  </si>
  <si>
    <t>[N/A]PA1 PC Console Part</t>
  </si>
  <si>
    <t>[N/A]PA1 Mobile Part</t>
  </si>
  <si>
    <t>GPD2 Brand &amp; Community Management Team_H</t>
  </si>
  <si>
    <t>AA Dept.</t>
  </si>
  <si>
    <t>Athena Operations Team</t>
  </si>
  <si>
    <t>[N/A] OliveTree Dept.</t>
  </si>
  <si>
    <t>FourEX Unit</t>
  </si>
  <si>
    <t>Finance AI TF Team</t>
  </si>
  <si>
    <t>GPD2 Product Management Team</t>
  </si>
  <si>
    <t>[N/A]Vision TF Team</t>
  </si>
  <si>
    <t>Project AAA TF Team</t>
  </si>
  <si>
    <t>VS Team</t>
  </si>
  <si>
    <t>[N/A]Art Workflow Innovation Team</t>
  </si>
  <si>
    <t>PRC_PBB Console Unit</t>
  </si>
  <si>
    <t>PUBGM Content TF Team</t>
  </si>
  <si>
    <t>한양전자(Hanyang)</t>
  </si>
  <si>
    <t>PPD AI TF Team</t>
  </si>
  <si>
    <t>FourEX Cell</t>
  </si>
  <si>
    <t>FourEX Game Design Team</t>
  </si>
  <si>
    <t>FourEX Tech Team</t>
  </si>
  <si>
    <t>AI R&amp;D Team 1</t>
  </si>
  <si>
    <t>[N/A]AI R&amp;D Team 2</t>
  </si>
  <si>
    <t>IN Production Management Team_HQ</t>
  </si>
  <si>
    <t>[N/A]IN Game Development Dept._HQ</t>
  </si>
  <si>
    <t>GPD2 Publishing Management Team_HQ</t>
  </si>
  <si>
    <t>PUBG SEA MKT Part</t>
  </si>
  <si>
    <t>PUBG SEA Community Part</t>
  </si>
  <si>
    <t>[N/A] AI Service Div.</t>
  </si>
  <si>
    <t>Safety Management Office</t>
  </si>
  <si>
    <t>Orion Unit</t>
  </si>
  <si>
    <t>FourEX Art Team</t>
  </si>
  <si>
    <t>PUBG IP Experience Team</t>
  </si>
  <si>
    <t>[N/A]AI R&amp;D Initiative Part</t>
  </si>
  <si>
    <t>[N/A]AI Service Initiative Part</t>
  </si>
  <si>
    <t>[N/A]AI Production Innovation Dept.</t>
  </si>
  <si>
    <t>[N/A]AI Game Design &amp; QA Team</t>
  </si>
  <si>
    <t>[N/A]GenAI Research Part</t>
  </si>
  <si>
    <t>[N/A]Data-centric Research Part</t>
  </si>
  <si>
    <t>[N/A]Agent Research Part</t>
  </si>
  <si>
    <t>CNTD Dept.</t>
  </si>
  <si>
    <t>PalM Combat Contents Part 1</t>
  </si>
  <si>
    <t>PalM Combat Contents Part 2</t>
  </si>
  <si>
    <t>PalM Combat Balance Part</t>
  </si>
  <si>
    <t>PalM Combat System Part</t>
  </si>
  <si>
    <t>PalM Combat Visual TF Team</t>
  </si>
  <si>
    <t>ORN Engineering Team</t>
  </si>
  <si>
    <t>ORN Art Team</t>
  </si>
  <si>
    <t>FourEX Contents Engineering Team</t>
  </si>
  <si>
    <t>Reve Team</t>
  </si>
  <si>
    <t>Reve Game Design Part</t>
  </si>
  <si>
    <t>Reve Tech Part</t>
  </si>
  <si>
    <t>Reve Art Part</t>
  </si>
  <si>
    <t>PUBG K Team</t>
  </si>
  <si>
    <t>BLUEHOLE Studio</t>
  </si>
  <si>
    <t>B_CBM Dept.</t>
  </si>
  <si>
    <t>[N/A]Technical Support Team</t>
  </si>
  <si>
    <t>[N/A]B_Video Team</t>
  </si>
  <si>
    <t>[N/A] Console</t>
  </si>
  <si>
    <t>[N/A] C_Client Team</t>
  </si>
  <si>
    <t>[N/A] C_Server Team</t>
  </si>
  <si>
    <t>[N/A] C_Art Team</t>
  </si>
  <si>
    <t>[N/A] C_UX/UI Team</t>
  </si>
  <si>
    <t>[N/A] C_Design Team</t>
  </si>
  <si>
    <t>[N/A] C_QA Team</t>
  </si>
  <si>
    <t>[N/A] C_Marketing Team</t>
  </si>
  <si>
    <t>[N/A] C_TA</t>
  </si>
  <si>
    <t>[N/A] SHIELDBITER Unit</t>
  </si>
  <si>
    <t>[N/A] SB_TechTeam</t>
  </si>
  <si>
    <t>[N/A] SB_ContentsDesignTeam</t>
  </si>
  <si>
    <t>[N/A] SB_ArtTeam</t>
  </si>
  <si>
    <t>[N/A] SB_SystemDesignTeam</t>
  </si>
  <si>
    <t>[N/A] SB_PMTeam</t>
  </si>
  <si>
    <t>[N/A] B_Data Science Dept.</t>
  </si>
  <si>
    <t>[N/A] Data Analysis Team</t>
  </si>
  <si>
    <t>[N/A]Data Engineering Team</t>
  </si>
  <si>
    <t>[N/A] Game AI Team</t>
  </si>
  <si>
    <t>[N/A] T_PM Part</t>
  </si>
  <si>
    <t>[N/A] T_Dev Unit</t>
  </si>
  <si>
    <t>[N/A] T_Art Team</t>
  </si>
  <si>
    <t>[N/A] T_3D Character Part</t>
  </si>
  <si>
    <t>[N/A] T_Concept Part</t>
  </si>
  <si>
    <t>T_3D Environment Part</t>
  </si>
  <si>
    <t>[N/A] T_Effect Part</t>
  </si>
  <si>
    <t>T_Motion Part</t>
  </si>
  <si>
    <t>[N/A] T_Program Team</t>
  </si>
  <si>
    <t>[N/A] T_Server Part</t>
  </si>
  <si>
    <t>T_Client Part</t>
  </si>
  <si>
    <t>[N/A] T_Design Team</t>
  </si>
  <si>
    <t>[N/A] T_Design Part</t>
  </si>
  <si>
    <t>[N/A] T_Dev QATeam</t>
  </si>
  <si>
    <t>T_Livecare QA Part</t>
  </si>
  <si>
    <t>[N/A] T_Contents QA Part</t>
  </si>
  <si>
    <t>[N/A] T_PC Live Unit</t>
  </si>
  <si>
    <t>[N/A] T_PC Live QA Team</t>
  </si>
  <si>
    <t>[N/A] T_PC Biz Team</t>
  </si>
  <si>
    <t>[N/A]ELYON Unit</t>
  </si>
  <si>
    <t>[N/A]VT_QA Team</t>
  </si>
  <si>
    <t>[N/A] E_QA1_Part</t>
  </si>
  <si>
    <t>[N/A]E_QA2_Part</t>
  </si>
  <si>
    <t>[N/A]E_QA_Global_Part</t>
  </si>
  <si>
    <t>[N/A] E_PD_Team</t>
  </si>
  <si>
    <t>[N/A]E_Biz_Team</t>
  </si>
  <si>
    <t>[N/A]B_Service_Planning_Team</t>
  </si>
  <si>
    <t>[N/A]E_CD</t>
  </si>
  <si>
    <t>[N/A] E_Design4_Team</t>
  </si>
  <si>
    <t>[N/A] E_Design1_Team</t>
  </si>
  <si>
    <t>[N/A]E_Contents_Part</t>
  </si>
  <si>
    <t>[N/A] E_Battle_Class_Part</t>
  </si>
  <si>
    <t>[N/A]E_Design1_Team</t>
  </si>
  <si>
    <t>[N/A] E_Design3_Team</t>
  </si>
  <si>
    <t>[N/A]E_AD</t>
  </si>
  <si>
    <t>[N/A]E_UI_Team</t>
  </si>
  <si>
    <t>[N/A]E_Animation_Part</t>
  </si>
  <si>
    <t>[N/A]E_FX_Team</t>
  </si>
  <si>
    <t>[N/A]E_Character_Part</t>
  </si>
  <si>
    <t>[N/A]E_BG_Part</t>
  </si>
  <si>
    <t>[N/A]E_TD</t>
  </si>
  <si>
    <t>[N/A] E_Tech_Team</t>
  </si>
  <si>
    <t>[N/A]E_Client_Team</t>
  </si>
  <si>
    <t>[N/A] E_Battle_Client_Team</t>
  </si>
  <si>
    <t>BLUEHOLE shared_Finance</t>
  </si>
  <si>
    <t>[N/A]E_Design2_Team</t>
  </si>
  <si>
    <t>[N/A]E PM Team</t>
  </si>
  <si>
    <t>[N/A]E_2D_Team</t>
  </si>
  <si>
    <t>[N/A] E MTF</t>
  </si>
  <si>
    <t>[N/A] E_BG_Dungeon_Part</t>
  </si>
  <si>
    <t>[N/A]B_Production Div.</t>
  </si>
  <si>
    <t>[N/A] Pre-Production Unit</t>
  </si>
  <si>
    <t>[N/A] PL Team</t>
  </si>
  <si>
    <t>[N/A] Project FF</t>
  </si>
  <si>
    <t>[N/A] Project Whale</t>
  </si>
  <si>
    <t>[N/A] Mass-Production Unit</t>
  </si>
  <si>
    <t>B_Live Div.</t>
  </si>
  <si>
    <t>[N/A] E_MultiPlay Contents Part</t>
  </si>
  <si>
    <t>[N/A]T_Console Live Team</t>
  </si>
  <si>
    <t>[N/A] T_Console Biz Part</t>
  </si>
  <si>
    <t>[N/A] T_Console Live QA Part</t>
  </si>
  <si>
    <t>[N/A]Data Analysis Part</t>
  </si>
  <si>
    <t>[N/A] T_System Part</t>
  </si>
  <si>
    <t>[N/A]T_Content Part</t>
  </si>
  <si>
    <t>[N/A]T_Balance Part</t>
  </si>
  <si>
    <t>[N/A] T_KR Biz Part</t>
  </si>
  <si>
    <t>[N/A] T_Global Biz Part</t>
  </si>
  <si>
    <t>[N/A] E_APD</t>
  </si>
  <si>
    <t>[N/A] E_APRIL_TF Team</t>
  </si>
  <si>
    <t>BLUEHOLE shared_HR</t>
  </si>
  <si>
    <t>BLUEHOLE shared_Engineering</t>
  </si>
  <si>
    <t>BLUEHOLE shared_Connect</t>
  </si>
  <si>
    <t>[N/A]E_BM_TF</t>
  </si>
  <si>
    <t>[N/A] BLUE Unit</t>
  </si>
  <si>
    <t>FF_Game Design Cell</t>
  </si>
  <si>
    <t>[N/A]AB_Tech Cell</t>
  </si>
  <si>
    <t>[N/A]B_Tech3 Team</t>
  </si>
  <si>
    <t>[N/A]B_Tech1 Team</t>
  </si>
  <si>
    <t>[N/A] AB_Art Cell</t>
  </si>
  <si>
    <t>[N/A] AB_Concept1 Team</t>
  </si>
  <si>
    <t>[N/A]B_Character Team</t>
  </si>
  <si>
    <t>[N/A]B_Motion Team</t>
  </si>
  <si>
    <t>[N/A]B_Env Team</t>
  </si>
  <si>
    <t>[N/A]B_FX Team</t>
  </si>
  <si>
    <t>[N/A]VT_UI Team</t>
  </si>
  <si>
    <t>[N/A]FF_QA Team</t>
  </si>
  <si>
    <t>[N/A]B_New Production Unit</t>
  </si>
  <si>
    <t>B_Strategy Team</t>
  </si>
  <si>
    <t>[N/A] B_Trailblazer Unit</t>
  </si>
  <si>
    <t>[N/A]TB Biz Team</t>
  </si>
  <si>
    <t>[N/A]E_Class_Part</t>
  </si>
  <si>
    <t>[N/A]E_Directing_TF</t>
  </si>
  <si>
    <t>[N/A]T_Console Servcie Part</t>
  </si>
  <si>
    <t>[N/A] T_PC Service Part</t>
  </si>
  <si>
    <t>[N/A]B_New Production Team</t>
  </si>
  <si>
    <t>[N/A]Project Plus Team</t>
  </si>
  <si>
    <t>[N/A]Plus Art Part</t>
  </si>
  <si>
    <t>[N/A]Plus Design Part</t>
  </si>
  <si>
    <t>[N/A]Plus Program Part</t>
  </si>
  <si>
    <t>[N/A]E_Global_Part</t>
  </si>
  <si>
    <t>[N/A]E_Narrative_Part</t>
  </si>
  <si>
    <t>[N/A] FF_System Team</t>
  </si>
  <si>
    <t>FF_Contents Team</t>
  </si>
  <si>
    <t>[N/A] BLUE_Art Cell</t>
  </si>
  <si>
    <t>[N/A] BLUE_Tech Cell</t>
  </si>
  <si>
    <t>Project TT Team</t>
  </si>
  <si>
    <t>[N/A]E_Live_Part</t>
  </si>
  <si>
    <t>[N/A]E_ServiceDesign_Part</t>
  </si>
  <si>
    <t>[N/A] E_Live_Part</t>
  </si>
  <si>
    <t>[N/A] EXP_TF Team</t>
  </si>
  <si>
    <t>[N/A] EXP_TF_Tech Part</t>
  </si>
  <si>
    <t>[N/A] EXP_TF_Art Part</t>
  </si>
  <si>
    <t>[N/A] EXP_TF_Design Part</t>
  </si>
  <si>
    <t>[N/A]CCG_Team</t>
  </si>
  <si>
    <t>[N/A]E_Art_Team</t>
  </si>
  <si>
    <t>[N/A]Engine R&amp;D Unit</t>
  </si>
  <si>
    <t>[N/A]B_Design1 Team</t>
  </si>
  <si>
    <t>[N/A]B_Design2 Team</t>
  </si>
  <si>
    <t>[N/A] AB_Design3 Team</t>
  </si>
  <si>
    <t>[N/A]B_Tech2 Team</t>
  </si>
  <si>
    <t>[N/A]Victory Unit</t>
  </si>
  <si>
    <t>AB_V1 Team</t>
  </si>
  <si>
    <t>[N/A]AB_V2 Team</t>
  </si>
  <si>
    <t>[N/A] W Team</t>
  </si>
  <si>
    <t>[N/A] AB_Concept2 Team</t>
  </si>
  <si>
    <t>[N/A] AB_V3 Team</t>
  </si>
  <si>
    <t>[N/A]AB_GSTAR2023 Team</t>
  </si>
  <si>
    <t>[N/A]B_Engine Tech Team</t>
  </si>
  <si>
    <t>[N/A]MAHA_Technical Art Team</t>
  </si>
  <si>
    <t>[N/A]VT_V4 Team</t>
  </si>
  <si>
    <t>[N/A]VT_V5 Team</t>
  </si>
  <si>
    <t>[N/A]B_CDS Dept.</t>
  </si>
  <si>
    <t>B_HR Team</t>
  </si>
  <si>
    <t>B_Management Team</t>
  </si>
  <si>
    <t>AB_V6 Team</t>
  </si>
  <si>
    <t>B_Buildup Team</t>
  </si>
  <si>
    <t>AB_V7 Team</t>
  </si>
  <si>
    <t>[N/A]B_Live Tech Team</t>
  </si>
  <si>
    <t>[N/A]V_A Cell</t>
  </si>
  <si>
    <t>[N/A] AB_B Cell_BH</t>
  </si>
  <si>
    <t>AB_V8 Team_BH</t>
  </si>
  <si>
    <t>AB_C Cell</t>
  </si>
  <si>
    <t>[N/A] AB_D Cell</t>
  </si>
  <si>
    <t>[N/A] AB_E Cell</t>
  </si>
  <si>
    <t>[N/A]AB_Live Service Cell</t>
  </si>
  <si>
    <t>[N/A]VT_PM Team</t>
  </si>
  <si>
    <t>[N/A]B_Illustration Team</t>
  </si>
  <si>
    <t>[N/A]Game R&amp;D Unit</t>
  </si>
  <si>
    <t>[N/A]B_Design3 Part</t>
  </si>
  <si>
    <t>[N/A]B_Design5 Part</t>
  </si>
  <si>
    <t>[N/A]B_Dev1 Cell</t>
  </si>
  <si>
    <t>[N/A]MAHA_Technical Art1 Part</t>
  </si>
  <si>
    <t>[N/A]B_Dev2 Cell</t>
  </si>
  <si>
    <t>[N/A]B_Tech3 Part</t>
  </si>
  <si>
    <t>[N/A]B_Tech5 Part</t>
  </si>
  <si>
    <t>[N/A]B_Tech6 Part</t>
  </si>
  <si>
    <t>[N/A]MAHA_Tech Team</t>
  </si>
  <si>
    <t>[N/A]B_Engine1 Part</t>
  </si>
  <si>
    <t>[N/A]B_Engine2 Part</t>
  </si>
  <si>
    <t>[N/A]B_Dev3 Cell</t>
  </si>
  <si>
    <t>[N/A]B_Design1 Part</t>
  </si>
  <si>
    <t>[N/A] AB_Design6 Part</t>
  </si>
  <si>
    <t>B_Vision Lab Div.</t>
  </si>
  <si>
    <t>[N/A]Dev Team</t>
  </si>
  <si>
    <t>[N/A]B_Design2 Part</t>
  </si>
  <si>
    <t>[N/A]MAHA Unit</t>
  </si>
  <si>
    <t>[N/A]MAHA_Technical Art2 Part</t>
  </si>
  <si>
    <t>[N/A]VT_UX Design Team</t>
  </si>
  <si>
    <t>[N/A]MAHA_Design Team</t>
  </si>
  <si>
    <t>[N/A]MAHA_Art Team</t>
  </si>
  <si>
    <t>T_Service Team</t>
  </si>
  <si>
    <t>[N/A]B_Design4 Part</t>
  </si>
  <si>
    <t>B_R&amp;D Dept.</t>
  </si>
  <si>
    <t>B_KD Team</t>
  </si>
  <si>
    <t>B_Foundry Div.</t>
  </si>
  <si>
    <t>[N/A]B_Foundry A Team</t>
  </si>
  <si>
    <t>[N/A]B_Foundry B Team</t>
  </si>
  <si>
    <t>B_Tech Intelligence Dept.</t>
  </si>
  <si>
    <t>B_Tech Solution Team</t>
  </si>
  <si>
    <t>B_Intelligent QA Team</t>
  </si>
  <si>
    <t>B_D Dungeon Team</t>
  </si>
  <si>
    <t>PUBG V Unit</t>
  </si>
  <si>
    <t>PUBG V_Tech Cell</t>
  </si>
  <si>
    <t>PUBG V_Design Cell</t>
  </si>
  <si>
    <t>PUBG V_Art Cell</t>
  </si>
  <si>
    <t>PUBG V_Victory Cell</t>
  </si>
  <si>
    <t>PUBG V_TA Team</t>
  </si>
  <si>
    <t>Rising Wings</t>
  </si>
  <si>
    <t>VP</t>
  </si>
  <si>
    <t>Sound Dept.</t>
  </si>
  <si>
    <t>[N/A] DS Dept.</t>
  </si>
  <si>
    <t>Leverage Dept.</t>
  </si>
  <si>
    <t>[N/A]UA Team</t>
  </si>
  <si>
    <t>Service Dept.</t>
  </si>
  <si>
    <t>Service PM Team</t>
  </si>
  <si>
    <t>QA Team</t>
  </si>
  <si>
    <t>Strategy Dept._RW</t>
  </si>
  <si>
    <t>RW 1 Div.</t>
  </si>
  <si>
    <t>[N/A] CastleCraft Team</t>
  </si>
  <si>
    <t>[N/A]DD Team</t>
  </si>
  <si>
    <t>[N/A]MSG Production Div.</t>
  </si>
  <si>
    <t>[N/A]MGK Team</t>
  </si>
  <si>
    <t>[N/A]Challenger Team</t>
  </si>
  <si>
    <t>[N/A]GK Team</t>
  </si>
  <si>
    <t>[N/A]GK Art TFT Team</t>
  </si>
  <si>
    <t>[N/A] HK Team</t>
  </si>
  <si>
    <t>[N/A]Project S Team</t>
  </si>
  <si>
    <t>[N/A]3D Unit</t>
  </si>
  <si>
    <t>[N/A]UI Unit</t>
  </si>
  <si>
    <t>[N/A]TechSupport Unit</t>
  </si>
  <si>
    <t>Management Support Div.</t>
  </si>
  <si>
    <t>Finance Team</t>
  </si>
  <si>
    <t>Connect Team</t>
  </si>
  <si>
    <t>HR Team</t>
  </si>
  <si>
    <t>[N/A]PM팀</t>
  </si>
  <si>
    <t>[N/A]Boom Team</t>
  </si>
  <si>
    <t>[N/A] Project R Team</t>
  </si>
  <si>
    <t>RW 2 Div.</t>
  </si>
  <si>
    <t>[N/A] Game Design Team</t>
  </si>
  <si>
    <t>[N/A] Graphic Team</t>
  </si>
  <si>
    <t>[N/A] Server Team</t>
  </si>
  <si>
    <t>[N/A]Project P Team</t>
  </si>
  <si>
    <t>CISO/CPO</t>
  </si>
  <si>
    <t>CEO</t>
  </si>
  <si>
    <t>[N/A]COMPETZ Team</t>
  </si>
  <si>
    <t>Game Dev Unit.</t>
  </si>
  <si>
    <t>SDK Unit.</t>
  </si>
  <si>
    <t>CTO</t>
  </si>
  <si>
    <t>[N/A]PM Team</t>
  </si>
  <si>
    <t>[N/A]COMPETZ Design Part</t>
  </si>
  <si>
    <t>[N/A]COMPETZ Client Part</t>
  </si>
  <si>
    <t>[N/A]COMPETZ Server Part</t>
  </si>
  <si>
    <t>[N/A]COMPETZ UI Part</t>
  </si>
  <si>
    <t>[N/A]RW Advisor</t>
  </si>
  <si>
    <t>[N/A]DollyGo Team</t>
  </si>
  <si>
    <t>[N/A]Project I Team</t>
  </si>
  <si>
    <t>[N/A]MSG 3D&amp;Art Team</t>
  </si>
  <si>
    <t>[N/A]MSG Ani&amp;Effect Team</t>
  </si>
  <si>
    <t>[N/A]MSG UI Team</t>
  </si>
  <si>
    <t>[N/A]3M Team</t>
  </si>
  <si>
    <t>[N/A]CoOK Team</t>
  </si>
  <si>
    <t>[N/A]EL Team</t>
  </si>
  <si>
    <t>[N/A] DB Team</t>
  </si>
  <si>
    <t>[N/A]Dolly Idle Team</t>
  </si>
  <si>
    <t>RW R&amp;D Support Div.</t>
  </si>
  <si>
    <t>RW R&amp;D Dept. 1</t>
  </si>
  <si>
    <t>RW R&amp;D Div.</t>
  </si>
  <si>
    <t>RW Live Dept.</t>
  </si>
  <si>
    <t>[N/A]EL R&amp;D Team</t>
  </si>
  <si>
    <t>Project A Dept.</t>
  </si>
  <si>
    <t>Project Aegis Team</t>
  </si>
  <si>
    <t>R&amp;D Support Div.</t>
  </si>
  <si>
    <t>RW Live Support Team</t>
  </si>
  <si>
    <t>RW Tech Support Team</t>
  </si>
  <si>
    <t>RW People Team</t>
  </si>
  <si>
    <t>RW Propulsion Team</t>
  </si>
  <si>
    <t>RW Live Team</t>
  </si>
  <si>
    <t>Krafton Americas, Inc.</t>
  </si>
  <si>
    <t>[N/A]PUBG Universe Mgmt Dept._SM</t>
  </si>
  <si>
    <t>[N/A] Legal Dept._SM</t>
  </si>
  <si>
    <t>[N/A] Global Legal Team_SM</t>
  </si>
  <si>
    <t>SNP PR Team_SM</t>
  </si>
  <si>
    <t>Content&amp;IP Biz Dev Team_SM</t>
  </si>
  <si>
    <t>[N/A] Video Creative SM Team</t>
  </si>
  <si>
    <t>Community Management Team_SM</t>
  </si>
  <si>
    <t>Global Publishing Div. 2_KA</t>
  </si>
  <si>
    <t>[N/A] PUBGM TFT_SM</t>
  </si>
  <si>
    <t>[N/A] NA Technology Team</t>
  </si>
  <si>
    <t>[N/A]AMT DevOps Part</t>
  </si>
  <si>
    <t>[N/A]NA Growth Marketing Team</t>
  </si>
  <si>
    <t>[N/A]Americas Creative Services Team</t>
  </si>
  <si>
    <t>[N/A] D3 Project Management Team</t>
  </si>
  <si>
    <t>[N/A]Americas Brand Marketing Team</t>
  </si>
  <si>
    <t>[N/A] D3 MarCom Team</t>
  </si>
  <si>
    <t>[N/A]Americas PR Part</t>
  </si>
  <si>
    <t>[N/A]Americas Social Part</t>
  </si>
  <si>
    <t>[N/A]Americas Influencer Part</t>
  </si>
  <si>
    <t>[N/A]Americas Community Part</t>
  </si>
  <si>
    <t>[N/A] Americas Operations Team</t>
  </si>
  <si>
    <t>Americas Finance Team</t>
  </si>
  <si>
    <t>[N/A] NA Convergence Team</t>
  </si>
  <si>
    <t>Krafton Americas Translation Part_SM</t>
  </si>
  <si>
    <t>[N/A]Americas Esports &amp; Events Team_SM</t>
  </si>
  <si>
    <t>[N/A] LATAM Biz Dept._SM</t>
  </si>
  <si>
    <t>[N/A] LATAM Esports Team</t>
  </si>
  <si>
    <t>[N/A] LATAM Biz Dev Team</t>
  </si>
  <si>
    <t>[N/A]LATAM Publishing Team</t>
  </si>
  <si>
    <t>[N/A]Market Insights Lab Dept._SM</t>
  </si>
  <si>
    <t>Market Insights Team_SM</t>
  </si>
  <si>
    <t>BI Business Analytics Team_SM</t>
  </si>
  <si>
    <t>[N/A]Market Analysis Team_SM</t>
  </si>
  <si>
    <t>CMO</t>
  </si>
  <si>
    <t>Global Creative Div._SM</t>
  </si>
  <si>
    <t>GPP Dept._SM</t>
  </si>
  <si>
    <t>Content&amp;IP Biz Dev Dept._SM</t>
  </si>
  <si>
    <t>[N/A] Krafton Operations</t>
  </si>
  <si>
    <t>[N/A] EME Platform</t>
  </si>
  <si>
    <t>[N/A] EME Tech Team</t>
  </si>
  <si>
    <t>[N/A] EME Infrastructure</t>
  </si>
  <si>
    <t>[N/A] Americas XTRM TFT</t>
  </si>
  <si>
    <t>[N/A]Americas Product Analytics Team</t>
  </si>
  <si>
    <t>[N/A]Americas Content Management Part</t>
  </si>
  <si>
    <t>[N/A] GLegal Admin US Part_SM</t>
  </si>
  <si>
    <t>[N/A]Glegal West Team</t>
  </si>
  <si>
    <t>GLegal_China Part_SM</t>
  </si>
  <si>
    <t>[N/A] GLegal_IP&amp;Lit Team_SM</t>
  </si>
  <si>
    <t>Global Reg &amp; Privacy Part_SM</t>
  </si>
  <si>
    <t>GLegal_Japan Part_SM</t>
  </si>
  <si>
    <t>[N/A]Strategy Dept._SM</t>
  </si>
  <si>
    <t>[N/A]LATAM Brand Management Part</t>
  </si>
  <si>
    <t>[N/A]LATAM Product Marketing Part</t>
  </si>
  <si>
    <t>[N/A]LATAM BD&amp;BI Part</t>
  </si>
  <si>
    <t>[N/A] Americas Publishing Dept.</t>
  </si>
  <si>
    <t>[N/A] NA Mobile Marketing Part</t>
  </si>
  <si>
    <t>[N/A] NA PC Marketing Part</t>
  </si>
  <si>
    <t>[N/A] Americas Esports Marketing Part</t>
  </si>
  <si>
    <t>[N/A] Americas Esports League Ops Part</t>
  </si>
  <si>
    <t>International Biz&amp;Publishing Group_SM</t>
  </si>
  <si>
    <t>ECD Production Management Team_SM</t>
  </si>
  <si>
    <t>[N/A] Global Investment Team II</t>
  </si>
  <si>
    <t>[N/A]AMT Production Part</t>
  </si>
  <si>
    <t>[N/A] NA Tech Product Management Part</t>
  </si>
  <si>
    <t>[N/A]Americas Marketing Tech Team_SM</t>
  </si>
  <si>
    <t>[N/A]AMT Backend Part</t>
  </si>
  <si>
    <t>[N/A]AMT Frontend Part</t>
  </si>
  <si>
    <t>GPP US Team_SM</t>
  </si>
  <si>
    <t>[N/A] SHIELDBITER Unit_SM</t>
  </si>
  <si>
    <t>Creative Project Management Team_SM</t>
  </si>
  <si>
    <t>PUBG IP Collaborations Team_KA</t>
  </si>
  <si>
    <t>ECD NA Content Production Team_SM</t>
  </si>
  <si>
    <t>[N/A]PUBGU NA PM Part</t>
  </si>
  <si>
    <t>[N/A]ECD NA Team_SM</t>
  </si>
  <si>
    <t>[N/A]PUBGU KR PM Part_SM</t>
  </si>
  <si>
    <t>PUBGU-Game Alignment Part</t>
  </si>
  <si>
    <t>[N/A]KRAFTON ID Team_KA</t>
  </si>
  <si>
    <t>[N/A]MoonBreaker Publishing Team</t>
  </si>
  <si>
    <t>[N/A]Americas Brand Marketing Part</t>
  </si>
  <si>
    <t>[N/A]Americas Brand Marketing 1 Part</t>
  </si>
  <si>
    <t>ECD Game Synergy Team_SM</t>
  </si>
  <si>
    <t>Creative Americas Video Part_SM</t>
  </si>
  <si>
    <t>FF_Game Design Cell_SM</t>
  </si>
  <si>
    <t>[N/A]Americas Product Management Part</t>
  </si>
  <si>
    <t>[N/A]NA Film&amp;TV Partnerships Team_SM</t>
  </si>
  <si>
    <t>Transmedia Partnerships Team_SM</t>
  </si>
  <si>
    <t>Madison IT Part_KA</t>
  </si>
  <si>
    <t>[N/A]NA Tech Team_SM</t>
  </si>
  <si>
    <t>Americas eSports Prize</t>
  </si>
  <si>
    <t>[N/A]Americas Office Management Dept._SM</t>
  </si>
  <si>
    <t>Creative Americas Sound Part_SM</t>
  </si>
  <si>
    <t>[N/A]Publishing Evaluation &amp; Deal Team_A</t>
  </si>
  <si>
    <t>[N/A]Americas Video Creative Part</t>
  </si>
  <si>
    <t>[N/A]Americas Design Creative Part</t>
  </si>
  <si>
    <t>[N/A]Madison IT Part_SM</t>
  </si>
  <si>
    <t>Global Biz Dev Div._SM</t>
  </si>
  <si>
    <t>[N/A]Americas PR &amp; Influencer Part</t>
  </si>
  <si>
    <t>[N/A]Americas Social &amp; Community Part</t>
  </si>
  <si>
    <t>Americas Finance Part</t>
  </si>
  <si>
    <t>UW Finance Part</t>
  </si>
  <si>
    <t>MG Finance Part_SM</t>
  </si>
  <si>
    <t>PPE PM Team_SM</t>
  </si>
  <si>
    <t>Creative Americas Visual Design</t>
  </si>
  <si>
    <t>Platform Design Part_SM</t>
  </si>
  <si>
    <t>[N/A]Americas Esports Team_SM</t>
  </si>
  <si>
    <t>[N/A]Americas Events Part_SM</t>
  </si>
  <si>
    <t>[N/A]America Publishing Operations Dept.</t>
  </si>
  <si>
    <t>[N/A]Americas Product Team 1</t>
  </si>
  <si>
    <t>[N/A]Americas Live Operations Part</t>
  </si>
  <si>
    <t>[N/A]Glegal Regulatory Part_SM</t>
  </si>
  <si>
    <t>Legal US Part_SM</t>
  </si>
  <si>
    <t>Legal East Team_SM</t>
  </si>
  <si>
    <t>Legal EMEA Part_SM</t>
  </si>
  <si>
    <t>Legal Operations Part _SM</t>
  </si>
  <si>
    <t>[N/A]Americas Dev Relations Team_KA</t>
  </si>
  <si>
    <t>[N/A]User Insights Part_SM</t>
  </si>
  <si>
    <t>Media Expansion Dept._SM</t>
  </si>
  <si>
    <t>Film&amp;TV Partnerships Team_SM</t>
  </si>
  <si>
    <t>ME Business &amp; Strategy Team_SM</t>
  </si>
  <si>
    <t>[N/A]ME BA Part_SM</t>
  </si>
  <si>
    <t>[N/A]ME Operations Part_SM</t>
  </si>
  <si>
    <t>Americas Inactive Team</t>
  </si>
  <si>
    <t>NA Scale-Up Team_KA</t>
  </si>
  <si>
    <t>[N/A]Americas Brand Marketing 2 Part</t>
  </si>
  <si>
    <t>[N/A]Americas Brand Marketing 3 Part</t>
  </si>
  <si>
    <t>[N/A]Americas Strategy &amp; Biz Dev Dept.</t>
  </si>
  <si>
    <t>[N/A]Americas Sales Team</t>
  </si>
  <si>
    <t>[N/A]Americas Strategy &amp; Analytics Team</t>
  </si>
  <si>
    <t>[N/A]Americas MarTech &amp; Live Services T</t>
  </si>
  <si>
    <t>[N/A]IP &amp; Lit Team</t>
  </si>
  <si>
    <t>[N/A] Americas Creative Dept.</t>
  </si>
  <si>
    <t>Creative Americas Production Tea</t>
  </si>
  <si>
    <t>[N/A]Creative Americas Motion Design</t>
  </si>
  <si>
    <t>Creative Americas Producer Part_KA</t>
  </si>
  <si>
    <t>[N/A]EME Finance Par</t>
  </si>
  <si>
    <t>[N/A] Americas Biz Dev Team</t>
  </si>
  <si>
    <t>[N/A]Americas Biz Dev Team</t>
  </si>
  <si>
    <t>Americas MarTech Part　</t>
  </si>
  <si>
    <t>[N/A]GPP IAM Part_KA</t>
  </si>
  <si>
    <t>Americas Esports Operations Part</t>
  </si>
  <si>
    <t>[N/A]Americas Product Team 2</t>
  </si>
  <si>
    <t>[N/A] D3 Growth Management Team</t>
  </si>
  <si>
    <t>[N/A]Americas Product Management &amp; PM</t>
  </si>
  <si>
    <t>[N/A]Americas Product Part</t>
  </si>
  <si>
    <t>Americas Publishing Operations Dept.</t>
  </si>
  <si>
    <t>Americas Tax Part</t>
  </si>
  <si>
    <t>[N/A]Americas Biz Management Dept.</t>
  </si>
  <si>
    <t>[N/A] D3 Demand Planning Team</t>
  </si>
  <si>
    <t>[N/A]Americas Business Management Team</t>
  </si>
  <si>
    <t>[N/A] Seattle Studio Team</t>
  </si>
  <si>
    <t>S2 Team_SM</t>
  </si>
  <si>
    <t>KA QA Part</t>
  </si>
  <si>
    <t>Creative Project Management Part_SM</t>
  </si>
  <si>
    <t>[N/A]Americas QA Team</t>
  </si>
  <si>
    <t>Global Finance Dept._KA</t>
  </si>
  <si>
    <t>Seattle Studio Team</t>
  </si>
  <si>
    <t>[N/A] Media Expansion NA Part</t>
  </si>
  <si>
    <t>[N/A] Platform &amp; Tech Partnerships Dept.</t>
  </si>
  <si>
    <t>Partnerships Team_KA</t>
  </si>
  <si>
    <t>[N/A] Tech Partnerships Team_KA</t>
  </si>
  <si>
    <t>Executive Translation Team</t>
  </si>
  <si>
    <t>KA HR Part</t>
  </si>
  <si>
    <t>KA Workplace Part</t>
  </si>
  <si>
    <t>[N/A] SDS HR Part</t>
  </si>
  <si>
    <t>Americas TA Team</t>
  </si>
  <si>
    <t>[N/A] D3 Product Marketing Management Te</t>
  </si>
  <si>
    <t>[N/A] Subnautica 2 PMM Part</t>
  </si>
  <si>
    <t>[N/A] Windless PMM Part</t>
  </si>
  <si>
    <t>[N/A] Impact PMM Part</t>
  </si>
  <si>
    <t>[N/A] Birdseye PMM Part</t>
  </si>
  <si>
    <t>[N/A] Subnautica 2 PMO Part</t>
  </si>
  <si>
    <t>[N/A] Windless PMO Part</t>
  </si>
  <si>
    <t>[N/A] Impact PMO Part</t>
  </si>
  <si>
    <t>[N/A] Birdseye PMO Part</t>
  </si>
  <si>
    <t>NA Scale-Up Part 2_KA</t>
  </si>
  <si>
    <t>[N/A] D3 Sales Operations Team</t>
  </si>
  <si>
    <t>[N/A]UW Finance Part</t>
  </si>
  <si>
    <t>GPD3 Publishing Team 2_KA</t>
  </si>
  <si>
    <t>[N/A] NA Publishing Operations Part</t>
  </si>
  <si>
    <t>[N/A] LATAM Publishing Operations Part</t>
  </si>
  <si>
    <t>Investment Transaction Part 2_KA</t>
  </si>
  <si>
    <t>Legal India Part</t>
  </si>
  <si>
    <t>[N/A] IP Governance TF Team_KA</t>
  </si>
  <si>
    <t>Legal &amp; Compliance Dept._KA</t>
  </si>
  <si>
    <t>[N/A]ZETA Publishing Part</t>
  </si>
  <si>
    <t>[N/A]Platform Analytics Team_KA</t>
  </si>
  <si>
    <t>[N/A] D5 Game Publishing Team 3_KA</t>
  </si>
  <si>
    <t>[N/A]gamescom TF Team_KA</t>
  </si>
  <si>
    <t>[N/A]KOS DevOps Team_KA</t>
  </si>
  <si>
    <t>[N/A]Publishing Platform PM Team 1_KA</t>
  </si>
  <si>
    <t>[N/A]Web Tech Frontend Part_KA</t>
  </si>
  <si>
    <t>[N/A]Web Tech Backend Part_KA</t>
  </si>
  <si>
    <t>Publishing Platform PM Dept._KA</t>
  </si>
  <si>
    <t>[N/A]EU Publishing Dept._KA</t>
  </si>
  <si>
    <t>[N/A]CIS Publishing Dept._KA</t>
  </si>
  <si>
    <t>MENA &amp; LATAM Publishing Team_KA</t>
  </si>
  <si>
    <t>M &amp; L Publishing Operations Part_KA</t>
  </si>
  <si>
    <t>M &amp; L MarCom Part_KA</t>
  </si>
  <si>
    <t>NA Publishing Team_KA</t>
  </si>
  <si>
    <t>[N/A] NA MarCom Part_KA</t>
  </si>
  <si>
    <t>[N/A]XE Dev Team 3_KA</t>
  </si>
  <si>
    <t>[N/A]XE Dev Team 1_KA</t>
  </si>
  <si>
    <t>Publishing Platform Div._KA</t>
  </si>
  <si>
    <t>[N/A] D3 Sales Planning &amp; Analytics Team</t>
  </si>
  <si>
    <t>[N/A]Publishing Analytics Team 4_KA</t>
  </si>
  <si>
    <t>Game Investments &amp; Partnerships Div._KA</t>
  </si>
  <si>
    <t>Experience Engineering Dept._KA</t>
  </si>
  <si>
    <t>KOS Engineering Dept._KA</t>
  </si>
  <si>
    <t>[N/A]Global Publishing Services Div._KA</t>
  </si>
  <si>
    <t>Global Publishing Dept. 3_KA</t>
  </si>
  <si>
    <t>[N/A]Platform Service Mgmt Team_KA</t>
  </si>
  <si>
    <t>[N/A] Publishing Platform ​PM West Part</t>
  </si>
  <si>
    <t>Americas HR Dept.</t>
  </si>
  <si>
    <t>KA HR Team</t>
  </si>
  <si>
    <t>Americas HR Team</t>
  </si>
  <si>
    <t>West Scale-Up Part 1_KA</t>
  </si>
  <si>
    <t>[N/A]XE Dev Team 2_KA</t>
  </si>
  <si>
    <t>HR Planning Dept._KA</t>
  </si>
  <si>
    <t>D3T2 Brand Management Part_KA</t>
  </si>
  <si>
    <t>[N/A]D5T2 Publishing Management Part_KA</t>
  </si>
  <si>
    <t>SDS IT Team_KA</t>
  </si>
  <si>
    <t>[N/A]Data Platform Team_KA</t>
  </si>
  <si>
    <t>NA PR &amp; Influencers Part_KA</t>
  </si>
  <si>
    <t>NA Community &amp; Social Part_KA</t>
  </si>
  <si>
    <t>NA Channels Part_KA</t>
  </si>
  <si>
    <t>[N/A]KID User Management Team_KA</t>
  </si>
  <si>
    <t>[N/A]Krafton Creator Network Team_KA</t>
  </si>
  <si>
    <t>[N/A]NA Data Engineering Team</t>
  </si>
  <si>
    <t>SDS Finance Part_KA</t>
  </si>
  <si>
    <t>[N/A]KOS TPM Team_KA</t>
  </si>
  <si>
    <t>[N/A]IAM Part</t>
  </si>
  <si>
    <t>GPD2 Publishing Management Dept._KA</t>
  </si>
  <si>
    <t>[N/A]D3 Planning &amp; Operations Team_KA</t>
  </si>
  <si>
    <t>[N/A]Technical Sourcing Services Team_HQ</t>
  </si>
  <si>
    <t>PPD Americas Team_KA</t>
  </si>
  <si>
    <t>PPDA Data Analytics Part_KA</t>
  </si>
  <si>
    <t>PPDA Data Engineering Part_KA</t>
  </si>
  <si>
    <t>PPDA Experience Engineering Part_KA</t>
  </si>
  <si>
    <t>PPDA KOS Engineering Part_KA</t>
  </si>
  <si>
    <t>PPDA Business &amp; Operations Part_KA</t>
  </si>
  <si>
    <t>PPDA Product Management Part_KA</t>
  </si>
  <si>
    <t>SDS People Team_KA</t>
  </si>
  <si>
    <t>NA Publishing Services Div._KA</t>
  </si>
  <si>
    <t>[N/A]Publishing Platform PM Team 3_KA</t>
  </si>
  <si>
    <t>[NA]Gamescom PR TF Team_KA</t>
  </si>
  <si>
    <t>GPD2 Brand &amp; Community Management Team_A</t>
  </si>
  <si>
    <t>Global HR Planning Team_KA</t>
  </si>
  <si>
    <t>AI R&amp;D Project Mgmt _KA</t>
  </si>
  <si>
    <t>GPD2 Publishing Management Team_KA</t>
  </si>
  <si>
    <t>GPD2 Product Management Team_KA</t>
  </si>
  <si>
    <t>Strategy &amp; Partnerships Dept._KA</t>
  </si>
  <si>
    <t>[N/A]Investment Dept._KA</t>
  </si>
  <si>
    <t>[N/A]Publishing Platform PM Team 2_KA</t>
  </si>
  <si>
    <t>Legal West &amp; Global Regulatory Team_KA</t>
  </si>
  <si>
    <t>AI Creative TF Team_KA</t>
  </si>
  <si>
    <t>Esports Operations Team_KA</t>
  </si>
  <si>
    <t>Transaction Team 2_KA</t>
  </si>
  <si>
    <t>Global Publishing Group_KA</t>
  </si>
  <si>
    <t>Data Analytics Dept._KA</t>
  </si>
  <si>
    <t>Data Engineering Dept._KA</t>
  </si>
  <si>
    <t>KCN TF Team_KA</t>
  </si>
  <si>
    <t>EHG Finance Part_KA</t>
  </si>
  <si>
    <t>AI Foundation Model TF Team_KA</t>
  </si>
  <si>
    <t>NA PR Part_KA</t>
  </si>
  <si>
    <t>Venture Investments &amp; Talent Sourcing_KA</t>
  </si>
  <si>
    <t>Payment TF Team_KA</t>
  </si>
  <si>
    <t>West Esports Marketing Part_KA</t>
  </si>
  <si>
    <t>NA Scale-Up Part 1_KA</t>
  </si>
  <si>
    <t>PPD China Team_KA</t>
  </si>
  <si>
    <t>Self-Publishing TF Team_KA</t>
  </si>
  <si>
    <t>SNP PR Team_AM</t>
  </si>
  <si>
    <t>[N/A]EMEA Biz Div.</t>
  </si>
  <si>
    <t>EMEA HR Dept.</t>
  </si>
  <si>
    <t>EMEA HR Team</t>
  </si>
  <si>
    <t>EMEA IT Part</t>
  </si>
  <si>
    <t>EMEA Workplace Part</t>
  </si>
  <si>
    <t>[N/A]EMEA Publishing Dept.</t>
  </si>
  <si>
    <t>[N/A] Thunder Publishing Team</t>
  </si>
  <si>
    <t>[N/A] EMEA Data Analysis Team</t>
  </si>
  <si>
    <t>[N/A]EMEA Product Management Team</t>
  </si>
  <si>
    <t>[N/A]Europe Publishing Team</t>
  </si>
  <si>
    <t>[N/A] UK&amp;EU Publishing Part</t>
  </si>
  <si>
    <t>[N/A] DACH Publishing Part</t>
  </si>
  <si>
    <t>[N/A] FR Publishing Part</t>
  </si>
  <si>
    <t>[N/A] EMEA Publishing Strategy Team</t>
  </si>
  <si>
    <t>[N/A] EMEA PM&amp;Marketing Part</t>
  </si>
  <si>
    <t>[N/A] EMEA Localization Part</t>
  </si>
  <si>
    <t>MENA &amp; LATAM Publishing Team</t>
  </si>
  <si>
    <t>CIS Publishing Team</t>
  </si>
  <si>
    <t>EMEA Biz Div</t>
  </si>
  <si>
    <t>[N/A] EMEA Esports Marketing Part</t>
  </si>
  <si>
    <t>EMEA Esports Operations Part</t>
  </si>
  <si>
    <t>[N/A]EMEA Content Team</t>
  </si>
  <si>
    <t>[N/A]EMEA Merchandise</t>
  </si>
  <si>
    <t>West Creative Part</t>
  </si>
  <si>
    <t>[N/A]EMEA Project Management Part</t>
  </si>
  <si>
    <t>[N/A]EMEA Communication Team</t>
  </si>
  <si>
    <t>[N/A]EMEA PR Part</t>
  </si>
  <si>
    <t>[N/A]EMEA Partner Experience Part</t>
  </si>
  <si>
    <t>EMEA Finance Team</t>
  </si>
  <si>
    <t>[N/A]PlayerUnknown Productions Div.</t>
  </si>
  <si>
    <t>[N/A]PlayerUnknown Productions Dept.</t>
  </si>
  <si>
    <t>[N/A]Research Team</t>
  </si>
  <si>
    <t>[N/A]Product Team</t>
  </si>
  <si>
    <t>[N/A]Design Team</t>
  </si>
  <si>
    <t>[N/A]Tech Team</t>
  </si>
  <si>
    <t>[N/A]Art Team</t>
  </si>
  <si>
    <t>Thunder Div._AM</t>
  </si>
  <si>
    <t>[N/A] Thunder Level Art Team</t>
  </si>
  <si>
    <t>Thunder Content Art Team_AM</t>
  </si>
  <si>
    <t>A&amp;G Unit</t>
  </si>
  <si>
    <t>[N/A] A&amp;G Production Team</t>
  </si>
  <si>
    <t>[N/A] A&amp;G Art Team</t>
  </si>
  <si>
    <t>[N/A] A&amp;G Art Part</t>
  </si>
  <si>
    <t>[N/A] A&amp;G Animation Part</t>
  </si>
  <si>
    <t>[N/A] A&amp;G UX Part</t>
  </si>
  <si>
    <t>[N/A] A&amp;G Programming Team</t>
  </si>
  <si>
    <t>[N/A] A&amp;G Gameplay Part</t>
  </si>
  <si>
    <t>[N/A] A&amp;G Data Team</t>
  </si>
  <si>
    <t>[N/A] A&amp;G Sound Team</t>
  </si>
  <si>
    <t>AMS QA Team</t>
  </si>
  <si>
    <t>EMEA Product Insight Part</t>
  </si>
  <si>
    <t>Deep Learning Team_AM</t>
  </si>
  <si>
    <t>NLP Eng. Part_AM</t>
  </si>
  <si>
    <t>[N/A] EMEA Growth Team</t>
  </si>
  <si>
    <t>[N/A] EMEA Growth PM Part</t>
  </si>
  <si>
    <t>[N/A] EMEA Growth Marketing Part</t>
  </si>
  <si>
    <t>[N/A] EMEA Community Growth Part</t>
  </si>
  <si>
    <t>EMEA Social Media Part_AM</t>
  </si>
  <si>
    <t>XTRM Publishing Dept._AM</t>
  </si>
  <si>
    <t>[N/A] EMEA PC&amp;Console PM Part</t>
  </si>
  <si>
    <t>[N/A] EMEA Mobile PM Part</t>
  </si>
  <si>
    <t>[N/A] EMEA Product Marketing Part</t>
  </si>
  <si>
    <t>M &amp; L Publishing Operations Part</t>
  </si>
  <si>
    <t>[N/A] MEA Publishing Part</t>
  </si>
  <si>
    <t>PBB AMS Unit</t>
  </si>
  <si>
    <t>Black Budget Div._AM</t>
  </si>
  <si>
    <t>[N/A]EMEA Product Management Part</t>
  </si>
  <si>
    <t>PBB World Art Team</t>
  </si>
  <si>
    <t>PBB World Design Team</t>
  </si>
  <si>
    <t>PBB Gameplay Design Team</t>
  </si>
  <si>
    <t>[N/A] PBB Tech Art Team</t>
  </si>
  <si>
    <t>PBB Programming Team</t>
  </si>
  <si>
    <t>[N/A]EMEA Live OPS Team</t>
  </si>
  <si>
    <t>[N/A]EMEA Live OPS Part</t>
  </si>
  <si>
    <t>EU MarCom Part</t>
  </si>
  <si>
    <t>[N/A]EU Brand Management Part</t>
  </si>
  <si>
    <t>Nexus QA Part 1_KE</t>
  </si>
  <si>
    <t>[N/A] Moonbreaker EMEA TFT</t>
  </si>
  <si>
    <t>M &amp; L MarCom Part</t>
  </si>
  <si>
    <t>CIS Publishing Operations Part</t>
  </si>
  <si>
    <t>CIS MarCom Part</t>
  </si>
  <si>
    <t>EMEA Office Management Dept._AM</t>
  </si>
  <si>
    <t>PBB Production Team</t>
  </si>
  <si>
    <t>EMEA Talent Acquisition Part</t>
  </si>
  <si>
    <t>[N/A]EMEA Legal Part</t>
  </si>
  <si>
    <t>[N/A]EMEA Finance Part</t>
  </si>
  <si>
    <t>[N/A]EMEA Brand Experience Team</t>
  </si>
  <si>
    <t>Legal EMEA Part_AM</t>
  </si>
  <si>
    <t>[N/A]EMEA Growth Team_AM</t>
  </si>
  <si>
    <t>[N/A]EMEA Product Communication Part</t>
  </si>
  <si>
    <t>VNP People Operations Team_AM</t>
  </si>
  <si>
    <t>[N/A] VNP Operations Part_AM</t>
  </si>
  <si>
    <t>[N/A]VNP IT Part_AM</t>
  </si>
  <si>
    <t>PBB Creative Direction Cell_AM</t>
  </si>
  <si>
    <t>PBB Art Cell_AM</t>
  </si>
  <si>
    <t>PBB Animation Cell_AM</t>
  </si>
  <si>
    <t>PBB Progression Cell_AM</t>
  </si>
  <si>
    <t>PBB Production Cell_AM</t>
  </si>
  <si>
    <t>PBB Tech Cell_AM</t>
  </si>
  <si>
    <t>PBB Tech Art Cell_AM</t>
  </si>
  <si>
    <t>PBB Platform Team_AM</t>
  </si>
  <si>
    <t>PBB Sound Team_AM</t>
  </si>
  <si>
    <t>PBB Level Design Team_AM</t>
  </si>
  <si>
    <t>PBB Game Design Team_AM</t>
  </si>
  <si>
    <t>PBB Narrative Design Team_AM</t>
  </si>
  <si>
    <t>PBB UI&amp;UX Design Team_AM</t>
  </si>
  <si>
    <t>[N/A]PBB Sound Design Part_AM</t>
  </si>
  <si>
    <t>PBB Content Art Team_AM</t>
  </si>
  <si>
    <t>PBB Lighting Art Team_AM</t>
  </si>
  <si>
    <t>PBB Concept Art Team_AM</t>
  </si>
  <si>
    <t>PBB Env Art 1 Team_AM</t>
  </si>
  <si>
    <t>PBB Env Art 2 Team_AM</t>
  </si>
  <si>
    <t>PBB Env Art 3 Team_AM</t>
  </si>
  <si>
    <t>PBB Character Art Part_AM</t>
  </si>
  <si>
    <t>PBB Hardsurface Art Part_AM</t>
  </si>
  <si>
    <t>PBB Creature Animation Team_AM</t>
  </si>
  <si>
    <t>PBB Human Animation Team_AM</t>
  </si>
  <si>
    <t>PBB Technical Animation Team_AM</t>
  </si>
  <si>
    <t>PBB Progression Design Team_AM</t>
  </si>
  <si>
    <t>PBB Economy Design Team_AM</t>
  </si>
  <si>
    <t>PBB AMS Production Team_AM</t>
  </si>
  <si>
    <t>PBB AMS QA Team_AM</t>
  </si>
  <si>
    <t>PBB Seoul Production Team_AM</t>
  </si>
  <si>
    <t>PBB Programming AMS Team_AM</t>
  </si>
  <si>
    <t>PBB Programming Porto Team_AM</t>
  </si>
  <si>
    <t>PBB AI Programming Team_AM</t>
  </si>
  <si>
    <t>PBB Contents Eng Team_AM</t>
  </si>
  <si>
    <t>PBB VFX Team_AM</t>
  </si>
  <si>
    <t>PBB Tools Team_AM</t>
  </si>
  <si>
    <t>PBB Content Tech Art Team_AM</t>
  </si>
  <si>
    <t>[N/A]VNP HR Part_AM</t>
  </si>
  <si>
    <t>[N/A]PBB Creative Direction Cell</t>
  </si>
  <si>
    <t>[N/A]PBB Art Cell_AM</t>
  </si>
  <si>
    <t>[N/A]PBB Animation Cell_AM</t>
  </si>
  <si>
    <t>[N/A]PBB Progression Cell_AM</t>
  </si>
  <si>
    <t>[N/A]PBB Production Cell_AM</t>
  </si>
  <si>
    <t>[N/A]PBB Tech Cell_AM</t>
  </si>
  <si>
    <t>[N/A]PBB Tech Art Cell_AM</t>
  </si>
  <si>
    <t>[N/A]PBB Sound Team_AM</t>
  </si>
  <si>
    <t>[N/A]PBB Level Design Team_AM</t>
  </si>
  <si>
    <t>[N/A]PBB Game Design Team_AM</t>
  </si>
  <si>
    <t>[N/A]PBB Narrative Design Team_AM</t>
  </si>
  <si>
    <t>[N/A]PBB Content Art Team_AM</t>
  </si>
  <si>
    <t>[N/A]PBB Lighting Art Team_AM</t>
  </si>
  <si>
    <t>[N/A]PBB Concept Art Team_AM</t>
  </si>
  <si>
    <t>[N/A]PBB Env Art 1 Team_AM</t>
  </si>
  <si>
    <t>[N/A]PBB Env Art 2 Team_AM</t>
  </si>
  <si>
    <t>[N/A]PBB Character Art Part_AM</t>
  </si>
  <si>
    <t>[N/A]PBB Hardsurface Art Part_AM</t>
  </si>
  <si>
    <t>[N/A]PBB Creature Animation Team_AM</t>
  </si>
  <si>
    <t>[N/A]PBB Human Animation Team_AM</t>
  </si>
  <si>
    <t>[N/A]PBB Technical Animation Team_AM</t>
  </si>
  <si>
    <t>[N/A]PBB AMS Production Team_AM</t>
  </si>
  <si>
    <t>[N/A]PBB AMS QA Team_AM</t>
  </si>
  <si>
    <t>[N/A]PBB Programming AMS Team_AM</t>
  </si>
  <si>
    <t>[N/A]PBB Programming Porto Team_AM</t>
  </si>
  <si>
    <t>[N/A]PBB AI Programming Team_AM</t>
  </si>
  <si>
    <t>[N/A]PBB VFX Team_AM</t>
  </si>
  <si>
    <t>[N/A]PBB Tools Team_AM</t>
  </si>
  <si>
    <t>[N/A]PBB Content Tech Art Team_AM</t>
  </si>
  <si>
    <t>PBB Hardsurface Art Part</t>
  </si>
  <si>
    <t>PBB Lighting Art Part</t>
  </si>
  <si>
    <t>PBB Concept Art Part</t>
  </si>
  <si>
    <t>[N/A] PBB VFX Part</t>
  </si>
  <si>
    <t>PBB Tools Part</t>
  </si>
  <si>
    <t>PBB Content Tech Art Part</t>
  </si>
  <si>
    <t>[N/A]PBB_A Production Cell</t>
  </si>
  <si>
    <t>EMEA Live Ops Team</t>
  </si>
  <si>
    <t>[N/A]EMEA Live Ops Part</t>
  </si>
  <si>
    <t>PBB Prop Art Part</t>
  </si>
  <si>
    <t>[N/A]PBB Prop Art Team</t>
  </si>
  <si>
    <t>EMEA Office Management Dept.</t>
  </si>
  <si>
    <t>PBB_A Env Art Team 1</t>
  </si>
  <si>
    <t>PBB_A Env Art Team 2</t>
  </si>
  <si>
    <t>West Publishing Services Dept.</t>
  </si>
  <si>
    <t>West Scale-up Team</t>
  </si>
  <si>
    <t>[N/A]EU Publishing Dept.</t>
  </si>
  <si>
    <t>[N/A]CIS Publishing Dept.</t>
  </si>
  <si>
    <t>West Scale-Up Part 1</t>
  </si>
  <si>
    <t>West Scale-Up Part 2</t>
  </si>
  <si>
    <t>[N/A]West Scale-Up Team 3</t>
  </si>
  <si>
    <t>[N/A] West Publishing Services PMO Part</t>
  </si>
  <si>
    <t>[N/A] Americas &amp; EU Publishing Team</t>
  </si>
  <si>
    <t>[N/A] EU Publishing Team</t>
  </si>
  <si>
    <t>[N/A] Americas &amp; EU MarCom Team</t>
  </si>
  <si>
    <t>EU Publishing Operations Part</t>
  </si>
  <si>
    <t>[N/A]PUBG West Dept._KE</t>
  </si>
  <si>
    <t>[N/A] PUBG West Product Management Team</t>
  </si>
  <si>
    <t>[N/A] PUBG West Publishing Operations Pa</t>
  </si>
  <si>
    <t>[N/A]PUBG West Brand Experience Team</t>
  </si>
  <si>
    <t>[N/A]PUBG West Merchandise &amp; Licensing T</t>
  </si>
  <si>
    <t>PBB Audio Design Team</t>
  </si>
  <si>
    <t>[N/A]PBB Out-Game Design Team_KE</t>
  </si>
  <si>
    <t>[N/A]PBB UI Design Team_KE</t>
  </si>
  <si>
    <t>PBB External Development Part</t>
  </si>
  <si>
    <t>PBB Build &amp; Tools Part</t>
  </si>
  <si>
    <t>[N/A]PBB_S Contents Design Part_KE</t>
  </si>
  <si>
    <t>[N/A]PBB_S Economy Design Part_KE</t>
  </si>
  <si>
    <t>PBB AMS VFX Part</t>
  </si>
  <si>
    <t>PBB Engine Part</t>
  </si>
  <si>
    <t>[N/A]Global Publishing Services Div._KE</t>
  </si>
  <si>
    <t>[N/A] Americas MarCom Part</t>
  </si>
  <si>
    <t>EMEA IT Team_AM</t>
  </si>
  <si>
    <t>[N/A]PUBG West Product Management Team_E</t>
  </si>
  <si>
    <t>PUBG West Media Operations Part</t>
  </si>
  <si>
    <t>[N/A]PUBG West Community Part</t>
  </si>
  <si>
    <t>[N/A] PUBG West CIS&amp;MENA Publishing Team</t>
  </si>
  <si>
    <t>[N/A]gamescom TF Team_AM</t>
  </si>
  <si>
    <t>NA Publishing Team_KE</t>
  </si>
  <si>
    <t>EU Publishing Team</t>
  </si>
  <si>
    <t>[N/A] NA MarCom Part</t>
  </si>
  <si>
    <t>PUBG IP Collaborations Team_AM</t>
  </si>
  <si>
    <t>[N/A] IP Expansion Team_AM</t>
  </si>
  <si>
    <t>West Publishing AI Ops Part</t>
  </si>
  <si>
    <t>[N/A]West Live Ops. Team</t>
  </si>
  <si>
    <t>[N/A]MENA &amp; LATAM Publishing Dept.</t>
  </si>
  <si>
    <t>EMEA Finance Part 1</t>
  </si>
  <si>
    <t>EMEA Finance Part 2</t>
  </si>
  <si>
    <t>[N/A]TPP Esports TF Team_KE</t>
  </si>
  <si>
    <t>GPD2 Publishing Management Dept._KE</t>
  </si>
  <si>
    <t>[N/A]PUBG West Marketing Team_KE</t>
  </si>
  <si>
    <t>[NA]Gamescom PR TF Team_KE</t>
  </si>
  <si>
    <t>GPD2 Product Management Team_KE</t>
  </si>
  <si>
    <t>Esports Operations Team_KE</t>
  </si>
  <si>
    <t>Transaction Team 2_KE</t>
  </si>
  <si>
    <t>Esports Marketing Team_KE</t>
  </si>
  <si>
    <t>EU PR Part_KE</t>
  </si>
  <si>
    <t>Venture Investments &amp; Talent Sourcing_KE</t>
  </si>
  <si>
    <t>Strategy &amp; Partnerships Dept._KE</t>
  </si>
  <si>
    <t>West Esports Marketing Part</t>
  </si>
  <si>
    <t>PUBG Mad Glory, LLC </t>
  </si>
  <si>
    <t>[N/A] New York Dev Unit</t>
  </si>
  <si>
    <t>[N/A] NY Frontend Team</t>
  </si>
  <si>
    <t>[N/A] NY Production Team</t>
  </si>
  <si>
    <t>[N/A] NY Communication Team</t>
  </si>
  <si>
    <t>[N/A] NY Creative Team</t>
  </si>
  <si>
    <t>[N/A] NY Service Design Team</t>
  </si>
  <si>
    <t>[N/A] NY QA Team</t>
  </si>
  <si>
    <t>[N/A] NY Backend Team</t>
  </si>
  <si>
    <t>Americas Biz Div._MG</t>
  </si>
  <si>
    <t>[N/A]Americas Creative Services Team_MG</t>
  </si>
  <si>
    <t>NA Project Management Team_MG</t>
  </si>
  <si>
    <t>[N/A] NA Technology Team_MG</t>
  </si>
  <si>
    <t>[N/A]AMT DevOps Part_MG</t>
  </si>
  <si>
    <t>PUBG PC&amp;Console Dev Div._MG</t>
  </si>
  <si>
    <t>Valor Environment Team 2</t>
  </si>
  <si>
    <t>Madison Environment Team</t>
  </si>
  <si>
    <t>Valor 3D Part</t>
  </si>
  <si>
    <t>Valor Lighting Team</t>
  </si>
  <si>
    <t>Valor Animation &amp; Assets Dept._MG</t>
  </si>
  <si>
    <t>GLegal_Esports Part_MG</t>
  </si>
  <si>
    <t>Krafton Americas Translation Part_MG</t>
  </si>
  <si>
    <t>[N/A] NA Product Management Part</t>
  </si>
  <si>
    <t>[N/A] Madison IT Team</t>
  </si>
  <si>
    <t>[N/A] NA Web Part</t>
  </si>
  <si>
    <t>[N/A] NA Tech Global Accounts Part</t>
  </si>
  <si>
    <t>[N/A] OGU Production Team_MG</t>
  </si>
  <si>
    <t>[N/A]AMT Production Part_MG</t>
  </si>
  <si>
    <t>[N/A] NA Tech Product Management Part_MG</t>
  </si>
  <si>
    <t>CD Design Team_MG</t>
  </si>
  <si>
    <t>[N/A]Americas Engineering Contractors</t>
  </si>
  <si>
    <t>[N/A] SDS_T Online Dept._MG</t>
  </si>
  <si>
    <t>GPP Dept._MG</t>
  </si>
  <si>
    <t>[N/A]KRAFTON ID Team_MG</t>
  </si>
  <si>
    <t>[N/A]NA Tech Team_MG</t>
  </si>
  <si>
    <t>[N/A]Americas Marketing Tech Team_MG</t>
  </si>
  <si>
    <t>[N/A]AMT Backend Part_MG</t>
  </si>
  <si>
    <t>[N/A]AMT Frontend Part_MG</t>
  </si>
  <si>
    <t>PPE PM Team)MG</t>
  </si>
  <si>
    <t>Americas Finance Team_MG</t>
  </si>
  <si>
    <t>Madison Gameplay Engineering Part 1</t>
  </si>
  <si>
    <t>Madison Gameplay Engineering Part 2</t>
  </si>
  <si>
    <t>[N/A]Madison PUBG Environment Art Part 1</t>
  </si>
  <si>
    <t>[N/A]Madison Environment Art Part 2</t>
  </si>
  <si>
    <t>[N/A] Madison VFX Part</t>
  </si>
  <si>
    <t>Madison IT Part</t>
  </si>
  <si>
    <t>[N/A]Valor Animation Systems Part_MG</t>
  </si>
  <si>
    <t>Valor Animation Team 2_MG</t>
  </si>
  <si>
    <t>[N/A]Madison Systems Animation Part</t>
  </si>
  <si>
    <t>[N/A]Madison Design 1 Part</t>
  </si>
  <si>
    <t>[N/A]Madison Design 2 Part</t>
  </si>
  <si>
    <t>Madison UI &amp; UX Team</t>
  </si>
  <si>
    <t>Valor Technical Art &amp; Animation Dept.</t>
  </si>
  <si>
    <t>[N/A]MoonBreaker Publishing Team_MG</t>
  </si>
  <si>
    <t>[N/A] NA Tech Team_MG</t>
  </si>
  <si>
    <t>[N/A]Americas Video Creative Part_MG</t>
  </si>
  <si>
    <t>[N/A]Americas Design Creative Part_MG</t>
  </si>
  <si>
    <t>PUBG STUDIOS_MG</t>
  </si>
  <si>
    <t>SM Finance Part_MG</t>
  </si>
  <si>
    <t>MG Finance Part</t>
  </si>
  <si>
    <t>UW Finance Part_MG</t>
  </si>
  <si>
    <t>[N/A]Glegal West Team_MG</t>
  </si>
  <si>
    <t>[N/A]Glegal Regulatory Part_MG</t>
  </si>
  <si>
    <t>Legal US Part_MG</t>
  </si>
  <si>
    <t>Glegal India Part_MG</t>
  </si>
  <si>
    <t>MS DevOps Team_MG</t>
  </si>
  <si>
    <t>[N/A]Madison DevOps Part</t>
  </si>
  <si>
    <t>[N/A]Madison OS Part</t>
  </si>
  <si>
    <t>Ingame Contents Part MG</t>
  </si>
  <si>
    <t>CEO's Office_MG</t>
  </si>
  <si>
    <t>Valor Core Tech Part</t>
  </si>
  <si>
    <t>Valor Character Engineering Part</t>
  </si>
  <si>
    <t>Valor Gameplay Systems Engineering Part</t>
  </si>
  <si>
    <t>Valor UX &amp; UI Engineering Part</t>
  </si>
  <si>
    <t>Valor Environment Team 1</t>
  </si>
  <si>
    <t>[N/A]Madison Shared World Art part</t>
  </si>
  <si>
    <t>[N/A]Valor Env Art Part</t>
  </si>
  <si>
    <t>[N/A]ROAM Env Art Part</t>
  </si>
  <si>
    <t>[N/A]Madison Production &amp; Game Direction</t>
  </si>
  <si>
    <t>[N/A]Madison 3D Team</t>
  </si>
  <si>
    <t>[N/A]ROAM 3D Part</t>
  </si>
  <si>
    <t>Valor Creative Direction Support Team</t>
  </si>
  <si>
    <t>Valor Level Design Team</t>
  </si>
  <si>
    <t>[N/A]Madison Valor Design Part</t>
  </si>
  <si>
    <t>Valor Animation Team 1</t>
  </si>
  <si>
    <t>Madison Recruiting Part</t>
  </si>
  <si>
    <t>Madison HR Part</t>
  </si>
  <si>
    <t>Madison OS Part</t>
  </si>
  <si>
    <t>Valor Technical Art Team</t>
  </si>
  <si>
    <t>Valor Technical Animation Team</t>
  </si>
  <si>
    <t>[N/A] Valor Platform Engineering Team</t>
  </si>
  <si>
    <t>Valor Gameplay Team</t>
  </si>
  <si>
    <t>Valor DevOps Part</t>
  </si>
  <si>
    <t>[N/A] Valor Online Engineering Part</t>
  </si>
  <si>
    <t>[N/A] Experimental Team</t>
  </si>
  <si>
    <t>Legal West &amp; Global Regulatory Team</t>
  </si>
  <si>
    <t>Legal &amp; Compliance Dept._MG</t>
  </si>
  <si>
    <t>Contents Design Team_MG</t>
  </si>
  <si>
    <t>Seattle Studio Team_MG</t>
  </si>
  <si>
    <t>PUBG Seattle Cell</t>
  </si>
  <si>
    <t>PUBG Seattle Operations Team</t>
  </si>
  <si>
    <t>PUBG Seattle Tech Art Part</t>
  </si>
  <si>
    <t>PUBG Seattle World Art Team</t>
  </si>
  <si>
    <t>PUBG Seattle Artists Part</t>
  </si>
  <si>
    <t>PUBG Seattle Tech Design Part</t>
  </si>
  <si>
    <t>PUBG Seattle Engineering Part</t>
  </si>
  <si>
    <t>PUBG Seattle Production Part</t>
  </si>
  <si>
    <t>PUBG Seattle IT Part</t>
  </si>
  <si>
    <t>PUBG Zaragoza Operations Team_MG</t>
  </si>
  <si>
    <t>Valor Graphics Team_MG</t>
  </si>
  <si>
    <t>[N/A] Valor Community Team</t>
  </si>
  <si>
    <t>Valor Concept Team</t>
  </si>
  <si>
    <t>Valor VFX Team</t>
  </si>
  <si>
    <t>Valor UI Part</t>
  </si>
  <si>
    <t>PUBG Madison Operations Team</t>
  </si>
  <si>
    <t>Madison Ops Part</t>
  </si>
  <si>
    <t>Zaragoza IT Part_MG</t>
  </si>
  <si>
    <t>Mode Production Team_MG</t>
  </si>
  <si>
    <t>Mode Contents Part_MG</t>
  </si>
  <si>
    <t>Global Reg &amp; Privacy Part_MG</t>
  </si>
  <si>
    <t>AI Model Research Dept._MG</t>
  </si>
  <si>
    <t>PUBG Seattle Technical Development Team</t>
  </si>
  <si>
    <t>PUBG Seattle Environment Art Part</t>
  </si>
  <si>
    <t>PUBG Seattle Hard Surface Art Part</t>
  </si>
  <si>
    <t>Payment TF Team_MG</t>
  </si>
  <si>
    <t>Valor Publishing Part_MG</t>
  </si>
  <si>
    <t>In-Game Contents Part_MG</t>
  </si>
  <si>
    <t>[N/A]China Biz Div.</t>
  </si>
  <si>
    <t>[N/A]Marketing Communication Dept.</t>
  </si>
  <si>
    <t>[N/A]CN PR Team</t>
  </si>
  <si>
    <t>PUBG CN Publishing Team</t>
  </si>
  <si>
    <t>[N/A] CN Product MKT Part_SH</t>
  </si>
  <si>
    <t>[N/A] CN Contents Part</t>
  </si>
  <si>
    <t>[N/A] CN Community Part</t>
  </si>
  <si>
    <t>[N/A]CN Strategy Team</t>
  </si>
  <si>
    <t>[N/A]CN Service Dept.</t>
  </si>
  <si>
    <t>CN Player Support Part</t>
  </si>
  <si>
    <t>CN Service Ops Team</t>
  </si>
  <si>
    <t>[N/A]CN Esports Biz Part</t>
  </si>
  <si>
    <t>[N/A]CN League Ops Part</t>
  </si>
  <si>
    <t>[N/A]CN PM Team</t>
  </si>
  <si>
    <t>China Operations Team</t>
  </si>
  <si>
    <t>CN IT Part</t>
  </si>
  <si>
    <t>[N/A] China Dev Unit_SH</t>
  </si>
  <si>
    <t>[N/A] China Contents Eng Team_SH</t>
  </si>
  <si>
    <t>[N/A] China Infra Team_SH</t>
  </si>
  <si>
    <t>China Character Team_SH</t>
  </si>
  <si>
    <t>China PM Team_SH</t>
  </si>
  <si>
    <t>CN Esports Part_SH</t>
  </si>
  <si>
    <t>[N/A] CN Communications Team</t>
  </si>
  <si>
    <t>[N/A]CN Service PM Team</t>
  </si>
  <si>
    <t>[N/A] China Contents Dev Part_SH</t>
  </si>
  <si>
    <t>[N/A] CN Marketing Part</t>
  </si>
  <si>
    <t>[N/A]CN Community Team</t>
  </si>
  <si>
    <t>PUBG CN Contents Part</t>
  </si>
  <si>
    <t>China Office Management Dept._SH</t>
  </si>
  <si>
    <t>CN Biz Operation Team_SH</t>
  </si>
  <si>
    <t>[N/A]CN Mobile Team_SH</t>
  </si>
  <si>
    <t>[N/A]CN PR Part</t>
  </si>
  <si>
    <t>China Finance Part</t>
  </si>
  <si>
    <t>CN Finance &amp; Admin Part</t>
  </si>
  <si>
    <t>CN HR Part</t>
  </si>
  <si>
    <t>[N/A]CN Partner Part</t>
  </si>
  <si>
    <t>China Office Management Dept.</t>
  </si>
  <si>
    <t>PUBG CN Community Part</t>
  </si>
  <si>
    <t>PUBG CN Media Operations Team</t>
  </si>
  <si>
    <t>East Publishing Services Div._SH</t>
  </si>
  <si>
    <t>[N/A]APAC Esports Part_KC</t>
  </si>
  <si>
    <t>Legal &amp; Compliance Dept._CN</t>
  </si>
  <si>
    <t>PUBGM Operations &amp; Coordination Team_CN</t>
  </si>
  <si>
    <t>Greater China Publishing Dept._CN</t>
  </si>
  <si>
    <t>[N/A] CN Contents Part_CN</t>
  </si>
  <si>
    <t>[N/A]CN Publishing Team_CN</t>
  </si>
  <si>
    <t>[N/A]Global Publishing Services Div._CN</t>
  </si>
  <si>
    <t>[N/A]Esports Dev &amp; League Ops Team_CN</t>
  </si>
  <si>
    <t>CN MarCom Team</t>
  </si>
  <si>
    <t>[N/A]TPP Esports TF Team_KC</t>
  </si>
  <si>
    <t>PUBG BW TF Team_KC</t>
  </si>
  <si>
    <t>[N/A]CN Data Team_KC</t>
  </si>
  <si>
    <t>[NA]Gamescom PR TF Team_CN</t>
  </si>
  <si>
    <t>[N/A]PUBG CN MKT Planning Part_KC</t>
  </si>
  <si>
    <t>[N/A]PUBG CN KOL TF Team_KC</t>
  </si>
  <si>
    <t>PPD China Team_CN</t>
  </si>
  <si>
    <t>Greater China Service Part_CN</t>
  </si>
  <si>
    <t>CN Service Data Part</t>
  </si>
  <si>
    <t>CN PM Part</t>
  </si>
  <si>
    <t>[N/A]GSE Anomaly Detection Team_KC</t>
  </si>
  <si>
    <t>Esports Operations Team_KC</t>
  </si>
  <si>
    <t>Data Engineering Dept._KC</t>
  </si>
  <si>
    <t>Esports Marketing Team_KC</t>
  </si>
  <si>
    <t>PUBG East Management Part_KC</t>
  </si>
  <si>
    <t>KP PTE LTD</t>
  </si>
  <si>
    <t>Striking Distance Div.</t>
  </si>
  <si>
    <t>[N/A] SDS Operations Team</t>
  </si>
  <si>
    <t>SDS Creative Dept.</t>
  </si>
  <si>
    <t>[N/A] SDS Titan Div.</t>
  </si>
  <si>
    <t>[N/A] SDS Publishing and Business Develo</t>
  </si>
  <si>
    <t>SDS Technology Dept.</t>
  </si>
  <si>
    <t>[N/A] SDS Studio Marketing Dept.</t>
  </si>
  <si>
    <t>[N/A]SDS Human Resources Dept.</t>
  </si>
  <si>
    <t>[N/A] SDS Talent Acquisition Dept.</t>
  </si>
  <si>
    <t>[N/A]SDS Finance and Accounting Div.</t>
  </si>
  <si>
    <t>[N/A] SDS IT Security Dept.</t>
  </si>
  <si>
    <t>[N/A] SDS Office Dept.</t>
  </si>
  <si>
    <t>[N/A] SDS Publishing Dept.</t>
  </si>
  <si>
    <t>[N/A] SDS Sales Business Development Dep</t>
  </si>
  <si>
    <t>[N/A] SDS Public Relations Dept.</t>
  </si>
  <si>
    <t>[N/A] SDS Community Dept.</t>
  </si>
  <si>
    <t>[N/A] SDS Publishing and Marketing</t>
  </si>
  <si>
    <t>[N/A] SDS Core Engineering Dept.</t>
  </si>
  <si>
    <t>SDS Technical Art Team</t>
  </si>
  <si>
    <t>[N/A] SDS Technical Art Cell</t>
  </si>
  <si>
    <t>[N/A] SDS Technical Product Engineering</t>
  </si>
  <si>
    <t>[N/A] SDS Audio Dept.</t>
  </si>
  <si>
    <t>SDS Production Team</t>
  </si>
  <si>
    <t>SDS Art Team</t>
  </si>
  <si>
    <t>[N/A] SDS VFX Dept.</t>
  </si>
  <si>
    <t>[N/A] SDS_P UI&amp;UX Dept.</t>
  </si>
  <si>
    <t>[N/A] SDS Concept Dept.</t>
  </si>
  <si>
    <t>SDS_P Design Team</t>
  </si>
  <si>
    <t>[N/A] SDS_P Animation Dept.</t>
  </si>
  <si>
    <t>[N/A] SDS Lighting Dept.</t>
  </si>
  <si>
    <t>[N/A] SDS Narrative Dept.</t>
  </si>
  <si>
    <t>[N/A] SDS Environment Dept.</t>
  </si>
  <si>
    <t>[N/A] SDS_T Audio Dept.</t>
  </si>
  <si>
    <t>[N/A] SDS_T Production Dept.</t>
  </si>
  <si>
    <t>SDS_T Art Dept.</t>
  </si>
  <si>
    <t>[N/A] SDS_T VFX Dept.</t>
  </si>
  <si>
    <t>[N/A] SDS_T UI&amp;UX Dept.</t>
  </si>
  <si>
    <t>[N/A] SDS_T Concept Art Dept.</t>
  </si>
  <si>
    <t>SDS_T Design Team</t>
  </si>
  <si>
    <t>[N/A] SDS_T Animation Dept.</t>
  </si>
  <si>
    <t>[N/A] SDS_T Lighting Dept.</t>
  </si>
  <si>
    <t>[N/A] SDS_T Creative and Narrative Dept.</t>
  </si>
  <si>
    <t>[N/A] SDS_T Environment Art Dept.</t>
  </si>
  <si>
    <t>SDS Spain Div.</t>
  </si>
  <si>
    <t>[N/A]SDS Rendering Engineering Dept.</t>
  </si>
  <si>
    <t>[N/A] SDS AI Engineering Team</t>
  </si>
  <si>
    <t>SDS DevOps Team</t>
  </si>
  <si>
    <t>[N/A] SDS_P Quality Assurance Team</t>
  </si>
  <si>
    <t>[N/A] SDS Audio Engineering Team</t>
  </si>
  <si>
    <t>[N/A] SDS Character Dept.</t>
  </si>
  <si>
    <t>[N/A] SDS_T Online Dept.</t>
  </si>
  <si>
    <t>[N/A] SDS Gameplay Eng Team 2</t>
  </si>
  <si>
    <t>[N/A] SDS Tools Team</t>
  </si>
  <si>
    <t>[N/A] SDS_PartnersICs</t>
  </si>
  <si>
    <t>SDS Design Team</t>
  </si>
  <si>
    <t>[N/A] SDS_P Weapons / Hard Surfaces Team</t>
  </si>
  <si>
    <t>[N/A] SDS_P Tech Art Team</t>
  </si>
  <si>
    <t>[N/A]SDS Finance Team</t>
  </si>
  <si>
    <t>SDS Finance Part</t>
  </si>
  <si>
    <t>SDS IT Team</t>
  </si>
  <si>
    <t>SDS Gameplay Eng Team</t>
  </si>
  <si>
    <t>[N/A] SDS Rendering Engineering Part</t>
  </si>
  <si>
    <t>[N/A] SDS Core Eng Team</t>
  </si>
  <si>
    <t>[N/A] SDS Gameplay Eng Team 1</t>
  </si>
  <si>
    <t>[N/A] SDS R&amp;D Team</t>
  </si>
  <si>
    <t>[N/A] SDS EA Team</t>
  </si>
  <si>
    <t>[N/A] SDS NA Technology Dept.</t>
  </si>
  <si>
    <t>[N/A] SDS Production Game Design Team</t>
  </si>
  <si>
    <t>[N/A] SDS Production Technical Team</t>
  </si>
  <si>
    <t>[N/A] SDS Animation Dept.</t>
  </si>
  <si>
    <t>[N/A] SDS Tech Art Team</t>
  </si>
  <si>
    <t>[N/A] SDS Cloud DevOps Team</t>
  </si>
  <si>
    <t>[N/A] SDS DevOps Team</t>
  </si>
  <si>
    <t>[N/A] SDS Gameplay Eng Part</t>
  </si>
  <si>
    <t>[N/A] SDS HR Part_SDS</t>
  </si>
  <si>
    <t>Americas HR Dept._SDS</t>
  </si>
  <si>
    <t>SDS People Team</t>
  </si>
  <si>
    <t>Unknown Worlds Entertainment, Inc._SDS</t>
  </si>
  <si>
    <t>UWE IT Team_SDS</t>
  </si>
  <si>
    <t>KRAFTON JAPAN Inc</t>
  </si>
  <si>
    <t>[N/A] JP Biz Dept._JP</t>
  </si>
  <si>
    <t>[N/A]JP Biz Team</t>
  </si>
  <si>
    <t>[N/A]JP PUBG Part</t>
  </si>
  <si>
    <t>[N/A]JP Esports Part</t>
  </si>
  <si>
    <t>XD Director Unit_JP</t>
  </si>
  <si>
    <t>[N/A]JP Tokyo Office</t>
  </si>
  <si>
    <t>Japan Operations Team</t>
  </si>
  <si>
    <t>JP Publishing Dept.</t>
  </si>
  <si>
    <t>[N/A]JP Mobile Publishing Services Team</t>
  </si>
  <si>
    <t>[N/A]JP PUBGM Content Part</t>
  </si>
  <si>
    <t>JP Esports Part</t>
  </si>
  <si>
    <t>[N/A]JP PUBGM Service Ops Part</t>
  </si>
  <si>
    <t>PUBGM JP Marketing Team</t>
  </si>
  <si>
    <t>[N/A] KR JP Translator Part</t>
  </si>
  <si>
    <t>[N/A] JP Design Part_JP</t>
  </si>
  <si>
    <t>[N/A]JP HR Part</t>
  </si>
  <si>
    <t>[N/A]Global Legal Dept._JP</t>
  </si>
  <si>
    <t>[N/A] XTRM Japan TFT_JP</t>
  </si>
  <si>
    <t>[N/A]PUBGM Translator Team_JP</t>
  </si>
  <si>
    <t>JP New State Part</t>
  </si>
  <si>
    <t>[N/A] JP PUBGM Creative Team</t>
  </si>
  <si>
    <t>Glegal_Japan Part_JP</t>
  </si>
  <si>
    <t>[N/A]JP Connect Part</t>
  </si>
  <si>
    <t>Japan Finance Part</t>
  </si>
  <si>
    <t>Asia Office Management Dept._JP</t>
  </si>
  <si>
    <t>NS Producing Unit_JP</t>
  </si>
  <si>
    <t>[N/A]JP Office Management Cell</t>
  </si>
  <si>
    <t>PUBGM Operations &amp; Coordination Team_JP</t>
  </si>
  <si>
    <t>Asia BD TF Team_JP</t>
  </si>
  <si>
    <t>[N/A] JP Asset Design Team_JP</t>
  </si>
  <si>
    <t>Asia Console TF Team_JP</t>
  </si>
  <si>
    <t>JP Visual Part_JP</t>
  </si>
  <si>
    <t>JP Media Part_JP</t>
  </si>
  <si>
    <t>JP Art Part</t>
  </si>
  <si>
    <t>[N/A]JP DD TF Team_JP</t>
  </si>
  <si>
    <t>[N/A]JP BizDev Team</t>
  </si>
  <si>
    <t>[N/A]JP PR Part</t>
  </si>
  <si>
    <t>[N/A]JP Growth Team</t>
  </si>
  <si>
    <t>PUBGM HQ PM Part</t>
  </si>
  <si>
    <t>[N/A]JP Sourcing Team</t>
  </si>
  <si>
    <t>[N/A]JP Design Part</t>
  </si>
  <si>
    <t>JP HR Part</t>
  </si>
  <si>
    <t>JP IT Part</t>
  </si>
  <si>
    <t>[N/A] JP Operations Part</t>
  </si>
  <si>
    <t>JP Workplace Part</t>
  </si>
  <si>
    <t>JP PR &amp; Planning Part</t>
  </si>
  <si>
    <t>[N/A] JP Publishing Part</t>
  </si>
  <si>
    <t>[N/A]JP Publishing Planning Part</t>
  </si>
  <si>
    <t>[N/A]East L10N Part_JP</t>
  </si>
  <si>
    <t>Legal &amp; Compliance Dept._JP</t>
  </si>
  <si>
    <t>[N/A]KIZNA S&amp;C Part_JP</t>
  </si>
  <si>
    <t>[N/A]JP MarCom Part</t>
  </si>
  <si>
    <t>[N/A] JP Contents Part</t>
  </si>
  <si>
    <t>KR Contents Part_JP</t>
  </si>
  <si>
    <t>CN Contents Part_JP</t>
  </si>
  <si>
    <t>[N/A]Publishing QA Part 3_JP</t>
  </si>
  <si>
    <t>[N/A] JP PM Part</t>
  </si>
  <si>
    <t>PUBGM JP Digital Marketing Part_JP</t>
  </si>
  <si>
    <t>PalM Unit_JP</t>
  </si>
  <si>
    <t>[N/A]Global Publishing Services Div._JP</t>
  </si>
  <si>
    <t>JP PM Team</t>
  </si>
  <si>
    <t>JP MarCom Team</t>
  </si>
  <si>
    <t>JP Talent Acquisition Part</t>
  </si>
  <si>
    <t>[NA]Gamescom PR TF Team_JP</t>
  </si>
  <si>
    <t>JP Publishing Contents Team</t>
  </si>
  <si>
    <t>JP Contents Part 1</t>
  </si>
  <si>
    <t>JP Contents Part 2</t>
  </si>
  <si>
    <t>Publishing QA Team 3_KJ</t>
  </si>
  <si>
    <t>Venture Investments &amp; Talent Sourcing_KJ</t>
  </si>
  <si>
    <t>Chicken Dinner Industries, LLC</t>
  </si>
  <si>
    <t>Krafton Ventures LLC</t>
  </si>
  <si>
    <t>Krafton Ventures Fund LP</t>
  </si>
  <si>
    <t>Krafton Ventures Inc.</t>
  </si>
  <si>
    <t>PUBG Entertainment Inc.</t>
  </si>
  <si>
    <t>Indestructible Frying Pan LLC</t>
  </si>
  <si>
    <t>[N/A] SDS Spain Div._SP</t>
  </si>
  <si>
    <t>[N/A]SDS Rendering Engineering Dept._SP</t>
  </si>
  <si>
    <t>SDS_P Character Art Dept._SP</t>
  </si>
  <si>
    <t>SDS_IT Security Dept._SP</t>
  </si>
  <si>
    <t>[N/A] SDS Operations Div._SP</t>
  </si>
  <si>
    <t>SDS Engineering Div._SP</t>
  </si>
  <si>
    <t>PBB Seoul Unit_SPAIN</t>
  </si>
  <si>
    <t>[N/A] SDS Spain Development Dept.</t>
  </si>
  <si>
    <t>[N/A] SDS Spain Operation Dept.</t>
  </si>
  <si>
    <t>PUBG Zaragoza Operations Team</t>
  </si>
  <si>
    <t>Zaragoza Operations Part</t>
  </si>
  <si>
    <t>Zaragoza IT Part</t>
  </si>
  <si>
    <t>Valor Graphics Team</t>
  </si>
  <si>
    <t>[N/A] PUBG Zaragoza Operations Team</t>
  </si>
  <si>
    <t>[N/A] Bonus XP, Inc</t>
  </si>
  <si>
    <t>KRAFTON INDIA</t>
  </si>
  <si>
    <t>IN Publishing Dept.</t>
  </si>
  <si>
    <t>[N/A] IN Biz Operations Team</t>
  </si>
  <si>
    <t>IN Design Team</t>
  </si>
  <si>
    <t>IN People Operations Dept.</t>
  </si>
  <si>
    <t>IN MarCom Team</t>
  </si>
  <si>
    <t>Corp Dev Div._IN</t>
  </si>
  <si>
    <t>[N/A] IN &amp; MENA Corporate Development De</t>
  </si>
  <si>
    <t>[N/A]IN PR Team</t>
  </si>
  <si>
    <t>XTRM India Biz TF_IN</t>
  </si>
  <si>
    <t>SNP PR Team_IN</t>
  </si>
  <si>
    <t>[N/A]Global Legal Dept._IN</t>
  </si>
  <si>
    <t>XTRM Social Media Team_IN</t>
  </si>
  <si>
    <t>[N/A] India Biz Div.</t>
  </si>
  <si>
    <t>IN Esports Team</t>
  </si>
  <si>
    <t>IN BD Part</t>
  </si>
  <si>
    <t>BGMI Product Management Team</t>
  </si>
  <si>
    <t>[N/A]India Office Management Dept._IN</t>
  </si>
  <si>
    <t>IN Corp. Operation Team_IN</t>
  </si>
  <si>
    <t>India Finance Team</t>
  </si>
  <si>
    <t>IN HR Team</t>
  </si>
  <si>
    <t>IN General Affairs Team</t>
  </si>
  <si>
    <t>IN IT Part</t>
  </si>
  <si>
    <t>IN Strategy Team</t>
  </si>
  <si>
    <t>India Corporate PR Part</t>
  </si>
  <si>
    <t>India Product PR Part</t>
  </si>
  <si>
    <t>IN New Games Publishing Team 2</t>
  </si>
  <si>
    <t>[N/A]IN Strategy Dept._IN</t>
  </si>
  <si>
    <t>IN New Frontier Team</t>
  </si>
  <si>
    <t>BGMI Project Management Team</t>
  </si>
  <si>
    <t>[N/A] BGMI Project Management Part</t>
  </si>
  <si>
    <t>[N/A] IN Live PM Part</t>
  </si>
  <si>
    <t>[N/A] IN Publishing Production Team</t>
  </si>
  <si>
    <t>[N/A] IN PM Team 2_IN</t>
  </si>
  <si>
    <t>IN &amp; MENA Corporate Development Team</t>
  </si>
  <si>
    <t>IN QA Part_IN</t>
  </si>
  <si>
    <t>IN Esports Planning &amp; Operations Part</t>
  </si>
  <si>
    <t>IN Esports BD Part</t>
  </si>
  <si>
    <t>IN New Games Publishing Team 1</t>
  </si>
  <si>
    <t>IN Cricket PM Part</t>
  </si>
  <si>
    <t>IN Cricket Production Part</t>
  </si>
  <si>
    <t>IN PMKT BGMI Part</t>
  </si>
  <si>
    <t>IN PMKT New Project Part</t>
  </si>
  <si>
    <t>IN Platform Business Dept.</t>
  </si>
  <si>
    <t>IN Platform Development Team</t>
  </si>
  <si>
    <t>[N/A]India M&amp;A Support Team_IN</t>
  </si>
  <si>
    <t>[N/A]Global Publishing Services Div._IN</t>
  </si>
  <si>
    <t>[N/A]IN Platform Dev Team_IN</t>
  </si>
  <si>
    <t>Investment Transaction Part 2_IN</t>
  </si>
  <si>
    <t>[N/A]IN Platform Planning Team</t>
  </si>
  <si>
    <t>Nautilus Shared Services</t>
  </si>
  <si>
    <t>IN NM HR Part</t>
  </si>
  <si>
    <t>IN Esports Enablement Part_KI</t>
  </si>
  <si>
    <t>IN Esports Marketing Part</t>
  </si>
  <si>
    <t>[N/A]IN Analytics Team</t>
  </si>
  <si>
    <t>[N/A]IN Game Development Dept._IN</t>
  </si>
  <si>
    <t>IN Development Team</t>
  </si>
  <si>
    <t>IN Production Management Team</t>
  </si>
  <si>
    <t>IN 3PP Part</t>
  </si>
  <si>
    <t>IN Company Secretary Part</t>
  </si>
  <si>
    <t>Project IGNT Part</t>
  </si>
  <si>
    <t>IN Analytics Part</t>
  </si>
  <si>
    <t>[N/A]Between.us</t>
  </si>
  <si>
    <t>[N/A]BTW Marketing Comm. Team</t>
  </si>
  <si>
    <t>[N/A]BTW Ad. Sales Team</t>
  </si>
  <si>
    <t>[N/A]BTW R&amp;D Team</t>
  </si>
  <si>
    <t>[N/A]BTW PB Commerce Team</t>
  </si>
  <si>
    <t>[N/A]BTW Character Art Team</t>
  </si>
  <si>
    <t>[N/A]BTW Div.</t>
  </si>
  <si>
    <t>DM_Ronin Team</t>
  </si>
  <si>
    <t>DM_Road to Valor Team</t>
  </si>
  <si>
    <t>DM_Art Team</t>
  </si>
  <si>
    <t>DM_People Team</t>
  </si>
  <si>
    <t>DM_Service Team</t>
  </si>
  <si>
    <t>[N/A] DM_Live Team</t>
  </si>
  <si>
    <t>DM_Project MLP Team</t>
  </si>
  <si>
    <t>DM_3D Character Art</t>
  </si>
  <si>
    <t>DM_Technical Art</t>
  </si>
  <si>
    <t>DM_Animation</t>
  </si>
  <si>
    <t>DM_Concept Art</t>
  </si>
  <si>
    <t>DM_3D Environment Art</t>
  </si>
  <si>
    <t>[N/A] DM_Live_Program Part</t>
  </si>
  <si>
    <t>[N/A] DM_Live_Game Design Part</t>
  </si>
  <si>
    <t>[N/A] DM_Live_Service Part</t>
  </si>
  <si>
    <t>DM_MLP_Program Part</t>
  </si>
  <si>
    <t>DM_MLP_Game Design Part</t>
  </si>
  <si>
    <t>DM_UI Design</t>
  </si>
  <si>
    <t>DM_MLP_Console Version Part</t>
  </si>
  <si>
    <t>DM_Project Joust Team</t>
  </si>
  <si>
    <t>JST Game Design Part </t>
  </si>
  <si>
    <t>JST Program Part</t>
  </si>
  <si>
    <t>JST Environment Part</t>
  </si>
  <si>
    <t>JST Animation Part </t>
  </si>
  <si>
    <t>JST TA&amp;FX Part</t>
  </si>
  <si>
    <t>JST Character Part</t>
  </si>
  <si>
    <t>DM_Career Team</t>
  </si>
  <si>
    <t>TH Chatbot IMC Dept.</t>
  </si>
  <si>
    <t>[N/A]TH B2B Biz Div.</t>
  </si>
  <si>
    <t>TH People Team</t>
  </si>
  <si>
    <t>TH Product Design Team</t>
  </si>
  <si>
    <t>[N/A]T_StoryPlay Illustration Team</t>
  </si>
  <si>
    <t>[N/A]TH Hellobot Content Team</t>
  </si>
  <si>
    <t>[N/A]TH Global Growth Team</t>
  </si>
  <si>
    <t>[N/A]TH Global Marketing Div.</t>
  </si>
  <si>
    <t>TH Workplace Team</t>
  </si>
  <si>
    <t>[N/A]T_Character Growth Team</t>
  </si>
  <si>
    <t>TH Data Team</t>
  </si>
  <si>
    <t>TH Advanced UX Dept.</t>
  </si>
  <si>
    <t>[N/A]T_Back-end Server Team</t>
  </si>
  <si>
    <t>[N/A]T_FE Team</t>
  </si>
  <si>
    <t>[N/A]T_iOS Team</t>
  </si>
  <si>
    <t>[N/A]T_Android Team</t>
  </si>
  <si>
    <t>[N/A]T_RN Team</t>
  </si>
  <si>
    <t>TH B2B Div.</t>
  </si>
  <si>
    <t>TH Chatbot Product Team</t>
  </si>
  <si>
    <t>[N/A]T_CPO Div.</t>
  </si>
  <si>
    <t>TH Info Team</t>
  </si>
  <si>
    <t>TH Global Story Biz Div.</t>
  </si>
  <si>
    <t>[N/A]T_Hellobot Development Squad</t>
  </si>
  <si>
    <t>[N/A]TH Hellobot Marketing Team</t>
  </si>
  <si>
    <t>TH Infra Team</t>
  </si>
  <si>
    <t>TH StoryPlay Product Team</t>
  </si>
  <si>
    <t>[N/A]T_StoryPlay Platform Squad</t>
  </si>
  <si>
    <t>[N/A]T_StoryPlay Content Squad</t>
  </si>
  <si>
    <t>TH Art Team</t>
  </si>
  <si>
    <t>[N/A]TH StoryPlay Original IP Team</t>
  </si>
  <si>
    <t>[N/A]T_CPO Div.T_Between Dept.</t>
  </si>
  <si>
    <t>TH Story IP Team</t>
  </si>
  <si>
    <t>[N/A]T_CPO DiT_Between Development Squad</t>
  </si>
  <si>
    <t>[N/A]TH PeopleOps Div.</t>
  </si>
  <si>
    <t>[N/A]T_Design PS Team</t>
  </si>
  <si>
    <t>TH Chatbot Biz Div.</t>
  </si>
  <si>
    <t>TH NS Chatbot Team</t>
  </si>
  <si>
    <t>[N/A]T_Marketing H Team</t>
  </si>
  <si>
    <t>[N/A]T_Marketing S Team </t>
  </si>
  <si>
    <t>TH Advanced Creative Team</t>
  </si>
  <si>
    <t>TH Between Biz Team</t>
  </si>
  <si>
    <t>[N/A] TH AI Content Lab Div.</t>
  </si>
  <si>
    <t>[N/A]TH Engineering Div.</t>
  </si>
  <si>
    <t>[N/A]TH StoryPlay Studio Dev Team</t>
  </si>
  <si>
    <t>TH Story IP IMC Dept.</t>
  </si>
  <si>
    <t>[N/A]TH ML Team</t>
  </si>
  <si>
    <t>[N/A]TH Communication Team</t>
  </si>
  <si>
    <t>[N/A] TH Strategy &amp; Support Div.</t>
  </si>
  <si>
    <t>[N/A]TH Initiative pianing team</t>
  </si>
  <si>
    <t>TH FS Chatbot Team</t>
  </si>
  <si>
    <t>[N/A] TH Information Security Team</t>
  </si>
  <si>
    <t>[N/A]TH New Biz. Team</t>
  </si>
  <si>
    <t>[N/A]TH Hellobot Dev Team</t>
  </si>
  <si>
    <t>[N/A]TH StoryPlay Platform Dev Team</t>
  </si>
  <si>
    <t>[N/A]TH Between Dev Team</t>
  </si>
  <si>
    <t>[N/A]TH Platform Dev Team</t>
  </si>
  <si>
    <t>TH A.I. Contents Lab Team</t>
  </si>
  <si>
    <t>[N/A]TH Global Growth Div.</t>
  </si>
  <si>
    <t>TH Finance Team</t>
  </si>
  <si>
    <t>[N/A]TH StoryPlay Studio Team</t>
  </si>
  <si>
    <t>[N/A]TH Platform Product Team</t>
  </si>
  <si>
    <t>TH IMC Div.</t>
  </si>
  <si>
    <t>[N/A]TH QA Team</t>
  </si>
  <si>
    <t>[N/A]TH CFO</t>
  </si>
  <si>
    <t>[N/A]TH Talent Acquisition Team</t>
  </si>
  <si>
    <t>[N/A]TH PR Team</t>
  </si>
  <si>
    <t>[N/A]TH Global Content Growth Div.</t>
  </si>
  <si>
    <t>[N/A TH StoryPlay Content Team</t>
  </si>
  <si>
    <t>TH Operation Div.</t>
  </si>
  <si>
    <t>[N/A] TH product Div.</t>
  </si>
  <si>
    <t>[N/A]TH Hellobot Product Team</t>
  </si>
  <si>
    <t>TH A.I. Contents Lab Div.</t>
  </si>
  <si>
    <t>TH Advanced Initiative Dept.</t>
  </si>
  <si>
    <t>[N/A]TH Hellobot FS Opt Dept.</t>
  </si>
  <si>
    <t>[N/A]TH Hellobot FS Marketing Team</t>
  </si>
  <si>
    <t>[N/A]TH Hellobot FS Content Team</t>
  </si>
  <si>
    <t>[N/A]TH Hellobot Div.</t>
  </si>
  <si>
    <t>TH Ops-Maximize Team</t>
  </si>
  <si>
    <t>[N/A]TH Global Scale-up Dept.</t>
  </si>
  <si>
    <t>TH Marketing Team</t>
  </si>
  <si>
    <t>[N/A]TH Global Scale-up Team</t>
  </si>
  <si>
    <t>[N/A]TH Hellobot NS Marketing Team</t>
  </si>
  <si>
    <t>[N/A]TH Hellobot NS Global Team</t>
  </si>
  <si>
    <t>[N/A]TH StoryPlay Div.</t>
  </si>
  <si>
    <t>TH Design Div.</t>
  </si>
  <si>
    <t>TH CEO Div.</t>
  </si>
  <si>
    <t>OmniCraft Labs, Inc.</t>
  </si>
  <si>
    <t>PGY_Art Cell_OCL</t>
  </si>
  <si>
    <t>MTL_Narrative Team_OCL</t>
  </si>
  <si>
    <t>MTL_QA Team_OCL</t>
  </si>
  <si>
    <t>PGY_Cinematic Team_OCL</t>
  </si>
  <si>
    <t>PGY_Lighting Team_OCL</t>
  </si>
  <si>
    <t>PGY_Character Concept Team_OCL</t>
  </si>
  <si>
    <t>PGY_Modeling Team_OCL</t>
  </si>
  <si>
    <t>PGY_Character Modeling Team_OCL</t>
  </si>
  <si>
    <t>PGY_Management Team_OCL</t>
  </si>
  <si>
    <t>PGY_Environment Part_OCL</t>
  </si>
  <si>
    <t>PGY_Object Bank Part_OCL</t>
  </si>
  <si>
    <t>MTL_System Team_OCL</t>
  </si>
  <si>
    <t>MTL_Tech Animation Team_OCL</t>
  </si>
  <si>
    <t>MTL_Tech Art Team_OCL</t>
  </si>
  <si>
    <t>PGY_Cinematic Animation Part_OCL</t>
  </si>
  <si>
    <t>PGY_Environment Concept Team_OCL</t>
  </si>
  <si>
    <t>Windless Unit_OCL</t>
  </si>
  <si>
    <t>OCL Operations Team</t>
  </si>
  <si>
    <t>OCL Cen Unit</t>
  </si>
  <si>
    <t>OCL Bravo Unit</t>
  </si>
  <si>
    <t>OCL GW Tech Cell</t>
  </si>
  <si>
    <t>OCL GW Art Cell</t>
  </si>
  <si>
    <t>OCL GW Game Design Cell</t>
  </si>
  <si>
    <t>OCL GW PM Team</t>
  </si>
  <si>
    <t>OCL Business Strategy Dept.</t>
  </si>
  <si>
    <t>OCL GW Combat Design Team</t>
  </si>
  <si>
    <t>OCL GW Contents Design Team</t>
  </si>
  <si>
    <t>OCL Cen Game Design Team</t>
  </si>
  <si>
    <t>OCL Cen Art Team</t>
  </si>
  <si>
    <t>OCL Cen TA Team</t>
  </si>
  <si>
    <t>OCL Cen SE Team</t>
  </si>
  <si>
    <t>[N/A] OCL Dev Support Team</t>
  </si>
  <si>
    <t>OCL Cen Character Concept Part</t>
  </si>
  <si>
    <t>OCL Cen Character Modeling Part</t>
  </si>
  <si>
    <t>OCL Cen Environment Level Part</t>
  </si>
  <si>
    <t>OCL Cen Animation Part</t>
  </si>
  <si>
    <t>OCL Cen Tech Part</t>
  </si>
  <si>
    <t>OCL Cen Core Part</t>
  </si>
  <si>
    <t>OCL Cen System Part</t>
  </si>
  <si>
    <t>OCL Cen VFX Part</t>
  </si>
  <si>
    <t>OCL GW Level Design Team</t>
  </si>
  <si>
    <t>OCL GW Environment Team</t>
  </si>
  <si>
    <t>OCL GW Character Team</t>
  </si>
  <si>
    <t>OCL GW Client Team</t>
  </si>
  <si>
    <t>OCL GW UI Team</t>
  </si>
  <si>
    <t>OCL Dev Support Team</t>
  </si>
  <si>
    <t>Unknown Worlds Entertainment, Inc.</t>
  </si>
  <si>
    <t>UWE Game Dev Div.</t>
  </si>
  <si>
    <t>UWE Operations Team</t>
  </si>
  <si>
    <t>UWE Subnautica 2 Dept.</t>
  </si>
  <si>
    <t>UWE Game Discovery Dept.</t>
  </si>
  <si>
    <t>UWE Subnautica 1 &amp; BZ Support Dept.</t>
  </si>
  <si>
    <t>UWE Mobile Dept.</t>
  </si>
  <si>
    <t>UWE VR Dept.</t>
  </si>
  <si>
    <t>UWE Design Team</t>
  </si>
  <si>
    <t>UWE Art Team</t>
  </si>
  <si>
    <t>UWE Production Team</t>
  </si>
  <si>
    <t>UWE Engineering Team</t>
  </si>
  <si>
    <t>UWE QA Team</t>
  </si>
  <si>
    <t>UWE Community &amp; Release Management Team</t>
  </si>
  <si>
    <t>UW Finance Part_UW</t>
  </si>
  <si>
    <t>UWE IT Team</t>
  </si>
  <si>
    <t>SDS Interactive Canada, Inc.</t>
  </si>
  <si>
    <t>[N/A] SDS_P Lighting Dept.</t>
  </si>
  <si>
    <t>[N/A] SDS Systems Design Team</t>
  </si>
  <si>
    <t>[N/A] SDS Gameplay Systems Engineering</t>
  </si>
  <si>
    <t>SDS S&amp;A</t>
  </si>
  <si>
    <t>SDS Technology Dept._CA</t>
  </si>
  <si>
    <t>SDS Gameplay Eng Team_CA</t>
  </si>
  <si>
    <t>5minlab</t>
  </si>
  <si>
    <t>5ml Operations Dept.</t>
  </si>
  <si>
    <t>[N/A] 5ml Tech Dept.</t>
  </si>
  <si>
    <t>5ml Art &amp; IP Dept.</t>
  </si>
  <si>
    <t>5ml Game Development Div.</t>
  </si>
  <si>
    <t>5ml Business Strategy Dept.</t>
  </si>
  <si>
    <t>5ml Sounds Team</t>
  </si>
  <si>
    <t>5ml IP Team</t>
  </si>
  <si>
    <t>5ml Bizcomm Team</t>
  </si>
  <si>
    <t>[N/A]5ml SMASH LEGENDS Cell</t>
  </si>
  <si>
    <t>[N/A] 5ml Project Slip Team</t>
  </si>
  <si>
    <t>[N/A] 5ml Project Rogue Team</t>
  </si>
  <si>
    <t>[N/A] ]5ml Project O Team</t>
  </si>
  <si>
    <t>5ml Basecamp Team</t>
  </si>
  <si>
    <t>5ml QA Team</t>
  </si>
  <si>
    <t>[N/A] 5ml Citrus Team</t>
  </si>
  <si>
    <t>[N/A]5ml SL Art Team</t>
  </si>
  <si>
    <t>[N/A]5ml Production Team</t>
  </si>
  <si>
    <t>[N/A]5ml Client Team</t>
  </si>
  <si>
    <t>[N/A]5ml Game Design Team</t>
  </si>
  <si>
    <t>5ml UI&amp;UX Team</t>
  </si>
  <si>
    <t>5minlab_Shared</t>
  </si>
  <si>
    <t>5ml dev1 Unit</t>
  </si>
  <si>
    <t>5ml dev2 Unit</t>
  </si>
  <si>
    <t>[N/A] 5ml rps.io beta Team</t>
  </si>
  <si>
    <t>[N/A] 5ml Project U beta Team</t>
  </si>
  <si>
    <t>[N/A]5ml New Project Pool Team</t>
  </si>
  <si>
    <t>5ml Boost Team</t>
  </si>
  <si>
    <t>5ml People Team</t>
  </si>
  <si>
    <t>5ml Tech Dept</t>
  </si>
  <si>
    <t>[N/A]5ml Server Team</t>
  </si>
  <si>
    <t>[N/A] 5ml arpg beta Team</t>
  </si>
  <si>
    <t>[N/A]5ml dev3 unit</t>
  </si>
  <si>
    <t>[N/A]5ml 3d3 Team</t>
  </si>
  <si>
    <t>5ml Dev support Dept</t>
  </si>
  <si>
    <t>[N/A]5ml PMC Team</t>
  </si>
  <si>
    <t>[N/A]5ml GAP Team</t>
  </si>
  <si>
    <t>[N/A]5ml Smash Flight Team</t>
  </si>
  <si>
    <t>[N/A]5ml Next Team</t>
  </si>
  <si>
    <t>[N/A]5ml Puzzle Team</t>
  </si>
  <si>
    <t>[N/A]5ml 28x4 Team</t>
  </si>
  <si>
    <t>5ml Snowball Team</t>
  </si>
  <si>
    <t>[N/A]5ml Revolver Team</t>
  </si>
  <si>
    <t>5ml D Cell</t>
  </si>
  <si>
    <t>[N/A]5ml SMASH LEGENDS Growth Team</t>
  </si>
  <si>
    <t>[N/A]5ml PMM Team</t>
  </si>
  <si>
    <t>5ml FX Team</t>
  </si>
  <si>
    <t>[N/A]5ml SMASH LEGENDS Character Team</t>
  </si>
  <si>
    <t>[N/A]5ml SMASH LEGENDS LiveOps Team</t>
  </si>
  <si>
    <t>[N/A]5ml SMASHLEGENDS Marketing Part</t>
  </si>
  <si>
    <t>[N/A]5l SMASHLEGENDS Dev Team</t>
  </si>
  <si>
    <t>[N/A]5ml SL DevOps Team</t>
  </si>
  <si>
    <t>[N/A]5ml Antique Team</t>
  </si>
  <si>
    <t>[N/A]5ml Gunslinger Team</t>
  </si>
  <si>
    <t>5ml D Outback Team</t>
  </si>
  <si>
    <t>5ml D Client Team</t>
  </si>
  <si>
    <t>5ml D Game Design Team</t>
  </si>
  <si>
    <t>5ml D Art Team</t>
  </si>
  <si>
    <t>[N/A]5ml S2l Team</t>
  </si>
  <si>
    <t>5ml D Console Team</t>
  </si>
  <si>
    <t>[N/A]5ml Rush Team</t>
  </si>
  <si>
    <t>5ml NPP Team</t>
  </si>
  <si>
    <t>[N/A]5ml Bronze Canary Team</t>
  </si>
  <si>
    <t>[N/A]5ml SMASH LEGENDS Live Team</t>
  </si>
  <si>
    <t>[N/A]5ml Shell Team</t>
  </si>
  <si>
    <t>5ml Canary Team</t>
  </si>
  <si>
    <t>5ml Dev3 Unit</t>
  </si>
  <si>
    <t>5ml SMASH LEGENDS Team</t>
  </si>
  <si>
    <t>[N/A]5ml SMASH LEGENDS QA Team</t>
  </si>
  <si>
    <t>[N/A]5ml SMASH LEGENDS Marketing part</t>
  </si>
  <si>
    <t>[N/A]5ml SMASH LEGENSD Dev part</t>
  </si>
  <si>
    <t>5ml D Production Team</t>
  </si>
  <si>
    <t>Neon Giant AB</t>
  </si>
  <si>
    <t>NG Game Div.</t>
  </si>
  <si>
    <t>NG Art Div.</t>
  </si>
  <si>
    <t>NG Office Div.</t>
  </si>
  <si>
    <t>KRAFTON MONTREAL STUDIO, INC.</t>
  </si>
  <si>
    <t>MTL_Production Dept.</t>
  </si>
  <si>
    <t>MTL_Design Dept.</t>
  </si>
  <si>
    <t>MTL_QA Team</t>
  </si>
  <si>
    <t>MTL_Animation Team</t>
  </si>
  <si>
    <t>MTL_Art Team</t>
  </si>
  <si>
    <t>MTL_Audio Team</t>
  </si>
  <si>
    <t>MTL_Level Design Team</t>
  </si>
  <si>
    <t>MTL_IT Team</t>
  </si>
  <si>
    <t>MTL_GPP Team</t>
  </si>
  <si>
    <t>Montreal Finance Part</t>
  </si>
  <si>
    <t>MTL_Technology Dept.</t>
  </si>
  <si>
    <t>Americas Product Team 1</t>
  </si>
  <si>
    <t>[N/A]MTL_Publishing Team</t>
  </si>
  <si>
    <t>[N/A]MTL_Technical Design2 Team</t>
  </si>
  <si>
    <t>MTL_Level Design Mission Team</t>
  </si>
  <si>
    <t>MTL_Tools Team</t>
  </si>
  <si>
    <t>GPD2 Publishing Management Dept._KM</t>
  </si>
  <si>
    <t>GPD2 Product Management Team_KM</t>
  </si>
  <si>
    <t>VECTOR NORTH</t>
  </si>
  <si>
    <t>EMEA People Operations Team_VN</t>
  </si>
  <si>
    <t>[N/A]VNP HR Part</t>
  </si>
  <si>
    <t>[N/A]VNP People Operations Team</t>
  </si>
  <si>
    <t>[N/A] VNP Operations Part</t>
  </si>
  <si>
    <t>[N/A]VNP IT Part</t>
  </si>
  <si>
    <t>[N/A]VNP Operations Team</t>
  </si>
  <si>
    <t>VN Programming Team</t>
  </si>
  <si>
    <t>VN Deisgn Team</t>
  </si>
  <si>
    <t>[N/A] VN Animation Team</t>
  </si>
  <si>
    <t>VN Art Team</t>
  </si>
  <si>
    <t>VN Production Team</t>
  </si>
  <si>
    <t>[N/A]VNP Programming Part</t>
  </si>
  <si>
    <t>[N/A]VNP 3D Art Part</t>
  </si>
  <si>
    <t>[N/A]VNP Design Part</t>
  </si>
  <si>
    <t>VN Design Cell</t>
  </si>
  <si>
    <t>VN Production Cell</t>
  </si>
  <si>
    <t>[N/A] VNS Production Part</t>
  </si>
  <si>
    <t>VN QA Part</t>
  </si>
  <si>
    <t>VN Tech Cell</t>
  </si>
  <si>
    <t>VN World Cell</t>
  </si>
  <si>
    <t>VN Concept Art Team</t>
  </si>
  <si>
    <t>VN Level Design Team</t>
  </si>
  <si>
    <t>[N/A]VN Seoul Team</t>
  </si>
  <si>
    <t>ReLU Dev Unit</t>
  </si>
  <si>
    <t>ReLU Biz Team</t>
  </si>
  <si>
    <t>ReLU People Team</t>
  </si>
  <si>
    <t>ReLU Tech Team</t>
  </si>
  <si>
    <t>[N/A] ReLU Art Team</t>
  </si>
  <si>
    <t>[N/A] ReLU Design Team</t>
  </si>
  <si>
    <t>[N/A] ReLU DL Team</t>
  </si>
  <si>
    <t>Dev PM Team</t>
  </si>
  <si>
    <t>MIMESIS Cell</t>
  </si>
  <si>
    <t>MI Design Team</t>
  </si>
  <si>
    <t>MI Client Team</t>
  </si>
  <si>
    <t>MI Server Team</t>
  </si>
  <si>
    <t>MI Art Team</t>
  </si>
  <si>
    <t>MI DL Team</t>
  </si>
  <si>
    <t>MI Biz Team</t>
  </si>
  <si>
    <t>Free Agent Team</t>
  </si>
  <si>
    <t>Romantic Dinner Team</t>
  </si>
  <si>
    <t>[N/A] ReLU Career Team</t>
  </si>
  <si>
    <t>ReLU Dev Support T</t>
  </si>
  <si>
    <t>AI Creative Team</t>
  </si>
  <si>
    <t>[N/A]OVDR Biz &amp; Ops Team</t>
  </si>
  <si>
    <t>OVDR Settlus Product Dept.</t>
  </si>
  <si>
    <t>[N/A]OVDR Engine DEV Team</t>
  </si>
  <si>
    <t>[N/A]OVDR Player Platform Dept.</t>
  </si>
  <si>
    <t>[N/A]OVDR Product Steering TFT</t>
  </si>
  <si>
    <t>[N/A]OVDR Platform Operation Dept.</t>
  </si>
  <si>
    <t>[N/A]OVDR PPL DEV Cell</t>
  </si>
  <si>
    <t>[N/A]OVDR PPL Product Group Team</t>
  </si>
  <si>
    <t>[N/A]OVDR Art Dept.</t>
  </si>
  <si>
    <t>[N/A]OVDR OTW Dept.</t>
  </si>
  <si>
    <t>OVDR Growth Hacker Dept.</t>
  </si>
  <si>
    <t>[N/A]OVDR Publishing PM Team</t>
  </si>
  <si>
    <t>[N/A]OVDR Live Ops Team</t>
  </si>
  <si>
    <t>[N/A]OVDR Marketing Team</t>
  </si>
  <si>
    <t>[N/A]OVDR DevOps Team</t>
  </si>
  <si>
    <t>[N/A]OVDR Data Engineering Team</t>
  </si>
  <si>
    <t>[N/A]OVDR Server DEV Team</t>
  </si>
  <si>
    <t>[N/A]OVDR Creator Studio DEV Team</t>
  </si>
  <si>
    <t>[N/A]OVDR BX Team</t>
  </si>
  <si>
    <t>[N/A]OVDR Creator HUB DEV Team</t>
  </si>
  <si>
    <t>[N/A]OVDR Character Concept Team</t>
  </si>
  <si>
    <t>[N/A]OVDR Character Modeling 1 Part</t>
  </si>
  <si>
    <t>[N/A]OVDR World Concept Team</t>
  </si>
  <si>
    <t>[N/A]OVDR Animation Team</t>
  </si>
  <si>
    <t>[N/A]OVDR VFX Team</t>
  </si>
  <si>
    <t>[N/A]OVDR World Modeling Team</t>
  </si>
  <si>
    <t>[N/A]OVDR Character Modeling Team</t>
  </si>
  <si>
    <t>[N/A]OVDR UGC Art Team</t>
  </si>
  <si>
    <t>[N/A]OVDR UE DEV Team</t>
  </si>
  <si>
    <t>[N/A]OVDR AI TFT</t>
  </si>
  <si>
    <t>[N/A]OVDR Spicy Studio Div.</t>
  </si>
  <si>
    <t>[N/A]OVDR RapidShot Dept.</t>
  </si>
  <si>
    <t>[N/A]OVDR Game Service DEV Part</t>
  </si>
  <si>
    <t>[N/A]OVDR User Platform Div.</t>
  </si>
  <si>
    <t>[N/A]OVDR Platform Server DEV Part</t>
  </si>
  <si>
    <t>[N/A]OVDR Creator Platform Dept.</t>
  </si>
  <si>
    <t>[N/A]OVDR CPL Product Group Team</t>
  </si>
  <si>
    <t>[N/A]OVDR HQ Div.</t>
  </si>
  <si>
    <t>[N/A]OVDR Art Tech Cell</t>
  </si>
  <si>
    <t>[N/A]OVDR Charater Cell</t>
  </si>
  <si>
    <t>[N/A]OVDR World Art Cell</t>
  </si>
  <si>
    <t>OVDR Business Dept.</t>
  </si>
  <si>
    <t>OVDR Finance Team</t>
  </si>
  <si>
    <t>[N/A]OVDR System DEV Part</t>
  </si>
  <si>
    <t>[N/A]OVDR Support DEV Part</t>
  </si>
  <si>
    <t>[N/A]OVDR Unreal Engineering Dept.</t>
  </si>
  <si>
    <t>[N/A]OVDR General DEV Team</t>
  </si>
  <si>
    <t>[N/A]OVDR DEV Culture TFT</t>
  </si>
  <si>
    <t>[N/A]OVDR TFT Group</t>
  </si>
  <si>
    <t>[N/A]OVDR Persona TFT</t>
  </si>
  <si>
    <t>[N/A]OVDR Service DEV Part</t>
  </si>
  <si>
    <t>[N/A]OVDR UFO Dept.</t>
  </si>
  <si>
    <t>[N/A]OVDR Platform QA Part</t>
  </si>
  <si>
    <t>[N/A]OVDR Studio QA Part</t>
  </si>
  <si>
    <t>[N/A]OVDR Game QA Part</t>
  </si>
  <si>
    <t>[N/A]OVDR Chapter Group</t>
  </si>
  <si>
    <t>[N/A]OVDR Unreal Tech Chapter</t>
  </si>
  <si>
    <t>[N/A]OVDR UX&amp;BX Designer Chapter</t>
  </si>
  <si>
    <t>[N/A]OVDR Rapidshot Dev Team</t>
  </si>
  <si>
    <t>[N/A]OVDR Rapidshot Design Part</t>
  </si>
  <si>
    <t>[N/A]OVDR Rapidshot Level Part</t>
  </si>
  <si>
    <t>[N/A]OVDR Rapidshot UI Part</t>
  </si>
  <si>
    <t>[N/A]OVDR CS Part</t>
  </si>
  <si>
    <t>OVDR Product Dev Dept.</t>
  </si>
  <si>
    <t>[N/A]OVDR Product Dev S Team.</t>
  </si>
  <si>
    <t>OVDR Product Dev F Team.</t>
  </si>
  <si>
    <t>OVDR Product Dev P Team.</t>
  </si>
  <si>
    <t>OVDR App Dev Dept.</t>
  </si>
  <si>
    <t>OVDR UE Dev Dept.</t>
  </si>
  <si>
    <t>OVDR UE Dev 1 Team</t>
  </si>
  <si>
    <t>OVDR UE Dev 2 Team</t>
  </si>
  <si>
    <t>OVDR Design Team</t>
  </si>
  <si>
    <t>OVDR Product Div.</t>
  </si>
  <si>
    <t>OVDR Studio Product Dept.</t>
  </si>
  <si>
    <t>OVDR Platform Product Dept.</t>
  </si>
  <si>
    <t>[N/A]OVDR Settlus Chain Team</t>
  </si>
  <si>
    <t>[N/A]OVDR Nacho TFT</t>
  </si>
  <si>
    <t>OVDR Product Dev E Team</t>
  </si>
  <si>
    <t>[N/A]OVDR Creator Studio DEV Part 1.</t>
  </si>
  <si>
    <t>[N/A]OVDR Creator Studio DEV Part 2.</t>
  </si>
  <si>
    <t>[N/A]OVDR Creator Studio DEV Part 3.</t>
  </si>
  <si>
    <t>OVDR Studio Product Team</t>
  </si>
  <si>
    <t>[N/A]OVDR Platform Core Product Team</t>
  </si>
  <si>
    <t>[N/A]OVDR World Product Team</t>
  </si>
  <si>
    <t>[N/A]OVDR Avatar Product Team</t>
  </si>
  <si>
    <t>[N/A]OVDR P&amp;S Product Team</t>
  </si>
  <si>
    <t>[N/A]OVDR MarketPlace Part</t>
  </si>
  <si>
    <t>OVDR UE Dev 3 Team</t>
  </si>
  <si>
    <t>OVDR UE Dev 2 Team 1 Part</t>
  </si>
  <si>
    <t>OVDR Marketing Part</t>
  </si>
  <si>
    <t>OVDR Tech Div.</t>
  </si>
  <si>
    <t>[N/A]OVDR Native Content Dept.</t>
  </si>
  <si>
    <t>OVDR Contents Dept.</t>
  </si>
  <si>
    <t>[N/A]OVDR Character 1 Team</t>
  </si>
  <si>
    <t>[N/A]OVDR Character 2 Team</t>
  </si>
  <si>
    <t>OVDR Game Team</t>
  </si>
  <si>
    <t>OVDR Art Asset Team</t>
  </si>
  <si>
    <t>OVDR Game 1 Part</t>
  </si>
  <si>
    <t>OVDR Game 2 Part</t>
  </si>
  <si>
    <t>[N/A]OVDR Game 3 Part</t>
  </si>
  <si>
    <t>OVDR UGC Dev team </t>
  </si>
  <si>
    <t>OVDR Art Tech Team</t>
  </si>
  <si>
    <t>[N/A]OVDR TA Part</t>
  </si>
  <si>
    <t>[N/A]OVDR VFX Part</t>
  </si>
  <si>
    <t>OVDR Revolver Team</t>
  </si>
  <si>
    <t>OVDR Chapter Group Dept.</t>
  </si>
  <si>
    <t>OVDR Modeler Chapter TFT</t>
  </si>
  <si>
    <t>OVDR Concept Artist Chaper TFT</t>
  </si>
  <si>
    <t>OVDR Product Owner Chapter TFT</t>
  </si>
  <si>
    <t>OVDR Studio TPM Team</t>
  </si>
  <si>
    <t>OVDR Studio Dev Team</t>
  </si>
  <si>
    <t>OVDR Character AI Team</t>
  </si>
  <si>
    <t>OVDR Original Contents Team</t>
  </si>
  <si>
    <t>OVDR Art Support Team</t>
  </si>
  <si>
    <t>OVDR Agentic System Group Dept.</t>
  </si>
  <si>
    <t>OVDR Agentic Studio TFT</t>
  </si>
  <si>
    <t>OVDR Agentic Workflow TFT</t>
  </si>
  <si>
    <t>OVDR Creator Partnership Team</t>
  </si>
  <si>
    <t>FWG Dev Dept.</t>
  </si>
  <si>
    <t>FWG Marketing Team</t>
  </si>
  <si>
    <t>FWG People Team</t>
  </si>
  <si>
    <t>[N/A]MC Art Part</t>
  </si>
  <si>
    <t>[N/A]MC Design Part</t>
  </si>
  <si>
    <t>[N/A]MC Tech Part</t>
  </si>
  <si>
    <t>Ghost Art Part</t>
  </si>
  <si>
    <t>Ghost Design Part</t>
  </si>
  <si>
    <t>Ghost Tech Part</t>
  </si>
  <si>
    <t>EP DeepLearning Part</t>
  </si>
  <si>
    <t>CC Art Part</t>
  </si>
  <si>
    <t>CC Tech Part</t>
  </si>
  <si>
    <t>CC Design Part</t>
  </si>
  <si>
    <t>FWG T Team</t>
  </si>
  <si>
    <t>NS Live Dept.</t>
  </si>
  <si>
    <t>NS Live Team</t>
  </si>
  <si>
    <t>NS Service Part</t>
  </si>
  <si>
    <t>NS Art Part</t>
  </si>
  <si>
    <t>NS Tech Part</t>
  </si>
  <si>
    <t>MM Design Part</t>
  </si>
  <si>
    <t>MM Art Part</t>
  </si>
  <si>
    <t>MM Tech Part</t>
  </si>
  <si>
    <t>T Team_NS</t>
  </si>
  <si>
    <t>FWG Publishing Team</t>
  </si>
  <si>
    <t>Moonshine Team</t>
  </si>
  <si>
    <t>FWG Business Development Team</t>
  </si>
  <si>
    <t>Tango Gameworks Inc.</t>
  </si>
  <si>
    <t>[N/A]TGW Studio Admin Dept.</t>
  </si>
  <si>
    <t>TGW Production Dept.</t>
  </si>
  <si>
    <t>TGW Production Team</t>
  </si>
  <si>
    <t>TGW Development Dept.</t>
  </si>
  <si>
    <t>TGW Development Team</t>
  </si>
  <si>
    <t>TGW Creative Dept.</t>
  </si>
  <si>
    <t>TGW Game Design Team</t>
  </si>
  <si>
    <t>TGW Art Dept.</t>
  </si>
  <si>
    <t>[N/A] TGW Art Support Team</t>
  </si>
  <si>
    <t>TGW Animation Team</t>
  </si>
  <si>
    <t>TGW Environment Design Team</t>
  </si>
  <si>
    <t>TGW Concept Art Team</t>
  </si>
  <si>
    <t>TGW UI Team</t>
  </si>
  <si>
    <t>TGW VFX Team</t>
  </si>
  <si>
    <t>TGW Programming Team</t>
  </si>
  <si>
    <t>TGW Audio Dept.</t>
  </si>
  <si>
    <t>TGW Sound Team</t>
  </si>
  <si>
    <t>TGW Legal Dept.</t>
  </si>
  <si>
    <t>TGW Asia HR Dept.</t>
  </si>
  <si>
    <t>TGW Global Finance Dept.</t>
  </si>
  <si>
    <t>TGW Studio Operations Div.</t>
  </si>
  <si>
    <t>TGW Studio Operations Dept.</t>
  </si>
  <si>
    <t>[N/A] inZOI Dept.</t>
  </si>
  <si>
    <t>[N/A] inZOI Client A Team</t>
  </si>
  <si>
    <t>[N/A] inZOI Design B Team</t>
  </si>
  <si>
    <t>[N/A] inZOI Art C Team</t>
  </si>
  <si>
    <t>inZOI QA Part</t>
  </si>
  <si>
    <t>inZOI Client W Team</t>
  </si>
  <si>
    <t>inZOI Console Team</t>
  </si>
  <si>
    <t>inZOI Operations Dept.</t>
  </si>
  <si>
    <t>inZOI Character Team</t>
  </si>
  <si>
    <t>inZOI Motion Team</t>
  </si>
  <si>
    <t>inZOI World Team</t>
  </si>
  <si>
    <t>inZOI UI &amp; UX Team</t>
  </si>
  <si>
    <t>inZOI FX Team</t>
  </si>
  <si>
    <t>inZOI Cinematic Team</t>
  </si>
  <si>
    <t>[N/A] inZOI Data Design Team</t>
  </si>
  <si>
    <t>[N/A] inZOI System Design Team</t>
  </si>
  <si>
    <t>inZOI eX Team</t>
  </si>
  <si>
    <t>inZOI Client Team 1</t>
  </si>
  <si>
    <t>inZOI Client Team 2</t>
  </si>
  <si>
    <t>[N/A] inZOI Character Concept Part</t>
  </si>
  <si>
    <t>inZOI 3D Character Modeling Part</t>
  </si>
  <si>
    <t>inZOI Client Part 1</t>
  </si>
  <si>
    <t>inZOI Client Part 2</t>
  </si>
  <si>
    <t>inZOI Client Part 3</t>
  </si>
  <si>
    <t>inZOI Client Part 4</t>
  </si>
  <si>
    <t>[N/A] inZOI Animation Part</t>
  </si>
  <si>
    <t>inZOI Rigging Part</t>
  </si>
  <si>
    <t>inZOI World Part 1</t>
  </si>
  <si>
    <t>inZOI World Part 2</t>
  </si>
  <si>
    <t>inZOI Art Unit</t>
  </si>
  <si>
    <t>[N/A] inZOI Creative Design Team</t>
  </si>
  <si>
    <t>inZOI Design Cell</t>
  </si>
  <si>
    <t>inZOI Development Strategy Team</t>
  </si>
  <si>
    <t>inZOI QA &amp; Service Mgmt Team</t>
  </si>
  <si>
    <t>inZOI Tech Unit</t>
  </si>
  <si>
    <t>inZOI TA Team</t>
  </si>
  <si>
    <t>[N/A] inZOI 3D Character Modeling Part 2</t>
  </si>
  <si>
    <t>[N/A] inZOI Contents Design Team</t>
  </si>
  <si>
    <t>[N/A] inZOI Data Design Part</t>
  </si>
  <si>
    <t>inZOI UI &amp; UX Part</t>
  </si>
  <si>
    <t>inZOI Game Design Team 1</t>
  </si>
  <si>
    <t>inZOI Game Design Team 2</t>
  </si>
  <si>
    <t>inZOI Game Design Team 3</t>
  </si>
  <si>
    <t>inZOI R&amp;D Lab Unit</t>
  </si>
  <si>
    <t>inZOI TA Part</t>
  </si>
  <si>
    <t>inZOI Client Part 5</t>
  </si>
  <si>
    <t>inZOI Client Part 6</t>
  </si>
  <si>
    <t>[N/A] inZOI Data Design Team 2</t>
  </si>
  <si>
    <t>inZOI Service Mgmt Part</t>
  </si>
  <si>
    <t>StoryCraft LLC</t>
  </si>
  <si>
    <t>NAUTILUS MOBILE</t>
  </si>
  <si>
    <t>NM 2D Team</t>
  </si>
  <si>
    <t>NM 3D Team</t>
  </si>
  <si>
    <t>NM Animation Team</t>
  </si>
  <si>
    <t>NM Product Team</t>
  </si>
  <si>
    <t>NM UA &amp; Ad Monetisation Team</t>
  </si>
  <si>
    <t>NM Engineering Team</t>
  </si>
  <si>
    <t>NM Game Production &amp; QA Dept.</t>
  </si>
  <si>
    <t>NM Fronted Part</t>
  </si>
  <si>
    <t>NM Backend Part</t>
  </si>
  <si>
    <t>NM QA Team</t>
  </si>
  <si>
    <t>JOFSOFT</t>
  </si>
  <si>
    <t>JOF Business Team</t>
  </si>
  <si>
    <t>JOF Operations Team</t>
  </si>
  <si>
    <t>넵튠</t>
  </si>
  <si>
    <t>N CEO Office</t>
  </si>
  <si>
    <t>N Business Strategy Team</t>
  </si>
  <si>
    <t>N Communication Team</t>
  </si>
  <si>
    <t>N People Team</t>
  </si>
  <si>
    <t>N Game Business Div.</t>
  </si>
  <si>
    <t>N Investment Committee</t>
  </si>
  <si>
    <t>N Mid-Core Game Business Dept.</t>
  </si>
  <si>
    <t>N Mid-Core Game Business Team 1</t>
  </si>
  <si>
    <t>N Mid-Core Game Business Team 2</t>
  </si>
  <si>
    <t>N Hybrid Casual Game Team 1</t>
  </si>
  <si>
    <t>N Marketing Team</t>
  </si>
  <si>
    <t>N H5 Game Development Team</t>
  </si>
  <si>
    <t>N Animation Team</t>
  </si>
  <si>
    <t>N Technology Strategy Div.</t>
  </si>
  <si>
    <t>N Performance Marketing Dept</t>
  </si>
  <si>
    <t>N Performance Team 1</t>
  </si>
  <si>
    <t>N Y Part</t>
  </si>
  <si>
    <t>N D Part</t>
  </si>
  <si>
    <t>N H Part</t>
  </si>
  <si>
    <t>N Performance Team 2</t>
  </si>
  <si>
    <t>N A Part</t>
  </si>
  <si>
    <t>N Design Team</t>
  </si>
  <si>
    <t>N Partnership TF Team</t>
  </si>
  <si>
    <t>N Solution Business Team</t>
  </si>
  <si>
    <t>N Solution Development Dept</t>
  </si>
  <si>
    <t>N Platform Business Div.</t>
  </si>
  <si>
    <t>N New Business Dept.</t>
  </si>
  <si>
    <t>N Platform Development Team</t>
  </si>
  <si>
    <t>N Mobile Development Team</t>
  </si>
  <si>
    <t>N Klat Dept.</t>
  </si>
  <si>
    <t>N AdPie Team</t>
  </si>
  <si>
    <t>N AD X Team</t>
  </si>
  <si>
    <t>N Media Partnership Team</t>
  </si>
  <si>
    <t>N Growth Dept.</t>
  </si>
  <si>
    <t>N MEEFF Team</t>
  </si>
  <si>
    <t>N NFLY Team</t>
  </si>
  <si>
    <t>N PLAYLAB Team</t>
  </si>
  <si>
    <t>N Financial Strategy Dept.</t>
  </si>
  <si>
    <t>N Finance &amp; Accounting Team</t>
  </si>
  <si>
    <t>N IR Team</t>
  </si>
  <si>
    <t>N Growth Strategy Team</t>
  </si>
  <si>
    <t>EK Games</t>
  </si>
  <si>
    <t>EK Business Dept.</t>
  </si>
  <si>
    <t>EK Finance &amp; Accounting &amp; HR Dept.</t>
  </si>
  <si>
    <t>EK Development Dept.</t>
  </si>
  <si>
    <t>EK Game Design Dept.</t>
  </si>
  <si>
    <t>EK Design Dept.</t>
  </si>
  <si>
    <t>Playhard</t>
  </si>
  <si>
    <t>PH RICH Team</t>
  </si>
  <si>
    <t>PH Dopamine Planet Team</t>
  </si>
  <si>
    <t>PH LVUP Team</t>
  </si>
  <si>
    <t>PH Platform Team</t>
  </si>
  <si>
    <t>PH Service Team</t>
  </si>
  <si>
    <t>PH Growth Team</t>
  </si>
  <si>
    <t>PH People Team</t>
  </si>
  <si>
    <t>Nimbleneuron</t>
  </si>
  <si>
    <t>NN Administrative Support Team</t>
  </si>
  <si>
    <t>NN HR&amp;General Affairs Part</t>
  </si>
  <si>
    <t>NN Finance Part</t>
  </si>
  <si>
    <t>NN Development Div.</t>
  </si>
  <si>
    <t>NN PM Team</t>
  </si>
  <si>
    <t>NN Strategy Support Team</t>
  </si>
  <si>
    <t>NN Art Unit</t>
  </si>
  <si>
    <t>NN Art Support Team</t>
  </si>
  <si>
    <t>NN World Team</t>
  </si>
  <si>
    <t>NN Concept  Team</t>
  </si>
  <si>
    <t>NN 3DCharacter Team</t>
  </si>
  <si>
    <t>NN Effect Team</t>
  </si>
  <si>
    <t>NN Animation Team</t>
  </si>
  <si>
    <t>NN Visual Prodction Team</t>
  </si>
  <si>
    <t>NN UI&amp;UX Team</t>
  </si>
  <si>
    <t>NN Design Unit</t>
  </si>
  <si>
    <t>NN Design Team 1</t>
  </si>
  <si>
    <t>NN Design Team 2</t>
  </si>
  <si>
    <t>NN Balance Team</t>
  </si>
  <si>
    <t>NN Character Creative Unit</t>
  </si>
  <si>
    <t>NN Narrative Team</t>
  </si>
  <si>
    <t>NN Character Design Team</t>
  </si>
  <si>
    <t>NN Programm Unit</t>
  </si>
  <si>
    <t>NN Server Team</t>
  </si>
  <si>
    <t>NN Character Programming Team</t>
  </si>
  <si>
    <t>NN Content Programming Team</t>
  </si>
  <si>
    <t>NN QA Unit</t>
  </si>
  <si>
    <t>NN Character QA Team</t>
  </si>
  <si>
    <t>NN Content QA Team</t>
  </si>
  <si>
    <t>NN Service&amp;Business Div.</t>
  </si>
  <si>
    <t>NN BX Team</t>
  </si>
  <si>
    <t>NN Business&amp;Marketing&amp;eSports Unit</t>
  </si>
  <si>
    <t>NN Business&amp;Marketing Team</t>
  </si>
  <si>
    <t>NN eSports Team</t>
  </si>
  <si>
    <t>NN Global&amp;Service PM Unit</t>
  </si>
  <si>
    <t>NN GlobalService PM Team</t>
  </si>
  <si>
    <t>NN Content Production Part</t>
  </si>
  <si>
    <t>NN Service PM Team</t>
  </si>
  <si>
    <t>NN Monitoring Part</t>
  </si>
  <si>
    <t>NN Anti-cheat Part</t>
  </si>
  <si>
    <t>Prettybusy</t>
  </si>
  <si>
    <t>PB Development Team</t>
  </si>
  <si>
    <t>PB Art Team</t>
  </si>
  <si>
    <t>PB Story Team</t>
  </si>
  <si>
    <t>PB Operations Team</t>
  </si>
  <si>
    <t>N Casual Game Business Dept</t>
  </si>
  <si>
    <t>N H5 Game Business Dept.</t>
  </si>
  <si>
    <t>N H5 Game Business Team</t>
  </si>
  <si>
    <t>N Global Business Team</t>
  </si>
  <si>
    <t>N Rewards Business Team</t>
  </si>
  <si>
    <t>N Media Business Dept.</t>
  </si>
  <si>
    <t>NN ER NF</t>
  </si>
  <si>
    <t>NN Service QA Team</t>
  </si>
  <si>
    <t>NN Contents IP Team</t>
  </si>
  <si>
    <t>NN TA Team</t>
  </si>
  <si>
    <t>NN Sound Team</t>
  </si>
  <si>
    <t>N Game Development Div.</t>
  </si>
  <si>
    <t>N Publishing Team</t>
  </si>
  <si>
    <t>N Hybrid Team</t>
  </si>
  <si>
    <t>N Puzzle Team</t>
  </si>
  <si>
    <t>N Tycoon 1 Unit</t>
  </si>
  <si>
    <t>N Tycoon 2 Unit</t>
  </si>
  <si>
    <t>N Data AI Team</t>
  </si>
  <si>
    <t>N Data Growth Team</t>
  </si>
  <si>
    <t>N UA Marketing Unit</t>
  </si>
  <si>
    <t>N Creative Team</t>
  </si>
  <si>
    <t>트리플라</t>
  </si>
  <si>
    <t>엔크로키</t>
  </si>
  <si>
    <t>팬텀</t>
  </si>
  <si>
    <t>FT Studio Concrit Dept.</t>
  </si>
  <si>
    <t>FT Studio Fantome Dept.</t>
  </si>
  <si>
    <t>FT Management Supporting Dept.</t>
  </si>
  <si>
    <t>9B Studio</t>
  </si>
  <si>
    <t>TUNA Unit</t>
  </si>
  <si>
    <t>TUNA Game Dev Team</t>
  </si>
  <si>
    <t>TUNA Engine Dev Team</t>
  </si>
  <si>
    <t>TUNA Tech Dev Team</t>
  </si>
  <si>
    <t>TUNA Art Team</t>
  </si>
  <si>
    <t>TUNA Game Design Team</t>
  </si>
  <si>
    <t>TUNA DevOps Team</t>
  </si>
  <si>
    <t>9B Strategy &amp; Opeartions Dept.</t>
  </si>
  <si>
    <t>Loonshot Games</t>
  </si>
  <si>
    <t>LOON AA Dept.</t>
  </si>
  <si>
    <t>LOON Camp Dept.</t>
  </si>
  <si>
    <t>LOON Launch &amp; LiveOps Dept.</t>
  </si>
  <si>
    <t>AA Game Design Team</t>
  </si>
  <si>
    <t>AA Tech Team</t>
  </si>
  <si>
    <t>AA 2D Art Team</t>
  </si>
  <si>
    <t>AA 3D Art Team</t>
  </si>
  <si>
    <t>LOON Operations Team</t>
  </si>
  <si>
    <t>AA Launch TF Team</t>
  </si>
  <si>
    <t>ELEVENTH HOUR GAMES</t>
  </si>
  <si>
    <t>EHG Finance Part</t>
  </si>
  <si>
    <t>EHG Business &amp; Operations Div.</t>
  </si>
  <si>
    <t>LAST EPOCH Div.</t>
  </si>
  <si>
    <t>Project Rushfire Unit</t>
  </si>
  <si>
    <t>EHG Operations Dept.</t>
  </si>
  <si>
    <t>EHG Publishing Dept.</t>
  </si>
  <si>
    <t>EHG HR Team</t>
  </si>
  <si>
    <t>EHG Player Experience &amp; Community Team</t>
  </si>
  <si>
    <t>EHG LiveOps Part</t>
  </si>
  <si>
    <t>EHG Marketing Team</t>
  </si>
  <si>
    <t>LE Production Dept.</t>
  </si>
  <si>
    <t>LE Development Dept.</t>
  </si>
  <si>
    <t>LE Gameplay Development Team</t>
  </si>
  <si>
    <t>LE QA Team</t>
  </si>
  <si>
    <t>LE Back End Dev Part</t>
  </si>
  <si>
    <t>LE DevOps Part</t>
  </si>
  <si>
    <t>LE Art Dept.</t>
  </si>
  <si>
    <t>LE 2D Art Team</t>
  </si>
  <si>
    <t>LE 3D Art Team</t>
  </si>
  <si>
    <t>LE Creative Dept.</t>
  </si>
  <si>
    <t>LE Animation Team</t>
  </si>
  <si>
    <t>LE VFX Team</t>
  </si>
  <si>
    <t>LE Level Design Team</t>
  </si>
  <si>
    <t>LE Technical Art Part</t>
  </si>
  <si>
    <t>LE Audio Team</t>
  </si>
  <si>
    <t>LE Game Design Team</t>
  </si>
  <si>
    <t>LE UI&amp;UX Dept.</t>
  </si>
  <si>
    <t>RF Gameplay Part</t>
  </si>
  <si>
    <t>RF Art Cell</t>
  </si>
  <si>
    <t>Ludo Robotics</t>
  </si>
  <si>
    <t>Ludo Research &amp; Development Div.</t>
  </si>
  <si>
    <t>Ludo Global Operations Div.</t>
  </si>
  <si>
    <t>Ludo Robotics_KR</t>
  </si>
  <si>
    <t>Ludo Research &amp; Development Div._KR</t>
  </si>
  <si>
    <t>Ludo Global Operations Div._KR</t>
  </si>
  <si>
    <t>Tree Operations Team</t>
  </si>
  <si>
    <t>List Item</t>
  </si>
  <si>
    <t>List Item Short Code</t>
  </si>
  <si>
    <t>G100010014</t>
  </si>
  <si>
    <t>test</t>
  </si>
  <si>
    <t>G100099999</t>
  </si>
  <si>
    <t>PUBGM_Collaboration</t>
  </si>
  <si>
    <t>I100039999</t>
  </si>
  <si>
    <t>IP CONTENTS</t>
  </si>
  <si>
    <t>I100050810</t>
  </si>
  <si>
    <t>I100090134</t>
  </si>
  <si>
    <t>I100090801</t>
  </si>
  <si>
    <t>LEASE</t>
  </si>
  <si>
    <t>I100090802</t>
  </si>
  <si>
    <t>CONSULTING(FOR INTERCOMPANY)</t>
  </si>
  <si>
    <t>I100090803</t>
  </si>
  <si>
    <t>MD(GOODS)</t>
  </si>
  <si>
    <t>I100090804</t>
  </si>
  <si>
    <t>OTHER SALES</t>
  </si>
  <si>
    <t>I100090805</t>
  </si>
  <si>
    <t>PUBG COMMUNITY</t>
  </si>
  <si>
    <t>I100090806</t>
  </si>
  <si>
    <t>SEOUNGSU2 322-11</t>
  </si>
  <si>
    <t>I100090809</t>
  </si>
  <si>
    <t>CHALLENGERS</t>
  </si>
  <si>
    <t>I100090811</t>
  </si>
  <si>
    <t>I100090813</t>
  </si>
  <si>
    <t>KRAFTON PRODUCER GUILD</t>
  </si>
  <si>
    <t>I100090814</t>
  </si>
  <si>
    <t>SPECIAL PROJECT LL</t>
  </si>
  <si>
    <t>I100090815</t>
  </si>
  <si>
    <t>개발공통</t>
  </si>
  <si>
    <t>I100090816</t>
  </si>
  <si>
    <t>I100090817</t>
  </si>
  <si>
    <t>PROJECT BELUGA</t>
  </si>
  <si>
    <t>I100090818</t>
  </si>
  <si>
    <t>Virtual Interactive</t>
  </si>
  <si>
    <t>I100090819</t>
  </si>
  <si>
    <t>I100090820</t>
  </si>
  <si>
    <t>I100090821</t>
  </si>
  <si>
    <t>DAERYUNG</t>
  </si>
  <si>
    <t>I100090825</t>
  </si>
  <si>
    <t>DONGHEUNG</t>
  </si>
  <si>
    <t>I100090826</t>
  </si>
  <si>
    <t>SEONGDONG</t>
  </si>
  <si>
    <t>I100090827</t>
  </si>
  <si>
    <t>DEOKSEONG</t>
  </si>
  <si>
    <t>I100090828</t>
  </si>
  <si>
    <t>ILSEUNG</t>
  </si>
  <si>
    <t>I100090829</t>
  </si>
  <si>
    <t>SAMYANG</t>
  </si>
  <si>
    <t>I100090830</t>
  </si>
  <si>
    <t>I100099998</t>
  </si>
  <si>
    <t>I100099999</t>
  </si>
  <si>
    <t>2024.04.09 TEST</t>
  </si>
  <si>
    <t>P00000000223</t>
  </si>
  <si>
    <t>P00000000224</t>
  </si>
  <si>
    <t>P00000000225</t>
  </si>
  <si>
    <t>(2022)ELYON_PC</t>
  </si>
  <si>
    <t>P00000000228</t>
  </si>
  <si>
    <t>P100010001</t>
  </si>
  <si>
    <t>ELYON_PC</t>
  </si>
  <si>
    <t>P100010002</t>
  </si>
  <si>
    <t>BLACKBIRD</t>
  </si>
  <si>
    <t>P100010003</t>
  </si>
  <si>
    <t>COWBOY_PC</t>
  </si>
  <si>
    <t>P100010007</t>
  </si>
  <si>
    <t>P100010012</t>
  </si>
  <si>
    <t>P100010013</t>
  </si>
  <si>
    <t>PROLOGUE</t>
  </si>
  <si>
    <t>P100010015</t>
  </si>
  <si>
    <t>P100010016</t>
  </si>
  <si>
    <t>MISTOVER_PC</t>
  </si>
  <si>
    <t>P100010035</t>
  </si>
  <si>
    <t>P100010048</t>
  </si>
  <si>
    <t>P100010051</t>
  </si>
  <si>
    <t>P100010055</t>
  </si>
  <si>
    <t>Project Gold Rush</t>
  </si>
  <si>
    <t>P100010064</t>
  </si>
  <si>
    <t>P100010066</t>
  </si>
  <si>
    <t>The Ascent</t>
  </si>
  <si>
    <t>P100010068</t>
  </si>
  <si>
    <t>Evilplan</t>
  </si>
  <si>
    <t>P100010069</t>
  </si>
  <si>
    <t>Dark and Darker_PC</t>
  </si>
  <si>
    <t>P100010073</t>
  </si>
  <si>
    <t>Project IMPACT</t>
  </si>
  <si>
    <t>P100010074</t>
  </si>
  <si>
    <t>Project Commander</t>
  </si>
  <si>
    <t>P100010077</t>
  </si>
  <si>
    <t>P100010091</t>
  </si>
  <si>
    <t>P100010096</t>
  </si>
  <si>
    <t>Rivals</t>
  </si>
  <si>
    <t>P100010104</t>
  </si>
  <si>
    <t>P100010105</t>
  </si>
  <si>
    <t>Hi-Fi Rush_PC</t>
  </si>
  <si>
    <t>P100010106</t>
  </si>
  <si>
    <t>P100010146</t>
  </si>
  <si>
    <t>REDACTED</t>
  </si>
  <si>
    <t>P100010840</t>
  </si>
  <si>
    <t>P100010842</t>
  </si>
  <si>
    <t>Project MementoMori</t>
  </si>
  <si>
    <t>P100010846</t>
  </si>
  <si>
    <t>P100020001</t>
  </si>
  <si>
    <t>MISTOVER_CONSOLE</t>
  </si>
  <si>
    <t>P100020035</t>
  </si>
  <si>
    <t>Black Budget_Console</t>
  </si>
  <si>
    <t>P100020048</t>
  </si>
  <si>
    <t>P100020081</t>
  </si>
  <si>
    <t>The Dark Crystal</t>
  </si>
  <si>
    <t>P100020088</t>
  </si>
  <si>
    <t>Dinkum_Console</t>
  </si>
  <si>
    <t>P100020105</t>
  </si>
  <si>
    <t>P100030012</t>
  </si>
  <si>
    <t>P100030014</t>
  </si>
  <si>
    <t>MINILIFE</t>
  </si>
  <si>
    <t>P100030020</t>
  </si>
  <si>
    <t>HEROSKY</t>
  </si>
  <si>
    <t>P100030021</t>
  </si>
  <si>
    <t>DRAGON FRIENDS</t>
  </si>
  <si>
    <t>P100030022</t>
  </si>
  <si>
    <t>TAP TAP PLAZA</t>
  </si>
  <si>
    <t>P100030023</t>
  </si>
  <si>
    <t>ROAD TO VALOR</t>
  </si>
  <si>
    <t>P100030037</t>
  </si>
  <si>
    <t>P100030042</t>
  </si>
  <si>
    <t>Black Budget_Mobile</t>
  </si>
  <si>
    <t>P100030048</t>
  </si>
  <si>
    <t>BGMI</t>
  </si>
  <si>
    <t>P100030054</t>
  </si>
  <si>
    <t>P100030073</t>
  </si>
  <si>
    <t>Project EL</t>
  </si>
  <si>
    <t>P100030086</t>
  </si>
  <si>
    <t>Project DB</t>
  </si>
  <si>
    <t>P100030087</t>
  </si>
  <si>
    <t>P100030092</t>
  </si>
  <si>
    <t>Endurance_mobile</t>
  </si>
  <si>
    <t>P100030093</t>
  </si>
  <si>
    <t>Dinkum Together</t>
  </si>
  <si>
    <t>P100030094</t>
  </si>
  <si>
    <t>P100030099</t>
  </si>
  <si>
    <t>KIZNA</t>
  </si>
  <si>
    <t>P100030102</t>
  </si>
  <si>
    <t>P100030103</t>
  </si>
  <si>
    <t>P100030105</t>
  </si>
  <si>
    <t>Project Aegis</t>
  </si>
  <si>
    <t>P100030136</t>
  </si>
  <si>
    <t>Project PX</t>
  </si>
  <si>
    <t>P100030147</t>
  </si>
  <si>
    <t>P100030805</t>
  </si>
  <si>
    <t>P100030846</t>
  </si>
  <si>
    <t>Garuda Saga</t>
  </si>
  <si>
    <t>P100030849</t>
  </si>
  <si>
    <t>ARCHERY KING</t>
  </si>
  <si>
    <t>P100030850</t>
  </si>
  <si>
    <t>P100030851</t>
  </si>
  <si>
    <t>BATTLEGROUNDS_STADIA</t>
  </si>
  <si>
    <t>P100040012</t>
  </si>
  <si>
    <t>TERA CLASSIC</t>
  </si>
  <si>
    <t>P100050005</t>
  </si>
  <si>
    <t>TERA ENDLESS WAR</t>
  </si>
  <si>
    <t>P100050006</t>
  </si>
  <si>
    <t>BATTLEGROUNDS-GL</t>
  </si>
  <si>
    <t>P100050017</t>
  </si>
  <si>
    <t>BATTLEGROUNDS-CN</t>
  </si>
  <si>
    <t>P100050018</t>
  </si>
  <si>
    <t>TERA_PC(LF)</t>
  </si>
  <si>
    <t>P100060001</t>
  </si>
  <si>
    <t>BATTLEGROUNDS-CN(LF)</t>
  </si>
  <si>
    <t>P100060018</t>
  </si>
  <si>
    <t>BATTLEGROUNDS_BRENDAN</t>
  </si>
  <si>
    <t>P100090012</t>
  </si>
  <si>
    <t>pubg:new state</t>
  </si>
  <si>
    <t>P100090015</t>
  </si>
  <si>
    <t>BONUS XP</t>
  </si>
  <si>
    <t>P100090019</t>
  </si>
  <si>
    <t>Hi-Fi Rush_Console</t>
  </si>
  <si>
    <t>P100090106</t>
  </si>
  <si>
    <t>Tarasona: Battleroyale</t>
  </si>
  <si>
    <t>P100090107</t>
  </si>
  <si>
    <t>BUTTERFLY</t>
  </si>
  <si>
    <t>P100090135</t>
  </si>
  <si>
    <t>PROJECT NUT</t>
  </si>
  <si>
    <t>P100090143</t>
  </si>
  <si>
    <t>P100130012</t>
  </si>
  <si>
    <t>[N/A] Cookie Run India</t>
  </si>
  <si>
    <t>P100130099</t>
  </si>
  <si>
    <t>P100130108</t>
  </si>
  <si>
    <t>P100130112</t>
  </si>
  <si>
    <t>Real Cricket 24</t>
  </si>
  <si>
    <t>P100130138</t>
  </si>
  <si>
    <t>P100130145</t>
  </si>
  <si>
    <t>I110090802</t>
  </si>
  <si>
    <t>I110090803</t>
  </si>
  <si>
    <t>I110099999</t>
  </si>
  <si>
    <t>P110010001</t>
  </si>
  <si>
    <t>P110010002</t>
  </si>
  <si>
    <t>P110010003</t>
  </si>
  <si>
    <t>TERA2</t>
  </si>
  <si>
    <t>P110010137</t>
  </si>
  <si>
    <t>P110020001</t>
  </si>
  <si>
    <t>PROJECT WHALE</t>
  </si>
  <si>
    <t>P110030039</t>
  </si>
  <si>
    <t>P110030073</t>
  </si>
  <si>
    <t>P110090055</t>
  </si>
  <si>
    <t>Project Plus</t>
  </si>
  <si>
    <t>P110090057</t>
  </si>
  <si>
    <t>Project TT</t>
  </si>
  <si>
    <t>P110090058</t>
  </si>
  <si>
    <t xml:space="preserve"> I100090831</t>
  </si>
  <si>
    <t>AI Tools</t>
  </si>
  <si>
    <t>I100090832</t>
  </si>
  <si>
    <t>P100130183</t>
    <phoneticPr fontId="2" type="noConversion"/>
  </si>
  <si>
    <t>Apr 2027(KRW)</t>
    <phoneticPr fontId="2" type="noConversion"/>
  </si>
  <si>
    <t>Apr 2026 (USD or KRW)</t>
    <phoneticPr fontId="2" type="noConversion"/>
  </si>
  <si>
    <t>aws-it-pet@krafton.com(814808959388)</t>
  </si>
  <si>
    <t>aws-ignt-chess-prod@krafton.com(816602642653)</t>
  </si>
  <si>
    <t>aws-ignt-chess-qa@krafton.com(152334825111)</t>
  </si>
  <si>
    <t>krafton-aif@krafton.com(291483629140)</t>
  </si>
  <si>
    <t>aws-inzoi-liveops-project@krafton.com(572945836825)</t>
  </si>
  <si>
    <t>aws-fwg-marketing@krafton.com(306915831554)</t>
  </si>
  <si>
    <t>aws-nautilus@krafton.com(128974585216)</t>
  </si>
  <si>
    <t>aws-creative-vectorsearch-dev@krafton.com(464190674412)</t>
  </si>
  <si>
    <t>aws-Chandan-Po-the-Panda@krafton.com(772032166778)</t>
  </si>
  <si>
    <t>aws-ludo@ludorobotics.ai(010740230797)</t>
  </si>
  <si>
    <t>aws-pubg-twhkmo@krafton.com(972293796649)</t>
  </si>
  <si>
    <t>aws-pubg-palm-prod-01@krafton.com(385800115827)</t>
  </si>
  <si>
    <t>aws-kose-hub@krafton.com(057817980155)</t>
  </si>
  <si>
    <t>aws-cursor@krafton.com(6123093861)</t>
  </si>
  <si>
    <t>aws-jhk@krafton.com(711266489158)</t>
  </si>
  <si>
    <t>aws-datadog@krafton.com(519330024214)</t>
  </si>
  <si>
    <t>aws-zhangjiaming-ai@krafton.com(481595299484)</t>
  </si>
  <si>
    <t>KRAFTON China</t>
    <phoneticPr fontId="2" type="noConversion"/>
  </si>
  <si>
    <t>https://ask.krafton.com/browse/ASKIT-46086</t>
    <phoneticPr fontId="2" type="noConversion"/>
  </si>
  <si>
    <t>IT Platform Engineering Team</t>
    <phoneticPr fontId="2" type="noConversion"/>
  </si>
  <si>
    <t>박재완</t>
    <phoneticPr fontId="2" type="noConversion"/>
  </si>
  <si>
    <t>https://ask.krafton.com/browse/ASKIT-46062</t>
    <phoneticPr fontId="2" type="noConversion"/>
  </si>
  <si>
    <t>ig</t>
    <phoneticPr fontId="2" type="noConversion"/>
  </si>
  <si>
    <t>https://ask.krafton.com/browse/ASKIT-46136</t>
    <phoneticPr fontId="2" type="noConversion"/>
  </si>
  <si>
    <t>강하라</t>
    <phoneticPr fontId="2" type="noConversion"/>
  </si>
  <si>
    <t>https://ask.krafton.com/browse/ASKIT-46218</t>
    <phoneticPr fontId="2" type="noConversion"/>
  </si>
  <si>
    <t>이지수</t>
    <phoneticPr fontId="2" type="noConversion"/>
  </si>
  <si>
    <t xml:space="preserve">Krafton K-ON </t>
    <phoneticPr fontId="2" type="noConversion"/>
  </si>
  <si>
    <t>당흔덕</t>
    <phoneticPr fontId="2" type="noConversion"/>
  </si>
  <si>
    <t>Real Cricket</t>
    <phoneticPr fontId="2" type="noConversion"/>
  </si>
  <si>
    <t>임세원</t>
    <phoneticPr fontId="2" type="noConversion"/>
  </si>
  <si>
    <t>Live Creative Part 2</t>
    <phoneticPr fontId="2" type="noConversion"/>
  </si>
  <si>
    <t>Chandan Jagadeesha</t>
    <phoneticPr fontId="2" type="noConversion"/>
  </si>
  <si>
    <t>권영현</t>
    <phoneticPr fontId="2" type="noConversion"/>
  </si>
  <si>
    <t>Ludo Global Operations Div.</t>
    <phoneticPr fontId="2" type="noConversion"/>
  </si>
  <si>
    <t>PUBG TW Part</t>
    <phoneticPr fontId="2" type="noConversion"/>
  </si>
  <si>
    <t>이륜형</t>
    <phoneticPr fontId="2" type="noConversion"/>
  </si>
  <si>
    <t>Venture Investments &amp; Talent Sourcing Dept.</t>
    <phoneticPr fontId="2" type="noConversion"/>
  </si>
  <si>
    <t>김지훈</t>
    <phoneticPr fontId="2" type="noConversion"/>
  </si>
  <si>
    <t>Jia Ming Zhang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</si>
</sst>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24" formatCode="\$#,##0_);[Red]\(\$#,##0\)"/>
    <numFmt numFmtId="26" formatCode="\$#,##0.00_);[Red]\(\$#,##0.00\)"/>
    <numFmt numFmtId="176" formatCode="_-* #,##0_-;\-* #,##0_-;_-* &quot;-&quot;_-;_-@_-"/>
    <numFmt numFmtId="177" formatCode="_-* #,##0.00_-;\-* #,##0.00_-;_-* &quot;-&quot;??_-;_-@_-"/>
    <numFmt numFmtId="178" formatCode="_-* #,##0.00_-;\-* #,##0.00_-;_-* &quot;-&quot;_-;_-@_-"/>
    <numFmt numFmtId="179" formatCode="[Red]\△#,##0;[Blue]\▽#,##0"/>
    <numFmt numFmtId="180" formatCode="[Red]\△#,##0.0%;[Blue]\▽#,##0.0%"/>
    <numFmt numFmtId="181" formatCode="_-* #,##0.000000_-;\-* #,##0.000000_-;_-* &quot;-&quot;_-;_-@_-"/>
    <numFmt numFmtId="182" formatCode="0.000%"/>
    <numFmt numFmtId="183" formatCode="\$#,##0.00;[Red]\$#,##0.00"/>
    <numFmt numFmtId="184" formatCode="000\-000"/>
    <numFmt numFmtId="185" formatCode="_([$$-409]* #,##0.00_);_([$$-409]* \(#,##0.00\);_([$$-409]* &quot;-&quot;??_);_(@_)"/>
    <numFmt numFmtId="186" formatCode="_-[$₩-412]* #,##0_-;\-[$₩-412]* #,##0_-;_-[$₩-412]* &quot;-&quot;??_-;_-@_-"/>
  </numFmts>
  <fonts count="66">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u/>
      <sz val="11"/>
      <color theme="10"/>
      <name val="맑은 고딕"/>
      <family val="2"/>
      <charset val="129"/>
      <scheme val="minor"/>
    </font>
    <font>
      <sz val="10"/>
      <name val="맑은 고딕"/>
      <family val="2"/>
      <charset val="129"/>
      <scheme val="minor"/>
    </font>
    <font>
      <sz val="10"/>
      <color rgb="FF0000CC"/>
      <name val="맑은 고딕"/>
      <family val="3"/>
      <charset val="129"/>
      <scheme val="minor"/>
    </font>
    <font>
      <sz val="10"/>
      <name val="맑은 고딕"/>
      <family val="3"/>
      <charset val="129"/>
      <scheme val="minor"/>
    </font>
    <font>
      <sz val="11"/>
      <color rgb="FF000000"/>
      <name val="맑은 고딕"/>
      <family val="3"/>
      <charset val="129"/>
    </font>
    <font>
      <sz val="10"/>
      <name val="Arial"/>
      <family val="2"/>
    </font>
    <font>
      <sz val="10"/>
      <name val="Arial"/>
      <family val="2"/>
    </font>
    <font>
      <sz val="10"/>
      <color rgb="FFFF0000"/>
      <name val="맑은 고딕"/>
      <family val="2"/>
      <charset val="129"/>
      <scheme val="minor"/>
    </font>
    <font>
      <b/>
      <sz val="11"/>
      <color theme="1"/>
      <name val="맑은 고딕"/>
      <family val="2"/>
      <scheme val="minor"/>
    </font>
    <font>
      <sz val="11"/>
      <color theme="1"/>
      <name val="맑은 고딕"/>
      <family val="2"/>
      <scheme val="minor"/>
    </font>
    <font>
      <b/>
      <sz val="14"/>
      <color rgb="FF1509FF"/>
      <name val="맑은 고딕"/>
      <family val="2"/>
      <scheme val="minor"/>
    </font>
    <font>
      <sz val="10"/>
      <name val="맑은 고딕"/>
      <family val="2"/>
      <scheme val="minor"/>
    </font>
    <font>
      <sz val="10"/>
      <color theme="1"/>
      <name val="맑은 고딕"/>
      <family val="2"/>
      <scheme val="minor"/>
    </font>
    <font>
      <sz val="10"/>
      <color rgb="FF1D1C1D"/>
      <name val="Slack-Lato"/>
      <family val="3"/>
      <charset val="129"/>
    </font>
    <font>
      <sz val="10"/>
      <color rgb="FF444444"/>
      <name val="Calibri"/>
      <family val="2"/>
      <charset val="1"/>
    </font>
    <font>
      <b/>
      <sz val="11"/>
      <color theme="1"/>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0"/>
      <color rgb="FFFF0000"/>
      <name val="맑은 고딕"/>
      <family val="3"/>
      <charset val="129"/>
      <scheme val="minor"/>
    </font>
    <font>
      <sz val="10"/>
      <color rgb="FFFF0000"/>
      <name val="맑은 고딕"/>
      <family val="2"/>
      <scheme val="minor"/>
    </font>
    <font>
      <strike/>
      <sz val="10"/>
      <color theme="1"/>
      <name val="맑은 고딕"/>
      <family val="2"/>
      <scheme val="minor"/>
    </font>
    <font>
      <sz val="9"/>
      <color theme="1"/>
      <name val="맑은 고딕"/>
      <family val="2"/>
      <charset val="129"/>
      <scheme val="minor"/>
    </font>
    <font>
      <sz val="10"/>
      <color rgb="FF1D1C1D"/>
      <name val="Slack-Lato"/>
      <family val="3"/>
    </font>
    <font>
      <b/>
      <sz val="10"/>
      <color theme="1"/>
      <name val="맑은 고딕"/>
      <family val="3"/>
      <charset val="129"/>
      <scheme val="minor"/>
    </font>
    <font>
      <sz val="10"/>
      <color theme="1"/>
      <name val="맑은 고딕"/>
      <family val="3"/>
      <charset val="129"/>
      <scheme val="minor"/>
    </font>
    <font>
      <sz val="8"/>
      <color theme="1"/>
      <name val="맑은 고딕"/>
      <family val="2"/>
      <charset val="129"/>
      <scheme val="minor"/>
    </font>
    <font>
      <b/>
      <sz val="10"/>
      <name val="Arial"/>
      <family val="2"/>
    </font>
    <font>
      <sz val="12"/>
      <color rgb="FF000000"/>
      <name val="맑은 고딕"/>
      <family val="3"/>
      <charset val="129"/>
    </font>
    <font>
      <sz val="12"/>
      <color rgb="FF000000"/>
      <name val="맑은 고딕"/>
      <family val="3"/>
      <charset val="129"/>
      <scheme val="minor"/>
    </font>
    <font>
      <sz val="9"/>
      <color rgb="FF000000"/>
      <name val="맑은 고딕"/>
      <family val="3"/>
      <charset val="129"/>
      <scheme val="minor"/>
    </font>
    <font>
      <b/>
      <sz val="9"/>
      <color rgb="FF000000"/>
      <name val="맑은 고딕"/>
      <family val="3"/>
      <charset val="129"/>
      <scheme val="minor"/>
    </font>
    <font>
      <sz val="9"/>
      <color rgb="FF000000"/>
      <name val="Calibri"/>
      <family val="2"/>
    </font>
    <font>
      <sz val="11"/>
      <name val="맑은 고딕"/>
      <family val="3"/>
      <charset val="129"/>
      <scheme val="minor"/>
    </font>
    <font>
      <sz val="11"/>
      <color rgb="FF172B4D"/>
      <name val="Atlassian Sans"/>
      <family val="3"/>
      <charset val="129"/>
    </font>
    <font>
      <b/>
      <sz val="11"/>
      <color rgb="FF1509FF"/>
      <name val="맑은 고딕"/>
      <family val="3"/>
      <charset val="129"/>
      <scheme val="minor"/>
    </font>
    <font>
      <sz val="11"/>
      <color rgb="FF000000"/>
      <name val="맑은 고딕"/>
      <family val="3"/>
      <charset val="129"/>
      <scheme val="minor"/>
    </font>
    <font>
      <strike/>
      <sz val="11"/>
      <color theme="1"/>
      <name val="맑은 고딕"/>
      <family val="3"/>
      <charset val="129"/>
      <scheme val="minor"/>
    </font>
    <font>
      <sz val="9"/>
      <name val="맑은 고딕"/>
      <family val="3"/>
      <charset val="129"/>
      <scheme val="minor"/>
    </font>
    <font>
      <b/>
      <sz val="10"/>
      <name val="맑은 고딕"/>
      <family val="3"/>
      <charset val="129"/>
      <scheme val="minor"/>
    </font>
    <font>
      <sz val="10"/>
      <color rgb="FF000000"/>
      <name val="맑은 고딕"/>
      <family val="3"/>
      <charset val="129"/>
    </font>
    <font>
      <sz val="9"/>
      <color theme="1"/>
      <name val="맑은 고딕"/>
      <family val="3"/>
      <charset val="129"/>
      <scheme val="minor"/>
    </font>
    <font>
      <sz val="10"/>
      <color theme="1"/>
      <name val="Malgun Gothic Semilight"/>
      <family val="3"/>
    </font>
    <font>
      <sz val="11"/>
      <color rgb="FF292A2E"/>
      <name val="Helvetica Neue"/>
      <family val="2"/>
    </font>
    <font>
      <u/>
      <sz val="11"/>
      <color theme="10"/>
      <name val="맑은 고딕"/>
      <family val="3"/>
      <charset val="129"/>
      <scheme val="minor"/>
    </font>
    <font>
      <strike/>
      <sz val="9"/>
      <color rgb="FF000000"/>
      <name val="맑은 고딕"/>
      <family val="2"/>
      <scheme val="minor"/>
    </font>
    <font>
      <sz val="11"/>
      <color rgb="FF000000"/>
      <name val="맑은 고딕"/>
      <family val="2"/>
      <charset val="129"/>
      <scheme val="minor"/>
    </font>
    <font>
      <b/>
      <sz val="10"/>
      <color rgb="FF1509FF"/>
      <name val="맑은 고딕 (본문)"/>
      <family val="3"/>
      <charset val="129"/>
    </font>
    <font>
      <sz val="10"/>
      <color theme="1"/>
      <name val="맑은 고딕 (본문)"/>
      <family val="3"/>
      <charset val="129"/>
    </font>
    <font>
      <sz val="10"/>
      <name val="맑은 고딕 (본문)"/>
      <family val="3"/>
      <charset val="129"/>
    </font>
    <font>
      <b/>
      <sz val="10"/>
      <name val="맑은 고딕 (본문)"/>
      <family val="3"/>
      <charset val="129"/>
    </font>
    <font>
      <sz val="10"/>
      <color rgb="FF000000"/>
      <name val="맑은 고딕 (본문)"/>
      <family val="3"/>
      <charset val="129"/>
    </font>
    <font>
      <sz val="10"/>
      <color theme="1"/>
      <name val="맑은 고딕 (본문)"/>
      <family val="3"/>
    </font>
    <font>
      <sz val="10"/>
      <color rgb="FF292A2E"/>
      <name val="Helvetica Neue"/>
      <family val="2"/>
    </font>
    <font>
      <b/>
      <sz val="10"/>
      <name val="맑은 고딕"/>
      <family val="3"/>
      <charset val="129"/>
    </font>
    <font>
      <sz val="10.5"/>
      <color rgb="FF343334"/>
      <name val="Andale WT"/>
      <family val="2"/>
    </font>
    <font>
      <b/>
      <sz val="10"/>
      <name val="맑은 고딕"/>
      <family val="3"/>
    </font>
    <font>
      <sz val="9"/>
      <color rgb="FF000000"/>
      <name val="맑은 고딕"/>
      <family val="2"/>
      <scheme val="minor"/>
    </font>
    <font>
      <sz val="10"/>
      <color theme="1"/>
      <name val="맑은 고딕"/>
      <family val="3"/>
    </font>
    <font>
      <sz val="10"/>
      <name val="맑은 고딕 (본문)"/>
      <family val="3"/>
    </font>
    <font>
      <b/>
      <sz val="11"/>
      <color rgb="FF131E29"/>
      <name val="72"/>
      <family val="2"/>
    </font>
    <font>
      <sz val="10"/>
      <color theme="1"/>
      <name val="Malgun Gothic Semilight"/>
      <family val="2"/>
      <charset val="129"/>
    </font>
    <font>
      <b/>
      <sz val="10"/>
      <name val="맑은 고딕"/>
      <family val="2"/>
      <scheme val="minor"/>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rgb="FFEAEAEA"/>
      </patternFill>
    </fill>
  </fills>
  <borders count="38">
    <border>
      <left/>
      <right/>
      <top/>
      <bottom/>
      <diagonal/>
    </border>
    <border>
      <left/>
      <right/>
      <top style="hair">
        <color auto="1"/>
      </top>
      <bottom style="hair">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ashed">
        <color indexed="64"/>
      </left>
      <right style="dashed">
        <color indexed="64"/>
      </right>
      <top style="dotted">
        <color rgb="FF000000"/>
      </top>
      <bottom style="dotted">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style="thin">
        <color indexed="64"/>
      </right>
      <top/>
      <bottom/>
      <diagonal/>
    </border>
    <border>
      <left style="thin">
        <color rgb="FF000000"/>
      </left>
      <right/>
      <top style="thin">
        <color rgb="FF000000"/>
      </top>
      <bottom/>
      <diagonal/>
    </border>
    <border>
      <left style="thin">
        <color rgb="FF9BC2E6"/>
      </left>
      <right/>
      <top style="thin">
        <color rgb="FF9BC2E6"/>
      </top>
      <bottom style="thin">
        <color rgb="FF9BC2E6"/>
      </bottom>
      <diagonal/>
    </border>
    <border>
      <left/>
      <right style="medium">
        <color rgb="FFC0BFC0"/>
      </right>
      <top/>
      <bottom style="medium">
        <color rgb="FFC0BFC0"/>
      </bottom>
      <diagonal/>
    </border>
    <border>
      <left style="medium">
        <color rgb="FFC0BFC0"/>
      </left>
      <right/>
      <top/>
      <bottom style="medium">
        <color rgb="FFC0BFC0"/>
      </bottom>
      <diagonal/>
    </border>
    <border>
      <left/>
      <right style="medium">
        <color rgb="FFC0BFC0"/>
      </right>
      <top/>
      <bottom/>
      <diagonal/>
    </border>
    <border>
      <left style="medium">
        <color rgb="FFC0BFC0"/>
      </left>
      <right/>
      <top/>
      <bottom/>
      <diagonal/>
    </border>
    <border>
      <left/>
      <right/>
      <top style="thin">
        <color theme="4" tint="0.39997558519241921"/>
      </top>
      <bottom style="thin">
        <color theme="4" tint="0.39997558519241921"/>
      </bottom>
      <diagonal/>
    </border>
    <border>
      <left/>
      <right/>
      <top style="thin">
        <color auto="1"/>
      </top>
      <bottom/>
      <diagonal/>
    </border>
    <border>
      <left/>
      <right/>
      <top style="thin">
        <color theme="4" tint="0.39997558519241921"/>
      </top>
      <bottom/>
      <diagonal/>
    </border>
    <border>
      <left/>
      <right/>
      <top style="hair">
        <color auto="1"/>
      </top>
      <bottom/>
      <diagonal/>
    </border>
    <border>
      <left style="thin">
        <color indexed="64"/>
      </left>
      <right/>
      <top style="thin">
        <color theme="4" tint="0.39997558519241921"/>
      </top>
      <bottom/>
      <diagonal/>
    </border>
    <border>
      <left/>
      <right style="thin">
        <color theme="4" tint="0.39997558519241921"/>
      </right>
      <top style="hair">
        <color auto="1"/>
      </top>
      <bottom style="thin">
        <color theme="4" tint="0.39997558519241921"/>
      </bottom>
      <diagonal/>
    </border>
    <border>
      <left style="thin">
        <color theme="4" tint="0.39997558519241921"/>
      </left>
      <right/>
      <top style="thin">
        <color theme="4" tint="0.39997558519241921"/>
      </top>
      <bottom/>
      <diagonal/>
    </border>
    <border>
      <left/>
      <right/>
      <top style="hair">
        <color auto="1"/>
      </top>
      <bottom style="thin">
        <color theme="4" tint="0.39997558519241921"/>
      </bottom>
      <diagonal/>
    </border>
    <border>
      <left style="medium">
        <color rgb="FFC0BFC0"/>
      </left>
      <right style="medium">
        <color rgb="FFC0BFC0"/>
      </right>
      <top style="thin">
        <color theme="4" tint="0.39997558519241921"/>
      </top>
      <bottom style="thin">
        <color theme="4" tint="0.39997558519241921"/>
      </bottom>
      <diagonal/>
    </border>
  </borders>
  <cellStyleXfs count="15">
    <xf numFmtId="0" fontId="0" fillId="0" borderId="0">
      <alignment vertical="center"/>
    </xf>
    <xf numFmtId="176" fontId="1" fillId="0" borderId="0" applyFont="0" applyFill="0" applyBorder="0" applyAlignment="0" applyProtection="0">
      <alignment vertical="center"/>
    </xf>
    <xf numFmtId="0" fontId="8" fillId="0" borderId="0">
      <alignment vertical="center"/>
    </xf>
    <xf numFmtId="176" fontId="8" fillId="0" borderId="0" applyFont="0" applyFill="0" applyBorder="0" applyAlignment="0" applyProtection="0">
      <alignment vertical="center"/>
    </xf>
    <xf numFmtId="0" fontId="1" fillId="0" borderId="0">
      <alignment vertical="center"/>
    </xf>
    <xf numFmtId="0" fontId="1" fillId="0" borderId="0">
      <alignment vertical="center"/>
    </xf>
    <xf numFmtId="9" fontId="8" fillId="0" borderId="0" applyFont="0" applyFill="0" applyBorder="0" applyAlignment="0" applyProtection="0">
      <alignment vertical="center"/>
    </xf>
    <xf numFmtId="0" fontId="9" fillId="0" borderId="0"/>
    <xf numFmtId="0" fontId="10" fillId="0" borderId="0"/>
    <xf numFmtId="0" fontId="8" fillId="0" borderId="0">
      <alignment vertical="center"/>
    </xf>
    <xf numFmtId="9" fontId="1" fillId="0" borderId="0" applyFont="0" applyFill="0" applyBorder="0" applyAlignment="0" applyProtection="0">
      <alignment vertical="center"/>
    </xf>
    <xf numFmtId="176" fontId="1" fillId="0" borderId="0" applyFont="0" applyFill="0" applyBorder="0" applyAlignment="0" applyProtection="0">
      <alignment vertical="center"/>
    </xf>
    <xf numFmtId="176" fontId="8" fillId="0" borderId="0" applyFont="0" applyFill="0" applyBorder="0" applyAlignment="0" applyProtection="0">
      <alignment vertical="center"/>
    </xf>
    <xf numFmtId="0" fontId="9" fillId="0" borderId="0"/>
    <xf numFmtId="0" fontId="4" fillId="0" borderId="0" applyNumberFormat="0" applyFill="0" applyBorder="0" applyAlignment="0" applyProtection="0">
      <alignment vertical="center"/>
    </xf>
  </cellStyleXfs>
  <cellXfs count="270">
    <xf numFmtId="0" fontId="0" fillId="0" borderId="0" xfId="0">
      <alignment vertical="center"/>
    </xf>
    <xf numFmtId="176" fontId="3" fillId="0" borderId="9" xfId="1" applyFont="1" applyBorder="1" applyAlignment="1">
      <alignment horizontal="center" vertical="center"/>
    </xf>
    <xf numFmtId="176" fontId="0" fillId="0" borderId="0" xfId="1" applyFont="1">
      <alignment vertical="center"/>
    </xf>
    <xf numFmtId="0" fontId="13" fillId="0" borderId="0" xfId="0" applyFont="1">
      <alignment vertical="center"/>
    </xf>
    <xf numFmtId="0" fontId="13" fillId="0" borderId="0" xfId="0" applyFont="1" applyAlignment="1"/>
    <xf numFmtId="0" fontId="12" fillId="3" borderId="0" xfId="0" applyFont="1" applyFill="1" applyAlignment="1">
      <alignment horizontal="center" vertical="center"/>
    </xf>
    <xf numFmtId="0" fontId="14" fillId="0" borderId="0" xfId="0" applyFont="1">
      <alignment vertical="center"/>
    </xf>
    <xf numFmtId="0" fontId="16" fillId="0" borderId="0" xfId="0" applyFont="1">
      <alignment vertical="center"/>
    </xf>
    <xf numFmtId="0" fontId="3" fillId="0" borderId="0" xfId="0" applyFont="1">
      <alignment vertical="center"/>
    </xf>
    <xf numFmtId="0" fontId="3" fillId="0" borderId="0" xfId="0" applyFont="1" applyAlignment="1"/>
    <xf numFmtId="176" fontId="3" fillId="0" borderId="0" xfId="1" applyFont="1">
      <alignment vertical="center"/>
    </xf>
    <xf numFmtId="0" fontId="16" fillId="0" borderId="0" xfId="0" applyFont="1" applyAlignment="1"/>
    <xf numFmtId="176" fontId="3" fillId="4" borderId="2" xfId="1" applyFont="1" applyFill="1" applyBorder="1" applyAlignment="1">
      <alignment horizontal="center" vertical="center"/>
    </xf>
    <xf numFmtId="176" fontId="0" fillId="0" borderId="0" xfId="0" applyNumberFormat="1">
      <alignment vertical="center"/>
    </xf>
    <xf numFmtId="176" fontId="3" fillId="4" borderId="4" xfId="1" applyFont="1" applyFill="1" applyBorder="1" applyAlignment="1">
      <alignment horizontal="center" vertical="center"/>
    </xf>
    <xf numFmtId="176" fontId="3" fillId="0" borderId="2" xfId="1" applyFont="1" applyFill="1" applyBorder="1">
      <alignment vertical="center"/>
    </xf>
    <xf numFmtId="181" fontId="3" fillId="0" borderId="0" xfId="1" applyNumberFormat="1" applyFont="1">
      <alignment vertical="center"/>
    </xf>
    <xf numFmtId="178" fontId="3" fillId="0" borderId="2" xfId="1" applyNumberFormat="1" applyFont="1" applyFill="1" applyBorder="1">
      <alignment vertical="center"/>
    </xf>
    <xf numFmtId="176" fontId="3" fillId="0" borderId="0" xfId="1" applyFont="1" applyFill="1">
      <alignment vertical="center"/>
    </xf>
    <xf numFmtId="178" fontId="3" fillId="0" borderId="0" xfId="1" applyNumberFormat="1" applyFont="1">
      <alignment vertical="center"/>
    </xf>
    <xf numFmtId="176" fontId="3" fillId="4" borderId="4" xfId="1" applyFont="1" applyFill="1" applyBorder="1" applyAlignment="1">
      <alignment horizontal="center"/>
    </xf>
    <xf numFmtId="176" fontId="3" fillId="0" borderId="0" xfId="1" applyFont="1" applyFill="1" applyAlignment="1">
      <alignment horizontal="center"/>
    </xf>
    <xf numFmtId="176" fontId="3" fillId="0" borderId="0" xfId="1" applyFont="1" applyAlignment="1">
      <alignment horizontal="center"/>
    </xf>
    <xf numFmtId="0" fontId="0" fillId="0" borderId="0" xfId="0" applyAlignment="1">
      <alignment horizontal="center"/>
    </xf>
    <xf numFmtId="176" fontId="0" fillId="0" borderId="0" xfId="0" applyNumberFormat="1" applyAlignment="1">
      <alignment horizontal="center"/>
    </xf>
    <xf numFmtId="176" fontId="14" fillId="0" borderId="0" xfId="1" applyFont="1">
      <alignment vertical="center"/>
    </xf>
    <xf numFmtId="176" fontId="0" fillId="0" borderId="0" xfId="0" applyNumberFormat="1" applyAlignment="1">
      <alignment horizontal="left" vertical="center"/>
    </xf>
    <xf numFmtId="176" fontId="0" fillId="0" borderId="0" xfId="1" applyFont="1" applyAlignment="1">
      <alignment horizontal="right" vertical="center"/>
    </xf>
    <xf numFmtId="176" fontId="20" fillId="0" borderId="0" xfId="1" applyFont="1">
      <alignment vertical="center"/>
    </xf>
    <xf numFmtId="176" fontId="19" fillId="0" borderId="0" xfId="1" applyFont="1">
      <alignment vertical="center"/>
    </xf>
    <xf numFmtId="176" fontId="11" fillId="0" borderId="2" xfId="1" applyFont="1" applyFill="1" applyBorder="1">
      <alignment vertical="center"/>
    </xf>
    <xf numFmtId="176" fontId="3" fillId="0" borderId="3" xfId="1" applyFont="1" applyFill="1" applyBorder="1">
      <alignment vertical="center"/>
    </xf>
    <xf numFmtId="176" fontId="3" fillId="0" borderId="5" xfId="1" applyFont="1" applyFill="1" applyBorder="1">
      <alignment vertical="center"/>
    </xf>
    <xf numFmtId="0" fontId="3" fillId="5" borderId="0" xfId="0" applyFont="1" applyFill="1">
      <alignment vertical="center"/>
    </xf>
    <xf numFmtId="176" fontId="11" fillId="0" borderId="0" xfId="1" applyFont="1" applyFill="1">
      <alignment vertical="center"/>
    </xf>
    <xf numFmtId="176" fontId="3" fillId="0" borderId="6" xfId="1" applyFont="1" applyFill="1" applyBorder="1">
      <alignment vertical="center"/>
    </xf>
    <xf numFmtId="176" fontId="3" fillId="0" borderId="5" xfId="1" applyFont="1" applyFill="1" applyBorder="1" applyAlignment="1">
      <alignment horizontal="center" vertical="center"/>
    </xf>
    <xf numFmtId="176" fontId="21" fillId="0" borderId="0" xfId="1" applyFont="1">
      <alignment vertical="center"/>
    </xf>
    <xf numFmtId="178" fontId="3" fillId="0" borderId="0" xfId="1" applyNumberFormat="1" applyFont="1" applyFill="1">
      <alignment vertical="center"/>
    </xf>
    <xf numFmtId="176" fontId="0" fillId="0" borderId="0" xfId="1" applyFont="1" applyAlignment="1">
      <alignment horizontal="center"/>
    </xf>
    <xf numFmtId="180" fontId="6" fillId="0" borderId="1" xfId="1" applyNumberFormat="1" applyFont="1" applyFill="1" applyBorder="1" applyAlignment="1" applyProtection="1">
      <alignment horizontal="right" vertical="center"/>
    </xf>
    <xf numFmtId="0" fontId="5" fillId="0" borderId="0" xfId="0" applyFont="1">
      <alignment vertical="center"/>
    </xf>
    <xf numFmtId="176" fontId="3" fillId="2" borderId="0" xfId="1" applyFont="1" applyFill="1">
      <alignment vertical="center"/>
    </xf>
    <xf numFmtId="176" fontId="0" fillId="0" borderId="0" xfId="1" applyFont="1" applyAlignment="1">
      <alignment horizontal="center" vertical="center"/>
    </xf>
    <xf numFmtId="24" fontId="3" fillId="0" borderId="0" xfId="1" applyNumberFormat="1" applyFont="1" applyFill="1">
      <alignment vertical="center"/>
    </xf>
    <xf numFmtId="26" fontId="3" fillId="0" borderId="0" xfId="1" applyNumberFormat="1" applyFont="1" applyFill="1">
      <alignment vertical="center"/>
    </xf>
    <xf numFmtId="176" fontId="27" fillId="0" borderId="0" xfId="1" applyFont="1" applyFill="1">
      <alignment vertical="center"/>
    </xf>
    <xf numFmtId="26" fontId="27" fillId="0" borderId="0" xfId="1" applyNumberFormat="1" applyFont="1" applyFill="1">
      <alignment vertical="center"/>
    </xf>
    <xf numFmtId="176" fontId="30" fillId="0" borderId="0" xfId="1" applyFont="1" applyAlignment="1"/>
    <xf numFmtId="176" fontId="3" fillId="0" borderId="5" xfId="1" quotePrefix="1" applyFont="1" applyFill="1" applyBorder="1" applyAlignment="1">
      <alignment horizontal="center" vertical="center"/>
    </xf>
    <xf numFmtId="176" fontId="3" fillId="6" borderId="2" xfId="1" applyFont="1" applyFill="1" applyBorder="1" applyAlignment="1">
      <alignment horizontal="center" vertical="center"/>
    </xf>
    <xf numFmtId="176" fontId="3" fillId="6" borderId="2" xfId="1" applyFont="1" applyFill="1" applyBorder="1" applyAlignment="1">
      <alignment horizontal="center"/>
    </xf>
    <xf numFmtId="176" fontId="3" fillId="0" borderId="5" xfId="1" applyFont="1" applyBorder="1" applyAlignment="1">
      <alignment horizontal="center" vertical="center"/>
    </xf>
    <xf numFmtId="26" fontId="3" fillId="0" borderId="5" xfId="1" applyNumberFormat="1" applyFont="1" applyBorder="1" applyAlignment="1">
      <alignment horizontal="center" vertical="center"/>
    </xf>
    <xf numFmtId="176" fontId="3" fillId="0" borderId="4" xfId="1" applyFont="1" applyFill="1" applyBorder="1">
      <alignment vertical="center"/>
    </xf>
    <xf numFmtId="176" fontId="3" fillId="0" borderId="8" xfId="1" applyFont="1" applyFill="1" applyBorder="1">
      <alignment vertical="center"/>
    </xf>
    <xf numFmtId="183" fontId="0" fillId="0" borderId="0" xfId="1" applyNumberFormat="1" applyFont="1">
      <alignment vertical="center"/>
    </xf>
    <xf numFmtId="176" fontId="3" fillId="0" borderId="9" xfId="1" applyFont="1" applyFill="1" applyBorder="1" applyAlignment="1">
      <alignment horizontal="center" vertical="center"/>
    </xf>
    <xf numFmtId="176" fontId="3" fillId="0" borderId="10" xfId="1" applyFont="1" applyFill="1" applyBorder="1">
      <alignment vertical="center"/>
    </xf>
    <xf numFmtId="176" fontId="3" fillId="0" borderId="11" xfId="1" applyFont="1" applyFill="1" applyBorder="1">
      <alignment vertical="center"/>
    </xf>
    <xf numFmtId="176" fontId="3" fillId="0" borderId="12" xfId="1" applyFont="1" applyBorder="1" applyAlignment="1">
      <alignment horizontal="center" vertical="center"/>
    </xf>
    <xf numFmtId="26" fontId="3" fillId="0" borderId="12" xfId="1" applyNumberFormat="1" applyFont="1" applyBorder="1" applyAlignment="1">
      <alignment horizontal="center" vertical="center"/>
    </xf>
    <xf numFmtId="176" fontId="3" fillId="0" borderId="12" xfId="1" applyFont="1" applyFill="1" applyBorder="1" applyAlignment="1">
      <alignment horizontal="center" vertical="center"/>
    </xf>
    <xf numFmtId="176" fontId="3" fillId="0" borderId="13" xfId="1" applyFont="1" applyBorder="1" applyAlignment="1">
      <alignment horizontal="center" vertical="center"/>
    </xf>
    <xf numFmtId="176" fontId="3" fillId="0" borderId="14" xfId="1" applyFont="1" applyBorder="1" applyAlignment="1">
      <alignment horizontal="center" vertical="center"/>
    </xf>
    <xf numFmtId="176" fontId="3" fillId="0" borderId="15" xfId="1" applyFont="1" applyBorder="1" applyAlignment="1">
      <alignment horizontal="center" vertical="center"/>
    </xf>
    <xf numFmtId="26" fontId="15" fillId="0" borderId="0" xfId="0" applyNumberFormat="1" applyFont="1" applyProtection="1">
      <alignment vertical="center"/>
      <protection locked="0"/>
    </xf>
    <xf numFmtId="0" fontId="21" fillId="0" borderId="0" xfId="0" applyFont="1">
      <alignment vertical="center"/>
    </xf>
    <xf numFmtId="0" fontId="38" fillId="0" borderId="0" xfId="0" applyFont="1">
      <alignment vertical="center"/>
    </xf>
    <xf numFmtId="0" fontId="21" fillId="0" borderId="0" xfId="0" applyFont="1" applyAlignment="1"/>
    <xf numFmtId="176" fontId="3" fillId="0" borderId="10" xfId="1" applyFont="1" applyFill="1" applyBorder="1" applyAlignment="1">
      <alignment horizontal="center" vertical="center"/>
    </xf>
    <xf numFmtId="176" fontId="3" fillId="0" borderId="0" xfId="1" applyFont="1" applyAlignment="1">
      <alignment horizontal="center" vertical="center"/>
    </xf>
    <xf numFmtId="176" fontId="3" fillId="0" borderId="2" xfId="1" applyFont="1" applyFill="1" applyBorder="1" applyAlignment="1">
      <alignment vertical="center" wrapText="1"/>
    </xf>
    <xf numFmtId="176" fontId="3" fillId="0" borderId="2" xfId="1" applyFont="1" applyFill="1" applyBorder="1" applyAlignment="1">
      <alignment horizontal="right" vertical="center"/>
    </xf>
    <xf numFmtId="176" fontId="11" fillId="0" borderId="2" xfId="1" applyFont="1" applyFill="1" applyBorder="1" applyAlignment="1">
      <alignment horizontal="right" vertical="center"/>
    </xf>
    <xf numFmtId="176" fontId="11" fillId="0" borderId="4" xfId="1" applyFont="1" applyFill="1" applyBorder="1" applyAlignment="1">
      <alignment horizontal="right" vertical="center"/>
    </xf>
    <xf numFmtId="176" fontId="3" fillId="0" borderId="5" xfId="1" applyFont="1" applyBorder="1" applyAlignment="1">
      <alignment horizontal="right" vertical="center"/>
    </xf>
    <xf numFmtId="176" fontId="11" fillId="0" borderId="6" xfId="1" applyFont="1" applyBorder="1" applyAlignment="1">
      <alignment horizontal="right" vertical="center"/>
    </xf>
    <xf numFmtId="176" fontId="3" fillId="0" borderId="3" xfId="1" applyFont="1" applyFill="1" applyBorder="1" applyAlignment="1">
      <alignment horizontal="right" vertical="center"/>
    </xf>
    <xf numFmtId="176" fontId="11" fillId="0" borderId="7" xfId="1" applyFont="1" applyFill="1" applyBorder="1" applyAlignment="1">
      <alignment horizontal="right" vertical="center"/>
    </xf>
    <xf numFmtId="178" fontId="0" fillId="0" borderId="0" xfId="1" applyNumberFormat="1" applyFont="1">
      <alignment vertical="center"/>
    </xf>
    <xf numFmtId="176" fontId="0" fillId="0" borderId="0" xfId="0" pivotButton="1" applyNumberFormat="1">
      <alignment vertical="center"/>
    </xf>
    <xf numFmtId="176" fontId="0" fillId="0" borderId="0" xfId="0" applyNumberFormat="1" applyAlignment="1">
      <alignment horizontal="left" vertical="center" indent="1"/>
    </xf>
    <xf numFmtId="176" fontId="0" fillId="0" borderId="0" xfId="0" applyNumberFormat="1" applyAlignment="1">
      <alignment horizontal="left" vertical="center" indent="2"/>
    </xf>
    <xf numFmtId="176" fontId="0" fillId="0" borderId="0" xfId="0" applyNumberFormat="1" applyAlignment="1">
      <alignment horizontal="left" vertical="center" indent="3"/>
    </xf>
    <xf numFmtId="176" fontId="3" fillId="0" borderId="17" xfId="1" applyFont="1" applyFill="1" applyBorder="1" applyAlignment="1">
      <alignment horizontal="center" vertical="center"/>
    </xf>
    <xf numFmtId="176" fontId="3" fillId="0" borderId="0" xfId="1" applyFont="1" applyProtection="1">
      <alignment vertical="center"/>
    </xf>
    <xf numFmtId="178" fontId="16" fillId="0" borderId="0" xfId="1" applyNumberFormat="1" applyFont="1" applyProtection="1">
      <alignment vertical="center"/>
    </xf>
    <xf numFmtId="176" fontId="5" fillId="0" borderId="0" xfId="1" applyFont="1" applyFill="1" applyBorder="1" applyAlignment="1" applyProtection="1">
      <alignment horizontal="right" vertical="center"/>
    </xf>
    <xf numFmtId="176" fontId="15" fillId="0" borderId="0" xfId="1" applyFont="1" applyFill="1" applyProtection="1">
      <alignment vertical="center"/>
    </xf>
    <xf numFmtId="0" fontId="16" fillId="0" borderId="0" xfId="0" applyFont="1" applyAlignment="1" applyProtection="1">
      <alignment horizontal="center" vertical="center"/>
      <protection locked="0"/>
    </xf>
    <xf numFmtId="176" fontId="0" fillId="0" borderId="0" xfId="1" applyFont="1" applyFill="1">
      <alignment vertical="center"/>
    </xf>
    <xf numFmtId="176" fontId="20" fillId="0" borderId="0" xfId="1" applyFont="1" applyFill="1">
      <alignment vertical="center"/>
    </xf>
    <xf numFmtId="176" fontId="21" fillId="0" borderId="0" xfId="1" applyFont="1" applyFill="1">
      <alignment vertical="center"/>
    </xf>
    <xf numFmtId="185" fontId="0" fillId="0" borderId="0" xfId="1" applyNumberFormat="1" applyFont="1">
      <alignment vertical="center"/>
    </xf>
    <xf numFmtId="0" fontId="4" fillId="0" borderId="5" xfId="14" applyFill="1" applyBorder="1">
      <alignment vertical="center"/>
    </xf>
    <xf numFmtId="3" fontId="0" fillId="0" borderId="0" xfId="0" applyNumberFormat="1">
      <alignment vertical="center"/>
    </xf>
    <xf numFmtId="176" fontId="5" fillId="0" borderId="0" xfId="1" applyFont="1" applyFill="1">
      <alignment vertical="center"/>
    </xf>
    <xf numFmtId="49" fontId="5" fillId="0" borderId="2" xfId="1" applyNumberFormat="1" applyFont="1" applyFill="1" applyBorder="1" applyAlignment="1">
      <alignment vertical="center" wrapText="1"/>
    </xf>
    <xf numFmtId="176" fontId="3" fillId="0" borderId="23" xfId="1" applyFont="1" applyFill="1" applyBorder="1">
      <alignment vertical="center"/>
    </xf>
    <xf numFmtId="176" fontId="3" fillId="0" borderId="7" xfId="1" applyFont="1" applyFill="1" applyBorder="1">
      <alignment vertical="center"/>
    </xf>
    <xf numFmtId="0" fontId="50" fillId="0" borderId="0" xfId="0" applyFont="1">
      <alignment vertical="center"/>
    </xf>
    <xf numFmtId="0" fontId="51" fillId="0" borderId="0" xfId="0" applyFont="1">
      <alignment vertical="center"/>
    </xf>
    <xf numFmtId="0" fontId="51" fillId="0" borderId="0" xfId="0" applyFont="1" applyAlignment="1" applyProtection="1">
      <alignment horizontal="center" vertical="center"/>
      <protection locked="0"/>
    </xf>
    <xf numFmtId="176" fontId="51" fillId="0" borderId="0" xfId="1" applyFont="1" applyProtection="1">
      <alignment vertical="center"/>
    </xf>
    <xf numFmtId="176" fontId="52" fillId="0" borderId="0" xfId="1" applyFont="1" applyProtection="1">
      <alignment vertical="center"/>
    </xf>
    <xf numFmtId="178" fontId="51" fillId="0" borderId="0" xfId="1" applyNumberFormat="1" applyFont="1">
      <alignment vertical="center"/>
    </xf>
    <xf numFmtId="178" fontId="51" fillId="0" borderId="0" xfId="1" applyNumberFormat="1" applyFont="1" applyProtection="1">
      <alignment vertical="center"/>
    </xf>
    <xf numFmtId="177" fontId="51" fillId="0" borderId="0" xfId="0" applyNumberFormat="1" applyFont="1">
      <alignment vertical="center"/>
    </xf>
    <xf numFmtId="0" fontId="52" fillId="0" borderId="0" xfId="0" applyFont="1">
      <alignment vertical="center"/>
    </xf>
    <xf numFmtId="176" fontId="51" fillId="0" borderId="0" xfId="1" applyFont="1" applyFill="1" applyProtection="1">
      <alignment vertical="center"/>
    </xf>
    <xf numFmtId="176" fontId="51" fillId="0" borderId="0" xfId="1" applyFont="1" applyBorder="1" applyProtection="1">
      <alignment vertical="center"/>
    </xf>
    <xf numFmtId="0" fontId="58" fillId="0" borderId="25" xfId="0" applyFont="1" applyBorder="1" applyAlignment="1">
      <alignment horizontal="left" vertical="top"/>
    </xf>
    <xf numFmtId="0" fontId="58" fillId="0" borderId="26" xfId="0" applyFont="1" applyBorder="1" applyAlignment="1">
      <alignment horizontal="left" vertical="top"/>
    </xf>
    <xf numFmtId="0" fontId="58" fillId="7" borderId="25" xfId="0" applyFont="1" applyFill="1" applyBorder="1" applyAlignment="1">
      <alignment horizontal="left" vertical="top"/>
    </xf>
    <xf numFmtId="0" fontId="58" fillId="7" borderId="26" xfId="0" applyFont="1" applyFill="1" applyBorder="1" applyAlignment="1">
      <alignment horizontal="left" vertical="top"/>
    </xf>
    <xf numFmtId="0" fontId="58" fillId="0" borderId="27" xfId="0" applyFont="1" applyBorder="1" applyAlignment="1">
      <alignment horizontal="left" vertical="top"/>
    </xf>
    <xf numFmtId="0" fontId="58" fillId="0" borderId="28" xfId="0" applyFont="1" applyBorder="1" applyAlignment="1">
      <alignment horizontal="left" vertical="top"/>
    </xf>
    <xf numFmtId="0" fontId="12" fillId="0" borderId="0" xfId="0" applyFont="1" applyAlignment="1">
      <alignment horizontal="center" vertical="center"/>
    </xf>
    <xf numFmtId="0" fontId="31" fillId="0" borderId="0" xfId="0" applyFont="1">
      <alignment vertical="center"/>
    </xf>
    <xf numFmtId="0" fontId="32" fillId="0" borderId="0" xfId="0" applyFont="1">
      <alignment vertical="center"/>
    </xf>
    <xf numFmtId="0" fontId="28" fillId="0" borderId="0" xfId="0" applyFont="1">
      <alignment vertical="center"/>
    </xf>
    <xf numFmtId="0" fontId="28" fillId="0" borderId="0" xfId="0" applyFont="1" applyAlignment="1"/>
    <xf numFmtId="0" fontId="16" fillId="0" borderId="0" xfId="0" quotePrefix="1" applyFont="1">
      <alignment vertical="center"/>
    </xf>
    <xf numFmtId="0" fontId="20" fillId="0" borderId="0" xfId="0" applyFont="1" applyAlignment="1">
      <alignment horizontal="center" vertical="center"/>
    </xf>
    <xf numFmtId="0" fontId="7" fillId="0" borderId="0" xfId="0" applyFont="1">
      <alignment vertical="center"/>
    </xf>
    <xf numFmtId="0" fontId="36" fillId="0" borderId="0" xfId="0" applyFont="1" applyAlignment="1"/>
    <xf numFmtId="26" fontId="7" fillId="0" borderId="0" xfId="0" applyNumberFormat="1" applyFont="1" applyProtection="1">
      <alignment vertical="center"/>
      <protection locked="0"/>
    </xf>
    <xf numFmtId="0" fontId="16" fillId="0" borderId="0" xfId="0" applyFont="1" applyAlignment="1">
      <alignment horizontal="left" vertical="center"/>
    </xf>
    <xf numFmtId="0" fontId="21" fillId="0" borderId="0" xfId="0" applyFont="1" applyAlignment="1">
      <alignment horizontal="left" vertical="center"/>
    </xf>
    <xf numFmtId="0" fontId="16" fillId="0" borderId="0" xfId="0" applyFont="1" applyAlignment="1">
      <alignment vertical="center" wrapText="1"/>
    </xf>
    <xf numFmtId="0" fontId="17" fillId="0" borderId="0" xfId="0" applyFont="1">
      <alignment vertical="center"/>
    </xf>
    <xf numFmtId="0" fontId="36" fillId="0" borderId="0" xfId="0" applyFont="1">
      <alignment vertical="center"/>
    </xf>
    <xf numFmtId="0" fontId="7" fillId="0" borderId="0" xfId="0" applyFont="1" applyAlignment="1"/>
    <xf numFmtId="0" fontId="41" fillId="0" borderId="0" xfId="0" applyFont="1" applyAlignment="1">
      <alignment vertical="center" wrapText="1"/>
    </xf>
    <xf numFmtId="0" fontId="39" fillId="0" borderId="0" xfId="0" applyFont="1">
      <alignment vertical="center"/>
    </xf>
    <xf numFmtId="0" fontId="23" fillId="0" borderId="0" xfId="0" applyFont="1">
      <alignment vertical="center"/>
    </xf>
    <xf numFmtId="0" fontId="24" fillId="0" borderId="0" xfId="0" applyFont="1">
      <alignment vertical="center"/>
    </xf>
    <xf numFmtId="0" fontId="40" fillId="0" borderId="0" xfId="0" applyFont="1" applyAlignment="1"/>
    <xf numFmtId="0" fontId="41" fillId="0" borderId="0" xfId="0" applyFont="1">
      <alignment vertical="center"/>
    </xf>
    <xf numFmtId="0" fontId="25" fillId="0" borderId="0" xfId="0" applyFont="1">
      <alignment vertical="center"/>
    </xf>
    <xf numFmtId="0" fontId="48" fillId="0" borderId="0" xfId="0" applyFont="1" applyAlignment="1">
      <alignment vertical="center" wrapText="1"/>
    </xf>
    <xf numFmtId="0" fontId="35" fillId="0" borderId="0" xfId="0" applyFont="1" applyAlignment="1">
      <alignment vertical="center" wrapText="1"/>
    </xf>
    <xf numFmtId="49" fontId="43" fillId="0" borderId="16" xfId="0" applyNumberFormat="1" applyFont="1" applyBorder="1" applyAlignment="1">
      <alignment vertical="center" wrapText="1"/>
    </xf>
    <xf numFmtId="0" fontId="44" fillId="0" borderId="0" xfId="0" applyFont="1">
      <alignment vertical="center"/>
    </xf>
    <xf numFmtId="0" fontId="46" fillId="0" borderId="0" xfId="0" applyFont="1">
      <alignment vertical="center"/>
    </xf>
    <xf numFmtId="0" fontId="49" fillId="0" borderId="24" xfId="0" applyFont="1" applyBorder="1">
      <alignment vertical="center"/>
    </xf>
    <xf numFmtId="0" fontId="26" fillId="0" borderId="0" xfId="0" applyFont="1">
      <alignment vertical="center"/>
    </xf>
    <xf numFmtId="0" fontId="0" fillId="0" borderId="0" xfId="0" applyAlignment="1">
      <alignment vertical="center" wrapText="1"/>
    </xf>
    <xf numFmtId="0" fontId="45" fillId="0" borderId="5" xfId="0" applyFont="1" applyBorder="1">
      <alignment vertical="center"/>
    </xf>
    <xf numFmtId="0" fontId="45" fillId="0" borderId="0" xfId="0" applyFont="1">
      <alignment vertical="center"/>
    </xf>
    <xf numFmtId="0" fontId="18" fillId="0" borderId="0" xfId="0" applyFont="1">
      <alignment vertical="center"/>
    </xf>
    <xf numFmtId="0" fontId="29" fillId="0" borderId="0" xfId="0" applyFont="1" applyAlignment="1">
      <alignment vertical="center" wrapText="1"/>
    </xf>
    <xf numFmtId="0" fontId="37" fillId="0" borderId="0" xfId="0" applyFont="1">
      <alignment vertical="center"/>
    </xf>
    <xf numFmtId="0" fontId="56" fillId="0" borderId="0" xfId="0" applyFont="1">
      <alignment vertical="center"/>
    </xf>
    <xf numFmtId="0" fontId="20" fillId="0" borderId="5" xfId="0" applyFont="1" applyBorder="1" applyAlignment="1">
      <alignment horizontal="center" vertical="center"/>
    </xf>
    <xf numFmtId="0" fontId="12" fillId="0" borderId="5" xfId="0" applyFont="1" applyBorder="1" applyAlignment="1">
      <alignment horizontal="center" vertical="center"/>
    </xf>
    <xf numFmtId="0" fontId="21" fillId="0" borderId="5" xfId="0" applyFont="1" applyBorder="1">
      <alignment vertical="center"/>
    </xf>
    <xf numFmtId="0" fontId="21" fillId="0" borderId="5" xfId="0" applyFont="1" applyBorder="1" applyAlignment="1"/>
    <xf numFmtId="0" fontId="16" fillId="0" borderId="5" xfId="0" applyFont="1" applyBorder="1">
      <alignment vertical="center"/>
    </xf>
    <xf numFmtId="0" fontId="36" fillId="0" borderId="5" xfId="0" applyFont="1" applyBorder="1">
      <alignment vertical="center"/>
    </xf>
    <xf numFmtId="0" fontId="0" fillId="0" borderId="5" xfId="0" applyBorder="1">
      <alignment vertical="center"/>
    </xf>
    <xf numFmtId="0" fontId="36" fillId="0" borderId="5" xfId="0" applyFont="1" applyBorder="1" applyAlignment="1"/>
    <xf numFmtId="0" fontId="0" fillId="0" borderId="5" xfId="0" applyBorder="1" applyAlignment="1">
      <alignment horizontal="left" vertical="center"/>
    </xf>
    <xf numFmtId="0" fontId="21" fillId="0" borderId="5" xfId="0" applyFont="1" applyBorder="1" applyAlignment="1">
      <alignment horizontal="left" vertical="center"/>
    </xf>
    <xf numFmtId="0" fontId="47" fillId="0" borderId="5" xfId="14" applyFont="1" applyFill="1" applyBorder="1">
      <alignment vertical="center"/>
    </xf>
    <xf numFmtId="0" fontId="0" fillId="0" borderId="20" xfId="0" applyBorder="1" applyAlignment="1">
      <alignment horizontal="left" vertical="center"/>
    </xf>
    <xf numFmtId="0" fontId="21" fillId="0" borderId="20" xfId="0" applyFont="1" applyBorder="1">
      <alignment vertical="center"/>
    </xf>
    <xf numFmtId="0" fontId="0" fillId="0" borderId="21" xfId="0" applyBorder="1">
      <alignment vertical="center"/>
    </xf>
    <xf numFmtId="0" fontId="36" fillId="0" borderId="22" xfId="0" applyFont="1" applyBorder="1">
      <alignment vertical="center"/>
    </xf>
    <xf numFmtId="0" fontId="0" fillId="0" borderId="22" xfId="0" applyBorder="1" applyAlignment="1">
      <alignment horizontal="left" vertical="center"/>
    </xf>
    <xf numFmtId="0" fontId="15" fillId="3" borderId="0" xfId="0" applyFont="1" applyFill="1">
      <alignment vertical="center"/>
    </xf>
    <xf numFmtId="0" fontId="0" fillId="0" borderId="0" xfId="0" quotePrefix="1">
      <alignment vertical="center"/>
    </xf>
    <xf numFmtId="0" fontId="21" fillId="0" borderId="22" xfId="0" applyFont="1" applyBorder="1" applyAlignment="1">
      <alignment horizontal="left" vertical="center"/>
    </xf>
    <xf numFmtId="0" fontId="36" fillId="0" borderId="17" xfId="0" applyFont="1" applyBorder="1">
      <alignment vertical="center"/>
    </xf>
    <xf numFmtId="0" fontId="21" fillId="0" borderId="17" xfId="0" applyFont="1" applyBorder="1">
      <alignment vertical="center"/>
    </xf>
    <xf numFmtId="0" fontId="0" fillId="0" borderId="17" xfId="0" applyBorder="1">
      <alignment vertical="center"/>
    </xf>
    <xf numFmtId="0" fontId="20" fillId="0" borderId="20" xfId="0" applyFont="1" applyBorder="1" applyAlignment="1">
      <alignment horizontal="center" vertical="center"/>
    </xf>
    <xf numFmtId="0" fontId="60" fillId="0" borderId="0" xfId="0" applyFont="1" applyAlignment="1">
      <alignment vertical="center" wrapText="1"/>
    </xf>
    <xf numFmtId="185" fontId="0" fillId="0" borderId="0" xfId="0" applyNumberFormat="1">
      <alignment vertical="center"/>
    </xf>
    <xf numFmtId="186" fontId="0" fillId="0" borderId="0" xfId="0" applyNumberFormat="1">
      <alignment vertical="center"/>
    </xf>
    <xf numFmtId="3" fontId="63" fillId="0" borderId="0" xfId="0" applyNumberFormat="1" applyFont="1">
      <alignment vertical="center"/>
    </xf>
    <xf numFmtId="0" fontId="4" fillId="0" borderId="24" xfId="14" applyBorder="1">
      <alignment vertical="center"/>
    </xf>
    <xf numFmtId="0" fontId="64" fillId="0" borderId="0" xfId="0" applyFont="1">
      <alignment vertical="center"/>
    </xf>
    <xf numFmtId="0" fontId="4" fillId="0" borderId="0" xfId="14">
      <alignment vertical="center"/>
    </xf>
    <xf numFmtId="0" fontId="3" fillId="2" borderId="30" xfId="0" applyFont="1" applyFill="1" applyBorder="1" applyAlignment="1">
      <alignment horizontal="center" vertical="center"/>
    </xf>
    <xf numFmtId="0" fontId="3" fillId="2" borderId="31" xfId="0" applyFont="1" applyFill="1" applyBorder="1" applyAlignment="1">
      <alignment horizontal="center" vertical="center"/>
    </xf>
    <xf numFmtId="0" fontId="51" fillId="2" borderId="31" xfId="0" applyFont="1" applyFill="1" applyBorder="1" applyAlignment="1">
      <alignment horizontal="center" vertical="center"/>
    </xf>
    <xf numFmtId="0" fontId="55" fillId="2" borderId="31" xfId="0" applyFont="1" applyFill="1" applyBorder="1" applyAlignment="1">
      <alignment horizontal="center" vertical="center"/>
    </xf>
    <xf numFmtId="0" fontId="3" fillId="2" borderId="29" xfId="0" applyFont="1" applyFill="1" applyBorder="1" applyAlignment="1">
      <alignment horizontal="center" vertical="center"/>
    </xf>
    <xf numFmtId="0" fontId="64" fillId="0" borderId="5" xfId="0" applyFont="1" applyBorder="1">
      <alignment vertical="center"/>
    </xf>
    <xf numFmtId="0" fontId="64" fillId="0" borderId="17" xfId="0" applyFont="1" applyBorder="1">
      <alignment vertical="center"/>
    </xf>
    <xf numFmtId="0" fontId="3" fillId="2" borderId="0" xfId="0" applyFont="1" applyFill="1" applyAlignment="1">
      <alignment horizontal="center" vertical="center"/>
    </xf>
    <xf numFmtId="176" fontId="53" fillId="3" borderId="30" xfId="1" applyFont="1" applyFill="1" applyBorder="1" applyAlignment="1">
      <alignment horizontal="center" vertical="center" wrapText="1"/>
    </xf>
    <xf numFmtId="176" fontId="57" fillId="3" borderId="30" xfId="1" applyFont="1" applyFill="1" applyBorder="1" applyAlignment="1">
      <alignment horizontal="center" vertical="center" wrapText="1"/>
    </xf>
    <xf numFmtId="176" fontId="59" fillId="3" borderId="30" xfId="1" applyFont="1" applyFill="1" applyBorder="1" applyAlignment="1">
      <alignment horizontal="center" vertical="center" wrapText="1"/>
    </xf>
    <xf numFmtId="0" fontId="65" fillId="3" borderId="35" xfId="0" applyFont="1" applyFill="1" applyBorder="1">
      <alignment vertical="center"/>
    </xf>
    <xf numFmtId="176" fontId="3" fillId="0" borderId="31" xfId="1" applyFont="1" applyFill="1" applyBorder="1" applyProtection="1">
      <alignment vertical="center"/>
    </xf>
    <xf numFmtId="176" fontId="7" fillId="0" borderId="31" xfId="1" applyFont="1" applyFill="1" applyBorder="1" applyProtection="1">
      <alignment vertical="center"/>
    </xf>
    <xf numFmtId="176" fontId="15" fillId="0" borderId="31" xfId="1" applyFont="1" applyFill="1" applyBorder="1" applyProtection="1">
      <alignment vertical="center"/>
    </xf>
    <xf numFmtId="176" fontId="5" fillId="0" borderId="31" xfId="1" applyFont="1" applyFill="1" applyBorder="1" applyAlignment="1" applyProtection="1">
      <alignment horizontal="right" vertical="center"/>
    </xf>
    <xf numFmtId="0" fontId="3" fillId="0" borderId="30" xfId="0" applyFont="1" applyBorder="1">
      <alignment vertical="center"/>
    </xf>
    <xf numFmtId="0" fontId="3" fillId="0" borderId="30" xfId="0" applyFont="1" applyBorder="1" applyAlignment="1">
      <alignment horizontal="center" vertical="center"/>
    </xf>
    <xf numFmtId="176" fontId="3" fillId="0" borderId="30" xfId="1" applyFont="1" applyFill="1" applyBorder="1">
      <alignment vertical="center"/>
    </xf>
    <xf numFmtId="176" fontId="7" fillId="0" borderId="30" xfId="1" applyFont="1" applyFill="1" applyBorder="1">
      <alignment vertical="center"/>
    </xf>
    <xf numFmtId="176" fontId="5" fillId="0" borderId="30" xfId="1" applyFont="1" applyFill="1" applyBorder="1" applyAlignment="1">
      <alignment horizontal="right" vertical="center"/>
    </xf>
    <xf numFmtId="179" fontId="5" fillId="0" borderId="30" xfId="1" applyNumberFormat="1" applyFont="1" applyFill="1" applyBorder="1" applyAlignment="1">
      <alignment horizontal="right" vertical="center"/>
    </xf>
    <xf numFmtId="180" fontId="6" fillId="0" borderId="30" xfId="1" applyNumberFormat="1" applyFont="1" applyFill="1" applyBorder="1" applyAlignment="1">
      <alignment horizontal="right" vertical="center"/>
    </xf>
    <xf numFmtId="0" fontId="3" fillId="0" borderId="35" xfId="0" applyFont="1" applyBorder="1">
      <alignment vertical="center"/>
    </xf>
    <xf numFmtId="0" fontId="3" fillId="0" borderId="31" xfId="0" applyFont="1" applyBorder="1">
      <alignment vertical="center"/>
    </xf>
    <xf numFmtId="176" fontId="3" fillId="0" borderId="31" xfId="1" applyFont="1" applyFill="1" applyBorder="1">
      <alignment vertical="center"/>
    </xf>
    <xf numFmtId="176" fontId="7" fillId="0" borderId="31" xfId="1" applyFont="1" applyFill="1" applyBorder="1">
      <alignment vertical="center"/>
    </xf>
    <xf numFmtId="176" fontId="5" fillId="0" borderId="31" xfId="1" applyFont="1" applyFill="1" applyBorder="1" applyAlignment="1">
      <alignment horizontal="right" vertical="center"/>
    </xf>
    <xf numFmtId="180" fontId="6" fillId="0" borderId="32" xfId="1" applyNumberFormat="1" applyFont="1" applyFill="1" applyBorder="1" applyAlignment="1">
      <alignment horizontal="right" vertical="center"/>
    </xf>
    <xf numFmtId="0" fontId="51" fillId="0" borderId="31" xfId="0" applyFont="1" applyBorder="1">
      <alignment vertical="center"/>
    </xf>
    <xf numFmtId="176" fontId="51" fillId="0" borderId="31" xfId="1" applyFont="1" applyFill="1" applyBorder="1">
      <alignment vertical="center"/>
    </xf>
    <xf numFmtId="176" fontId="52" fillId="0" borderId="31" xfId="1" applyFont="1" applyFill="1" applyBorder="1">
      <alignment vertical="center"/>
    </xf>
    <xf numFmtId="176" fontId="52" fillId="0" borderId="31" xfId="1" applyFont="1" applyFill="1" applyBorder="1" applyAlignment="1">
      <alignment horizontal="right" vertical="center"/>
    </xf>
    <xf numFmtId="0" fontId="62" fillId="0" borderId="31" xfId="0" applyFont="1" applyBorder="1">
      <alignment vertical="center"/>
    </xf>
    <xf numFmtId="0" fontId="55" fillId="0" borderId="31" xfId="0" applyFont="1" applyBorder="1">
      <alignment vertical="center"/>
    </xf>
    <xf numFmtId="0" fontId="52" fillId="0" borderId="31" xfId="0" applyFont="1" applyBorder="1">
      <alignment vertical="center"/>
    </xf>
    <xf numFmtId="3" fontId="54" fillId="0" borderId="31" xfId="0" applyNumberFormat="1" applyFont="1" applyBorder="1">
      <alignment vertical="center"/>
    </xf>
    <xf numFmtId="3" fontId="52" fillId="0" borderId="31" xfId="0" applyNumberFormat="1" applyFont="1" applyBorder="1">
      <alignment vertical="center"/>
    </xf>
    <xf numFmtId="0" fontId="61" fillId="0" borderId="31" xfId="0" applyFont="1" applyBorder="1">
      <alignment vertical="center"/>
    </xf>
    <xf numFmtId="176" fontId="5" fillId="0" borderId="31" xfId="1" applyFont="1" applyFill="1" applyBorder="1" applyAlignment="1">
      <alignment horizontal="right" vertical="center" wrapText="1"/>
    </xf>
    <xf numFmtId="0" fontId="28" fillId="0" borderId="31" xfId="0" applyFont="1" applyBorder="1">
      <alignment vertical="center"/>
    </xf>
    <xf numFmtId="0" fontId="16" fillId="0" borderId="31" xfId="0" applyFont="1" applyBorder="1">
      <alignment vertical="center"/>
    </xf>
    <xf numFmtId="0" fontId="5" fillId="0" borderId="31" xfId="0" applyFont="1" applyBorder="1">
      <alignment vertical="center"/>
    </xf>
    <xf numFmtId="182" fontId="3" fillId="0" borderId="31" xfId="10" applyNumberFormat="1" applyFont="1" applyFill="1" applyBorder="1" applyProtection="1">
      <alignment vertical="center"/>
    </xf>
    <xf numFmtId="184" fontId="28" fillId="0" borderId="31" xfId="0" applyNumberFormat="1" applyFont="1" applyBorder="1">
      <alignment vertical="center"/>
    </xf>
    <xf numFmtId="0" fontId="3" fillId="0" borderId="33" xfId="0" applyFont="1" applyBorder="1">
      <alignment vertical="center"/>
    </xf>
    <xf numFmtId="0" fontId="3" fillId="0" borderId="29" xfId="0" applyFont="1" applyBorder="1">
      <alignment vertical="center"/>
    </xf>
    <xf numFmtId="176" fontId="3" fillId="0" borderId="29" xfId="1" applyFont="1" applyFill="1" applyBorder="1">
      <alignment vertical="center"/>
    </xf>
    <xf numFmtId="176" fontId="7" fillId="0" borderId="29" xfId="1" applyFont="1" applyFill="1" applyBorder="1">
      <alignment vertical="center"/>
    </xf>
    <xf numFmtId="176" fontId="5" fillId="0" borderId="29" xfId="1" applyFont="1" applyFill="1" applyBorder="1" applyAlignment="1">
      <alignment horizontal="right" vertical="center"/>
    </xf>
    <xf numFmtId="180" fontId="6" fillId="0" borderId="1" xfId="1" applyNumberFormat="1" applyFont="1" applyFill="1" applyBorder="1" applyAlignment="1">
      <alignment horizontal="right" vertical="center"/>
    </xf>
    <xf numFmtId="0" fontId="3" fillId="0" borderId="5" xfId="0" applyFont="1" applyBorder="1">
      <alignment vertical="center"/>
    </xf>
    <xf numFmtId="176" fontId="3" fillId="0" borderId="0" xfId="1" applyFont="1" applyFill="1" applyBorder="1">
      <alignment vertical="center"/>
    </xf>
    <xf numFmtId="176" fontId="7" fillId="0" borderId="0" xfId="1" applyFont="1" applyFill="1" applyBorder="1">
      <alignment vertical="center"/>
    </xf>
    <xf numFmtId="176" fontId="5" fillId="0" borderId="0" xfId="1" applyFont="1" applyFill="1" applyBorder="1" applyAlignment="1">
      <alignment horizontal="right" vertical="center"/>
    </xf>
    <xf numFmtId="180" fontId="6" fillId="0" borderId="34" xfId="1" applyNumberFormat="1" applyFont="1" applyFill="1" applyBorder="1" applyAlignment="1">
      <alignment horizontal="right" vertical="center"/>
    </xf>
    <xf numFmtId="178" fontId="5" fillId="0" borderId="29" xfId="1" applyNumberFormat="1" applyFont="1" applyFill="1" applyBorder="1" applyAlignment="1">
      <alignment horizontal="right" vertical="center"/>
    </xf>
    <xf numFmtId="0" fontId="16" fillId="2" borderId="31" xfId="0" applyFont="1" applyFill="1" applyBorder="1" applyAlignment="1" applyProtection="1">
      <alignment horizontal="center" vertical="center"/>
      <protection locked="0"/>
    </xf>
    <xf numFmtId="176" fontId="3" fillId="2" borderId="31" xfId="1" applyFont="1" applyFill="1" applyBorder="1" applyProtection="1">
      <alignment vertical="center"/>
      <protection locked="0"/>
    </xf>
    <xf numFmtId="0" fontId="28" fillId="0" borderId="5" xfId="0" applyFont="1" applyBorder="1">
      <alignment vertical="center"/>
    </xf>
    <xf numFmtId="176" fontId="5" fillId="0" borderId="30" xfId="1" applyFont="1" applyFill="1" applyBorder="1" applyAlignment="1" applyProtection="1">
      <alignment horizontal="right" vertical="center"/>
    </xf>
    <xf numFmtId="0" fontId="3" fillId="0" borderId="31" xfId="0" applyFont="1" applyBorder="1" applyAlignment="1">
      <alignment horizontal="left" vertical="center"/>
    </xf>
    <xf numFmtId="0" fontId="3" fillId="0" borderId="30" xfId="0" applyFont="1" applyBorder="1" applyAlignment="1">
      <alignment horizontal="left" vertical="center"/>
    </xf>
    <xf numFmtId="0" fontId="16" fillId="2" borderId="0" xfId="0" applyFont="1" applyFill="1">
      <alignment vertical="center"/>
    </xf>
    <xf numFmtId="0" fontId="28" fillId="2" borderId="0" xfId="0" applyFont="1" applyFill="1">
      <alignment vertical="center"/>
    </xf>
    <xf numFmtId="0" fontId="4" fillId="0" borderId="31" xfId="14" applyBorder="1">
      <alignment vertical="center"/>
    </xf>
    <xf numFmtId="0" fontId="4" fillId="0" borderId="0" xfId="14" applyFill="1">
      <alignment vertical="center"/>
    </xf>
    <xf numFmtId="0" fontId="4" fillId="0" borderId="0" xfId="14" applyFill="1" applyBorder="1">
      <alignment vertical="center"/>
    </xf>
    <xf numFmtId="179" fontId="5" fillId="0" borderId="36" xfId="1" applyNumberFormat="1" applyFont="1" applyFill="1" applyBorder="1" applyAlignment="1">
      <alignment horizontal="right" vertical="center"/>
    </xf>
    <xf numFmtId="0" fontId="4" fillId="0" borderId="5" xfId="14" applyBorder="1">
      <alignmen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43" fontId="0" fillId="0" borderId="0" xfId="0" applyNumberFormat="1">
      <alignment vertical="center"/>
    </xf>
    <xf numFmtId="0" fontId="19" fillId="0" borderId="0" xfId="0" applyFont="1" applyAlignment="1">
      <alignment horizontal="center" vertical="center"/>
    </xf>
    <xf numFmtId="0" fontId="58" fillId="0" borderId="37" xfId="0" applyFont="1" applyBorder="1" applyAlignment="1">
      <alignment horizontal="left" vertical="top"/>
    </xf>
    <xf numFmtId="0" fontId="16" fillId="0" borderId="30" xfId="0" applyFont="1" applyBorder="1" applyAlignment="1">
      <alignment horizontal="center" vertical="center"/>
    </xf>
    <xf numFmtId="176" fontId="3" fillId="0" borderId="9" xfId="1" applyFont="1" applyBorder="1" applyAlignment="1">
      <alignment horizontal="center" vertical="center"/>
    </xf>
    <xf numFmtId="176" fontId="3" fillId="0" borderId="5" xfId="1" applyFont="1" applyBorder="1" applyAlignment="1">
      <alignment horizontal="center" vertical="center"/>
    </xf>
    <xf numFmtId="176" fontId="3" fillId="0" borderId="12" xfId="1" applyFont="1" applyBorder="1" applyAlignment="1">
      <alignment horizontal="center" vertical="center"/>
    </xf>
    <xf numFmtId="176" fontId="3" fillId="0" borderId="18" xfId="1" applyFont="1" applyBorder="1" applyAlignment="1">
      <alignment horizontal="center" vertical="center"/>
    </xf>
    <xf numFmtId="176" fontId="3" fillId="0" borderId="19" xfId="1" applyFont="1" applyBorder="1" applyAlignment="1">
      <alignment horizontal="center" vertical="center"/>
    </xf>
    <xf numFmtId="176" fontId="3" fillId="0" borderId="17" xfId="1" applyFont="1" applyBorder="1" applyAlignment="1">
      <alignment horizontal="center" vertical="center"/>
    </xf>
  </cellXfs>
  <cellStyles count="15">
    <cellStyle name="백분율" xfId="10" builtinId="5"/>
    <cellStyle name="백분율 2" xfId="6" xr:uid="{1A0379A6-899A-4A65-8911-F5362849F7B4}"/>
    <cellStyle name="쉼표 [0]" xfId="1" builtinId="6"/>
    <cellStyle name="쉼표 [0] 2" xfId="3" xr:uid="{244933A7-9A35-47BC-94E4-FECED9128A86}"/>
    <cellStyle name="쉼표 [0] 2 2" xfId="12" xr:uid="{AFB228E0-CDEE-47E7-B1C1-3CD3167B21FA}"/>
    <cellStyle name="쉼표 [0] 3" xfId="11" xr:uid="{37A06525-80AD-4C7B-A939-D4DE729A20D9}"/>
    <cellStyle name="표준" xfId="0" builtinId="0"/>
    <cellStyle name="표준 2" xfId="4" xr:uid="{2C56E50C-C758-4E7F-8352-93CC1069F7DD}"/>
    <cellStyle name="표준 3" xfId="2" xr:uid="{80E08570-F269-4150-9A34-9F3FCF8C3CB4}"/>
    <cellStyle name="표준 3 2" xfId="5" xr:uid="{A8563CE4-CAD9-48E1-BEA7-E24BD98AB444}"/>
    <cellStyle name="표준 3 3" xfId="7" xr:uid="{92ED5CC9-1D7E-48B2-ABE3-4F46911E7863}"/>
    <cellStyle name="표준 4" xfId="8" xr:uid="{58135C4E-C3D4-4227-A46D-89A2F84CCD36}"/>
    <cellStyle name="표준 4 2" xfId="13" xr:uid="{89C43962-65B0-4F11-8799-51F55975B493}"/>
    <cellStyle name="표준 5" xfId="9" xr:uid="{C2D2A9A5-1AD9-4B0E-AF14-0C305114FAE5}"/>
    <cellStyle name="하이퍼링크" xfId="14" builtinId="8"/>
  </cellStyles>
  <dxfs count="2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style="medium">
          <color rgb="FFC0BFC0"/>
        </left>
        <right/>
        <top/>
        <bottom style="medium">
          <color rgb="FFC0BFC0"/>
        </bottom>
        <vertical/>
        <horizontal/>
      </border>
    </dxf>
    <dxf>
      <font>
        <b val="0"/>
        <i val="0"/>
        <strike val="0"/>
        <condense val="0"/>
        <extend val="0"/>
        <outline val="0"/>
        <shadow val="0"/>
        <u val="none"/>
        <vertAlign val="baseline"/>
        <sz val="10.5"/>
        <color rgb="FF343334"/>
        <name val="Andale WT"/>
        <family val="2"/>
        <scheme val="none"/>
      </font>
      <alignment horizontal="left" vertical="top" textRotation="0" wrapText="0" indent="0" justifyLastLine="0" shrinkToFit="0" readingOrder="0"/>
      <border diagonalUp="0" diagonalDown="0">
        <left/>
        <right style="medium">
          <color rgb="FFC0BFC0"/>
        </right>
        <top/>
        <bottom style="medium">
          <color rgb="FFC0BFC0"/>
        </bottom>
        <vertical/>
        <horizontal/>
      </border>
    </dxf>
    <dxf>
      <border outline="0">
        <left style="medium">
          <color rgb="FFC0BFC0"/>
        </left>
        <right style="medium">
          <color rgb="FFC0BFC0"/>
        </right>
        <top style="medium">
          <color rgb="FFC0BFC0"/>
        </top>
        <bottom style="medium">
          <color rgb="FFC0BFC0"/>
        </bottom>
      </border>
    </dxf>
    <dxf>
      <border outline="0">
        <bottom style="medium">
          <color rgb="FFC0BFC0"/>
        </bottom>
      </border>
    </dxf>
    <dxf>
      <font>
        <b val="0"/>
        <i val="0"/>
        <strike val="0"/>
        <condense val="0"/>
        <extend val="0"/>
        <outline val="0"/>
        <shadow val="0"/>
        <u val="none"/>
        <vertAlign val="baseline"/>
        <sz val="10.5"/>
        <color rgb="FF343334"/>
        <name val="Andale WT"/>
        <family val="2"/>
        <scheme val="none"/>
      </font>
      <fill>
        <patternFill patternType="solid">
          <fgColor indexed="64"/>
          <bgColor rgb="FFEAEAEA"/>
        </patternFill>
      </fill>
      <alignment horizontal="left" vertical="top" textRotation="0" wrapText="0" indent="0" justifyLastLine="0" shrinkToFit="0" readingOrder="0"/>
      <border diagonalUp="0" diagonalDown="0" outline="0">
        <left style="medium">
          <color rgb="FFC0BFC0"/>
        </left>
        <right style="medium">
          <color rgb="FFC0BFC0"/>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dxf>
    <dxf>
      <font>
        <b val="0"/>
        <i val="0"/>
        <strike val="0"/>
        <condense val="0"/>
        <extend val="0"/>
        <outline val="0"/>
        <shadow val="0"/>
        <u val="none"/>
        <vertAlign val="baseline"/>
        <sz val="10"/>
        <color theme="1"/>
        <name val="Malgun Gothic Semilight"/>
        <family val="3"/>
        <scheme val="none"/>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맑은 고딕"/>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numFmt numFmtId="0" formatCode="General"/>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맑은 고딕"/>
        <family val="3"/>
        <charset val="129"/>
        <scheme val="minor"/>
      </font>
      <fill>
        <patternFill patternType="none">
          <fgColor indexed="64"/>
          <bgColor indexed="65"/>
        </patternFill>
      </fill>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val="0"/>
        <i val="0"/>
        <strike val="0"/>
        <condense val="0"/>
        <extend val="0"/>
        <outline val="0"/>
        <shadow val="0"/>
        <u val="none"/>
        <vertAlign val="baseline"/>
        <sz val="10"/>
        <color theme="1"/>
        <name val="맑은 고딕"/>
        <family val="2"/>
        <scheme val="minor"/>
      </font>
    </dxf>
    <dxf>
      <font>
        <b/>
        <i val="0"/>
        <strike val="0"/>
        <condense val="0"/>
        <extend val="0"/>
        <outline val="0"/>
        <shadow val="0"/>
        <u val="none"/>
        <vertAlign val="baseline"/>
        <sz val="11"/>
        <color theme="1"/>
        <name val="맑은 고딕"/>
        <family val="2"/>
        <scheme val="minor"/>
      </font>
      <fill>
        <patternFill patternType="none">
          <fgColor indexed="64"/>
          <bgColor indexed="65"/>
        </patternFill>
      </fill>
      <alignment horizontal="center" vertical="center" textRotation="0" wrapText="0" indent="0" justifyLastLine="0" shrinkToFit="0" readingOrder="0"/>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76" formatCode="_-* #,##0_-;\-* #,##0_-;_-* &quot;-&quot;_-;_-@_-"/>
    </dxf>
    <dxf>
      <numFmt numFmtId="176" formatCode="_-* #,##0_-;\-* #,##0_-;_-* &quot;-&quot;_-;_-@_-"/>
    </dxf>
    <dxf>
      <numFmt numFmtId="176" formatCode="_-* #,##0_-;\-* #,##0_-;_-* &quot;-&quot;_-;_-@_-"/>
    </dxf>
    <dxf>
      <numFmt numFmtId="176" formatCode="_-* #,##0_-;\-* #,##0_-;_-* &quot;-&quot;_-;_-@_-"/>
    </dxf>
    <dxf>
      <alignment horizontal="general" vertical="center" textRotation="0" wrapText="0" indent="0" justifyLastLine="0" shrinkToFit="0" readingOrder="0"/>
    </dxf>
    <dxf>
      <alignment horizontal="general" vertical="center" textRotation="0" wrapText="0" indent="0" justifyLastLine="0" shrinkToFit="0" readingOrder="0"/>
    </dxf>
    <dxf>
      <numFmt numFmtId="176" formatCode="_-* #,##0_-;\-* #,##0_-;_-* &quot;-&quot;_-;_-@_-"/>
    </dxf>
    <dxf>
      <numFmt numFmtId="176" formatCode="_-* #,##0_-;\-* #,##0_-;_-* &quot;-&quot;_-;_-@_-"/>
    </dxf>
    <dxf>
      <numFmt numFmtId="176" formatCode="_-* #,##0_-;\-* #,##0_-;_-* &quot;-&quot;_-;_-@_-"/>
    </dxf>
    <dxf>
      <numFmt numFmtId="176" formatCode="_-* #,##0_-;\-* #,##0_-;_-* &quot;-&quot;_-;_-@_-"/>
    </dxf>
    <dxf>
      <font>
        <b val="0"/>
        <i val="0"/>
        <strike val="0"/>
        <condense val="0"/>
        <extend val="0"/>
        <outline val="0"/>
        <shadow val="0"/>
        <u val="none"/>
        <vertAlign val="baseline"/>
        <sz val="10"/>
        <color theme="1"/>
        <name val="맑은 고딕"/>
        <family val="2"/>
        <charset val="129"/>
        <scheme val="minor"/>
      </font>
      <numFmt numFmtId="0" formatCode="General"/>
      <fill>
        <patternFill patternType="none">
          <fgColor indexed="64"/>
          <bgColor auto="1"/>
        </patternFill>
      </fill>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0"/>
        <color rgb="FF0000CC"/>
        <name val="맑은 고딕"/>
        <family val="3"/>
        <charset val="129"/>
        <scheme val="minor"/>
      </font>
      <numFmt numFmtId="180" formatCode="[Red]\△#,##0.0%;[Blue]\▽#,##0.0%"/>
      <fill>
        <patternFill patternType="none">
          <fgColor indexed="64"/>
          <bgColor auto="1"/>
        </patternFill>
      </fill>
      <alignment horizontal="right" vertical="center" textRotation="0" wrapText="0" indent="0" justifyLastLine="0" shrinkToFit="0" readingOrder="0"/>
      <border diagonalUp="0" diagonalDown="0">
        <left/>
        <right style="thin">
          <color theme="4" tint="0.39997558519241921"/>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179" formatCode="[Red]\△#,##0;[Blue]\▽#,##0"/>
      <fill>
        <patternFill patternType="none">
          <fgColor indexed="64"/>
          <bgColor auto="1"/>
        </patternFill>
      </fill>
      <alignment horizontal="right" vertical="center" textRotation="0" wrapText="0" indent="0" justifyLastLine="0" shrinkToFit="0" readingOrder="0"/>
      <border diagonalUp="0" diagonalDown="0">
        <left/>
        <right/>
        <top style="hair">
          <color auto="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numFmt numFmtId="176" formatCode="_-* #,##0_-;\-* #,##0_-;_-* &quot;-&quot;_-;_-@_-"/>
      <fill>
        <patternFill patternType="none">
          <fgColor indexed="64"/>
          <bgColor auto="1"/>
        </patternFill>
      </fill>
      <alignment horizontal="right"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auto="1"/>
        <name val="맑은 고딕"/>
        <family val="2"/>
        <charset val="129"/>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charset val="129"/>
        <scheme val="minor"/>
      </font>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10"/>
        <color auto="1"/>
        <name val="맑은 고딕"/>
        <family val="2"/>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protection locked="1" hidden="0"/>
    </dxf>
    <dxf>
      <font>
        <b val="0"/>
        <i val="0"/>
        <strike val="0"/>
        <condense val="0"/>
        <extend val="0"/>
        <outline val="0"/>
        <shadow val="0"/>
        <u val="none"/>
        <vertAlign val="baseline"/>
        <sz val="10"/>
        <color theme="1"/>
        <name val="맑은 고딕"/>
        <family val="2"/>
        <scheme val="minor"/>
      </font>
      <fill>
        <patternFill patternType="solid">
          <fgColor indexed="64"/>
          <bgColor rgb="FFFFFF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3"/>
        <charset val="129"/>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scheme val="minor"/>
      </font>
      <fill>
        <patternFill patternType="none">
          <fgColor indexed="64"/>
          <bgColor auto="1"/>
        </patternFill>
      </fill>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맑은 고딕"/>
        <family val="2"/>
        <charset val="129"/>
        <scheme val="minor"/>
      </font>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left style="thin">
          <color theme="4" tint="0.39997558519241921"/>
        </left>
        <right style="thin">
          <color theme="4" tint="0.39997558519241921"/>
        </right>
      </border>
    </dxf>
    <dxf>
      <fill>
        <patternFill patternType="none">
          <fgColor indexed="64"/>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right style="thin">
          <color indexed="64"/>
        </right>
        <top/>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맑은 고딕"/>
        <family val="3"/>
        <charset val="129"/>
        <scheme val="minor"/>
      </font>
      <fill>
        <patternFill patternType="none">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ill>
        <patternFill patternType="none">
          <bgColor auto="1"/>
        </patternFill>
      </fill>
    </dxf>
    <dxf>
      <font>
        <b/>
        <i val="0"/>
        <strike val="0"/>
        <condense val="0"/>
        <extend val="0"/>
        <outline val="0"/>
        <shadow val="0"/>
        <u val="none"/>
        <vertAlign val="baseline"/>
        <sz val="11"/>
        <color theme="1"/>
        <name val="맑은 고딕"/>
        <family val="3"/>
        <charset val="129"/>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E210A"/>
      <color rgb="FF150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2025y/2025-09/05.%20GCP/KRAFTON_GCP%20&#49324;&#50857;%20&#44228;&#50557;_&#51204;&#52404;_GCP_202509%20&#52397;&#44396;(08&#50900;&#49324;&#50857;&#48516;)_v1.1.xlsx" TargetMode="External"/><Relationship Id="rId2" Type="http://schemas.openxmlformats.org/officeDocument/2006/relationships/externalLinkPath" Target="https://blueholestudio.sharepoint.com/teams/pubgitinfra/Shared%20Documents/3.%20&#44148;&#48324;%20&#44396;&#47588;,&#51221;&#49328;%20(Cloud,%20,%2021&#45380;2&#50900;~)/2025y/2025-09/05.%20GCP/KRAFTON_GCP%20&#49324;&#50857;%20&#44228;&#50557;_&#51204;&#52404;_GCP_202509%20&#52397;&#44396;(08&#50900;&#49324;&#50857;&#48516;)_v1.1.xlsx" TargetMode="External"/><Relationship Id="rId1" Type="http://schemas.openxmlformats.org/officeDocument/2006/relationships/externalLinkPath" Target="/teams/pubgitinfra/Shared%20Documents/3.%20&#44148;&#48324;%20&#44396;&#47588;,&#51221;&#49328;%20(Cloud,%20,%2021&#45380;2&#50900;~)/2025y/2025-09/05.%20GCP/KRAFTON_GCP%20&#49324;&#50857;%20&#44228;&#50557;_&#51204;&#52404;_GCP_202509%20&#52397;&#44396;(08&#50900;&#49324;&#50857;&#48516;)_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VLPEv6ue0GDtfA1QMWk6M7lPdpKIQpBr8H6rPHxFfdVDntlDSo6Qpx9Qf0oAA1G" itemId="01NC7ZDY22FAFY5KEDWNHIVIFFRFB7RPNZ">
      <xxl21:absoluteUrl r:id="rId2"/>
      <xxl21:relativeUrl r:id="rId3"/>
    </xxl21:alternateUrls>
    <sheetNames>
      <sheetName val="Billing statement"/>
      <sheetName val="Summary_By Account"/>
      <sheetName val="Summary_BY Project"/>
      <sheetName val="GCP Usage"/>
      <sheetName val="GCP Support"/>
      <sheetName val="Credit현황"/>
    </sheetNames>
    <sheetDataSet>
      <sheetData sheetId="0"/>
      <sheetData sheetId="1"/>
      <sheetData sheetId="2">
        <row r="1">
          <cell r="C1"/>
          <cell r="D1" t="str">
            <v>Total :</v>
          </cell>
          <cell r="E1">
            <v>66693644.204605803</v>
          </cell>
          <cell r="F1">
            <v>8928121.7665319815</v>
          </cell>
          <cell r="G1">
            <v>51242462.909138851</v>
          </cell>
          <cell r="H1">
            <v>6523059.528934991</v>
          </cell>
          <cell r="I1">
            <v>0</v>
          </cell>
          <cell r="J1">
            <v>0</v>
          </cell>
          <cell r="K1">
            <v>6523059.528934991</v>
          </cell>
          <cell r="L1">
            <v>6523059.528934991</v>
          </cell>
          <cell r="M1">
            <v>0</v>
          </cell>
          <cell r="N1">
            <v>60473748.949955866</v>
          </cell>
        </row>
        <row r="2">
          <cell r="C2"/>
          <cell r="D2" t="str">
            <v>Filtered Total :</v>
          </cell>
          <cell r="E2">
            <v>66693644.204605803</v>
          </cell>
          <cell r="F2">
            <v>8928121.7665319815</v>
          </cell>
          <cell r="G2">
            <v>51242462.909138851</v>
          </cell>
          <cell r="H2">
            <v>6523059.528934991</v>
          </cell>
          <cell r="I2">
            <v>0</v>
          </cell>
          <cell r="J2">
            <v>0</v>
          </cell>
          <cell r="K2">
            <v>6523059.528934991</v>
          </cell>
          <cell r="L2">
            <v>6523059.528934991</v>
          </cell>
          <cell r="M2">
            <v>0</v>
          </cell>
          <cell r="N2">
            <v>60473748.949955866</v>
          </cell>
        </row>
        <row r="3">
          <cell r="C3" t="str">
            <v>Project ID</v>
          </cell>
          <cell r="D3" t="str">
            <v>Project Name</v>
          </cell>
          <cell r="E3" t="str">
            <v>List Price(A)</v>
          </cell>
          <cell r="F3" t="str">
            <v>CSP할인금액(B)</v>
          </cell>
          <cell r="G3" t="str">
            <v>CSP Credit(C)</v>
          </cell>
          <cell r="H3" t="str">
            <v>CSP공급가(D)
=A-B-C</v>
          </cell>
          <cell r="I3" t="str">
            <v>MSP할인금액(E)</v>
          </cell>
          <cell r="J3" t="str">
            <v>MSP Credit(F)</v>
          </cell>
          <cell r="K3" t="str">
            <v>판매가(할인가, G)
=D-E-F</v>
          </cell>
          <cell r="L3" t="str">
            <v>미적용Credit 반영금액(H)</v>
          </cell>
          <cell r="M3" t="str">
            <v>미적용Credit 반영후
청구금액(G-H)</v>
          </cell>
          <cell r="N3" t="str">
            <v>Spend Milestone Credit
적용 전 CSP공급가</v>
          </cell>
        </row>
        <row r="4">
          <cell r="C4" t="str">
            <v>agds-462601</v>
          </cell>
          <cell r="D4" t="str">
            <v>AGDS</v>
          </cell>
          <cell r="E4">
            <v>1408644.9974209971</v>
          </cell>
          <cell r="F4">
            <v>156.26641300000014</v>
          </cell>
          <cell r="G4">
            <v>0</v>
          </cell>
          <cell r="H4">
            <v>1408488.7310079969</v>
          </cell>
          <cell r="I4">
            <v>0</v>
          </cell>
          <cell r="J4">
            <v>0</v>
          </cell>
          <cell r="K4">
            <v>1408488.7310079969</v>
          </cell>
          <cell r="L4">
            <v>1408488.7310079969</v>
          </cell>
          <cell r="M4">
            <v>0</v>
          </cell>
          <cell r="N4">
            <v>1408488.7310079969</v>
          </cell>
        </row>
        <row r="5">
          <cell r="C5" t="str">
            <v>api-6414577526685413251-707161</v>
          </cell>
          <cell r="D5" t="str">
            <v>Google Play Android Developer</v>
          </cell>
          <cell r="E5">
            <v>689053.60130600003</v>
          </cell>
          <cell r="F5">
            <v>55132.149006999978</v>
          </cell>
          <cell r="G5">
            <v>0</v>
          </cell>
          <cell r="H5">
            <v>633921.45229900011</v>
          </cell>
          <cell r="I5">
            <v>0</v>
          </cell>
          <cell r="J5">
            <v>0</v>
          </cell>
          <cell r="K5">
            <v>633921.45229900011</v>
          </cell>
          <cell r="L5">
            <v>633921.45229900011</v>
          </cell>
          <cell r="M5">
            <v>0</v>
          </cell>
          <cell r="N5">
            <v>633921.45229900011</v>
          </cell>
        </row>
        <row r="6">
          <cell r="C6" t="str">
            <v>pubg-new-state-beta-59019398</v>
          </cell>
          <cell r="D6" t="str">
            <v>PUBG NEW STATE ALPHA</v>
          </cell>
          <cell r="E6">
            <v>0</v>
          </cell>
          <cell r="F6">
            <v>0</v>
          </cell>
          <cell r="G6">
            <v>0</v>
          </cell>
          <cell r="H6">
            <v>0</v>
          </cell>
          <cell r="I6">
            <v>0</v>
          </cell>
          <cell r="J6">
            <v>0</v>
          </cell>
          <cell r="K6">
            <v>0</v>
          </cell>
          <cell r="L6">
            <v>0</v>
          </cell>
          <cell r="M6">
            <v>0</v>
          </cell>
          <cell r="N6">
            <v>0</v>
          </cell>
        </row>
        <row r="7">
          <cell r="C7" t="str">
            <v>pubg-platform-ai</v>
          </cell>
          <cell r="D7" t="str">
            <v>pubg-platform-ai</v>
          </cell>
          <cell r="E7">
            <v>1478773.8028089972</v>
          </cell>
          <cell r="F7">
            <v>21.451124000000014</v>
          </cell>
          <cell r="G7">
            <v>0</v>
          </cell>
          <cell r="H7">
            <v>1478752.3516849971</v>
          </cell>
          <cell r="I7">
            <v>0</v>
          </cell>
          <cell r="J7">
            <v>0</v>
          </cell>
          <cell r="K7">
            <v>1478752.3516849971</v>
          </cell>
          <cell r="L7">
            <v>1478752.3516849971</v>
          </cell>
          <cell r="M7">
            <v>0</v>
          </cell>
          <cell r="N7">
            <v>1478752.3516849971</v>
          </cell>
        </row>
        <row r="8">
          <cell r="C8" t="str">
            <v>pubg-primer</v>
          </cell>
          <cell r="D8" t="str">
            <v>pubg-primer</v>
          </cell>
          <cell r="E8">
            <v>0</v>
          </cell>
          <cell r="F8">
            <v>0</v>
          </cell>
          <cell r="G8">
            <v>0</v>
          </cell>
          <cell r="H8">
            <v>0</v>
          </cell>
          <cell r="I8">
            <v>0</v>
          </cell>
          <cell r="J8">
            <v>0</v>
          </cell>
          <cell r="K8">
            <v>0</v>
          </cell>
          <cell r="L8">
            <v>0</v>
          </cell>
          <cell r="M8">
            <v>0</v>
          </cell>
          <cell r="N8">
            <v>0</v>
          </cell>
        </row>
        <row r="9">
          <cell r="C9" t="str">
            <v>vital-axiom-238107</v>
          </cell>
          <cell r="D9" t="str">
            <v>pubg-google-play</v>
          </cell>
          <cell r="E9">
            <v>614991.92848600005</v>
          </cell>
          <cell r="F9">
            <v>49199.35444600007</v>
          </cell>
          <cell r="G9">
            <v>0</v>
          </cell>
          <cell r="H9">
            <v>565792.57403999998</v>
          </cell>
          <cell r="I9">
            <v>0</v>
          </cell>
          <cell r="J9">
            <v>0</v>
          </cell>
          <cell r="K9">
            <v>565792.57403999998</v>
          </cell>
          <cell r="L9">
            <v>565792.57403999998</v>
          </cell>
          <cell r="M9">
            <v>0</v>
          </cell>
          <cell r="N9">
            <v>565792.57403999998</v>
          </cell>
        </row>
        <row r="10">
          <cell r="C10" t="str">
            <v>moonbreaker-production</v>
          </cell>
          <cell r="D10" t="str">
            <v>Moonbreaker Production</v>
          </cell>
          <cell r="E10">
            <v>854715.38118999882</v>
          </cell>
          <cell r="F10">
            <v>68475.183100998969</v>
          </cell>
          <cell r="G10">
            <v>0</v>
          </cell>
          <cell r="H10">
            <v>786240.19808899984</v>
          </cell>
          <cell r="I10">
            <v>0</v>
          </cell>
          <cell r="J10">
            <v>0</v>
          </cell>
          <cell r="K10">
            <v>786240.19808899984</v>
          </cell>
          <cell r="L10">
            <v>786240.19808899984</v>
          </cell>
          <cell r="M10">
            <v>0</v>
          </cell>
          <cell r="N10">
            <v>786240.19808899984</v>
          </cell>
        </row>
        <row r="11">
          <cell r="C11" t="str">
            <v>warpaint-backend</v>
          </cell>
          <cell r="D11" t="str">
            <v>Warpaint Backend</v>
          </cell>
          <cell r="E11">
            <v>1136938.8525139955</v>
          </cell>
          <cell r="F11">
            <v>99481.513609997171</v>
          </cell>
          <cell r="G11">
            <v>137150.91341399989</v>
          </cell>
          <cell r="H11">
            <v>900306.42548999912</v>
          </cell>
          <cell r="I11">
            <v>0</v>
          </cell>
          <cell r="J11">
            <v>0</v>
          </cell>
          <cell r="K11">
            <v>900306.42548999912</v>
          </cell>
          <cell r="L11">
            <v>900306.42548999912</v>
          </cell>
          <cell r="M11">
            <v>0</v>
          </cell>
          <cell r="N11">
            <v>900306.42548999935</v>
          </cell>
        </row>
        <row r="12">
          <cell r="C12" t="str">
            <v>warpaint-developer-280614</v>
          </cell>
          <cell r="D12" t="str">
            <v>Warpaint Developer</v>
          </cell>
          <cell r="E12">
            <v>27.954235000000001</v>
          </cell>
          <cell r="F12">
            <v>2.2363180000000007</v>
          </cell>
          <cell r="G12">
            <v>0</v>
          </cell>
          <cell r="H12">
            <v>25.717917</v>
          </cell>
          <cell r="I12">
            <v>0</v>
          </cell>
          <cell r="J12">
            <v>0</v>
          </cell>
          <cell r="K12">
            <v>25.717917</v>
          </cell>
          <cell r="L12">
            <v>25.717917</v>
          </cell>
          <cell r="M12">
            <v>0</v>
          </cell>
          <cell r="N12">
            <v>25.717917</v>
          </cell>
        </row>
        <row r="13">
          <cell r="C13" t="str">
            <v>relugames</v>
          </cell>
          <cell r="D13" t="str">
            <v>relugames</v>
          </cell>
          <cell r="E13">
            <v>45.196347000000003</v>
          </cell>
          <cell r="F13">
            <v>3.6162470000001008</v>
          </cell>
          <cell r="G13">
            <v>0</v>
          </cell>
          <cell r="H13">
            <v>41.580099999999902</v>
          </cell>
          <cell r="I13">
            <v>0</v>
          </cell>
          <cell r="J13">
            <v>0</v>
          </cell>
          <cell r="K13">
            <v>41.580099999999902</v>
          </cell>
          <cell r="L13">
            <v>41.580099999999902</v>
          </cell>
          <cell r="M13">
            <v>0</v>
          </cell>
          <cell r="N13">
            <v>41.580099999999902</v>
          </cell>
        </row>
        <row r="14">
          <cell r="C14" t="str">
            <v>archeryking</v>
          </cell>
          <cell r="D14" t="str">
            <v>ArcheryKing</v>
          </cell>
          <cell r="E14">
            <v>158556.37583499961</v>
          </cell>
          <cell r="F14">
            <v>22451.6045980001</v>
          </cell>
          <cell r="G14">
            <v>136104.77123699946</v>
          </cell>
          <cell r="H14">
            <v>-1.021405182655144E-13</v>
          </cell>
          <cell r="I14">
            <v>0</v>
          </cell>
          <cell r="J14">
            <v>0</v>
          </cell>
          <cell r="K14">
            <v>-1.021405182655144E-13</v>
          </cell>
          <cell r="L14">
            <v>-1.021405182655144E-13</v>
          </cell>
          <cell r="M14">
            <v>0</v>
          </cell>
          <cell r="N14">
            <v>138609.89578146636</v>
          </cell>
        </row>
        <row r="15">
          <cell r="C15" t="str">
            <v>dataplatform-api</v>
          </cell>
          <cell r="D15" t="str">
            <v>Dataplatform-API</v>
          </cell>
          <cell r="E15">
            <v>0.77500100000000005</v>
          </cell>
          <cell r="F15">
            <v>6.1983000000000066E-2</v>
          </cell>
          <cell r="G15">
            <v>0.71301799999999993</v>
          </cell>
          <cell r="H15">
            <v>0</v>
          </cell>
          <cell r="I15">
            <v>0</v>
          </cell>
          <cell r="J15">
            <v>0</v>
          </cell>
          <cell r="K15">
            <v>0</v>
          </cell>
          <cell r="L15">
            <v>0</v>
          </cell>
          <cell r="M15">
            <v>0</v>
          </cell>
          <cell r="N15">
            <v>0.76002510376634858</v>
          </cell>
        </row>
        <row r="16">
          <cell r="C16" t="str">
            <v>diet-357705</v>
          </cell>
          <cell r="D16" t="str">
            <v>DIET</v>
          </cell>
          <cell r="E16">
            <v>34823.9226799998</v>
          </cell>
          <cell r="F16">
            <v>2786.8858639999121</v>
          </cell>
          <cell r="G16">
            <v>32037.036815999891</v>
          </cell>
          <cell r="H16">
            <v>0</v>
          </cell>
          <cell r="I16">
            <v>0</v>
          </cell>
          <cell r="J16">
            <v>0</v>
          </cell>
          <cell r="K16">
            <v>0</v>
          </cell>
          <cell r="L16">
            <v>0</v>
          </cell>
          <cell r="M16">
            <v>0</v>
          </cell>
          <cell r="N16">
            <v>34149.141018104237</v>
          </cell>
        </row>
        <row r="17">
          <cell r="C17" t="str">
            <v>dld-anticheat</v>
          </cell>
          <cell r="D17" t="str">
            <v>dld-anticheat</v>
          </cell>
          <cell r="E17">
            <v>275534.06605899992</v>
          </cell>
          <cell r="F17">
            <v>21455.767687000007</v>
          </cell>
          <cell r="G17">
            <v>252874.98086899982</v>
          </cell>
          <cell r="H17">
            <v>1203.3175030000002</v>
          </cell>
          <cell r="I17">
            <v>0</v>
          </cell>
          <cell r="J17">
            <v>0</v>
          </cell>
          <cell r="K17">
            <v>1203.3175030000002</v>
          </cell>
          <cell r="L17">
            <v>1203.3175030000002</v>
          </cell>
          <cell r="M17">
            <v>0</v>
          </cell>
          <cell r="N17">
            <v>254078.29837199982</v>
          </cell>
        </row>
        <row r="18">
          <cell r="C18" t="str">
            <v>dld-tpu-llm-training</v>
          </cell>
          <cell r="D18" t="str">
            <v>DLD TPU LLM Training</v>
          </cell>
          <cell r="E18">
            <v>4312992.4901669957</v>
          </cell>
          <cell r="F18">
            <v>686313.02954199817</v>
          </cell>
          <cell r="G18">
            <v>3492604.1907759979</v>
          </cell>
          <cell r="H18">
            <v>134075.26984899997</v>
          </cell>
          <cell r="I18">
            <v>0</v>
          </cell>
          <cell r="J18">
            <v>0</v>
          </cell>
          <cell r="K18">
            <v>134075.26984899997</v>
          </cell>
          <cell r="L18">
            <v>134075.26984899997</v>
          </cell>
          <cell r="M18">
            <v>0</v>
          </cell>
          <cell r="N18">
            <v>3834503.7297370723</v>
          </cell>
        </row>
        <row r="19">
          <cell r="C19" t="str">
            <v>dl-service-dev</v>
          </cell>
          <cell r="D19" t="str">
            <v>dl-service-dev</v>
          </cell>
          <cell r="E19">
            <v>334774.39427499997</v>
          </cell>
          <cell r="F19">
            <v>26775.914055999961</v>
          </cell>
          <cell r="G19">
            <v>307923.01147100003</v>
          </cell>
          <cell r="H19">
            <v>75.468748000000005</v>
          </cell>
          <cell r="I19">
            <v>0</v>
          </cell>
          <cell r="J19">
            <v>0</v>
          </cell>
          <cell r="K19">
            <v>75.468748000000005</v>
          </cell>
          <cell r="L19">
            <v>75.468748000000005</v>
          </cell>
          <cell r="M19">
            <v>0</v>
          </cell>
          <cell r="N19">
            <v>323490.54051099351</v>
          </cell>
        </row>
        <row r="20">
          <cell r="C20" t="str">
            <v>dm-rtv-empires</v>
          </cell>
          <cell r="D20" t="str">
            <v>DM RTV Empires</v>
          </cell>
          <cell r="E20">
            <v>23.138414999999998</v>
          </cell>
          <cell r="F20">
            <v>5.7846089999999997</v>
          </cell>
          <cell r="G20">
            <v>17.353805999999999</v>
          </cell>
          <cell r="H20">
            <v>0</v>
          </cell>
          <cell r="I20">
            <v>0</v>
          </cell>
          <cell r="J20">
            <v>0</v>
          </cell>
          <cell r="K20">
            <v>0</v>
          </cell>
          <cell r="L20">
            <v>0</v>
          </cell>
          <cell r="M20">
            <v>0</v>
          </cell>
          <cell r="N20">
            <v>18.497889542607737</v>
          </cell>
        </row>
        <row r="21">
          <cell r="C21" t="str">
            <v>finance-hq</v>
          </cell>
          <cell r="D21" t="str">
            <v>finance-hq</v>
          </cell>
          <cell r="E21">
            <v>0</v>
          </cell>
          <cell r="F21">
            <v>0</v>
          </cell>
          <cell r="G21">
            <v>0</v>
          </cell>
          <cell r="H21">
            <v>0</v>
          </cell>
          <cell r="I21">
            <v>0</v>
          </cell>
          <cell r="J21">
            <v>0</v>
          </cell>
          <cell r="K21">
            <v>0</v>
          </cell>
          <cell r="L21">
            <v>0</v>
          </cell>
          <cell r="M21">
            <v>0</v>
          </cell>
          <cell r="N21">
            <v>0</v>
          </cell>
        </row>
        <row r="22">
          <cell r="C22" t="str">
            <v>gamebench-456108</v>
          </cell>
          <cell r="D22" t="str">
            <v>gamebench</v>
          </cell>
          <cell r="E22">
            <v>537895.38388499897</v>
          </cell>
          <cell r="F22">
            <v>43031.630833999021</v>
          </cell>
          <cell r="G22">
            <v>494863.75305099989</v>
          </cell>
          <cell r="H22">
            <v>0</v>
          </cell>
          <cell r="I22">
            <v>0</v>
          </cell>
          <cell r="J22">
            <v>0</v>
          </cell>
          <cell r="K22">
            <v>0</v>
          </cell>
          <cell r="L22">
            <v>0</v>
          </cell>
          <cell r="M22">
            <v>0</v>
          </cell>
          <cell r="N22">
            <v>527488.61215676309</v>
          </cell>
        </row>
        <row r="23">
          <cell r="C23" t="str">
            <v>garuda-saga-india</v>
          </cell>
          <cell r="D23" t="str">
            <v>Garuda Saga India</v>
          </cell>
          <cell r="E23">
            <v>415285.98012999963</v>
          </cell>
          <cell r="F23">
            <v>33224.686534000903</v>
          </cell>
          <cell r="G23">
            <v>382061.29359599913</v>
          </cell>
          <cell r="H23">
            <v>-2.118E-22</v>
          </cell>
          <cell r="I23">
            <v>0</v>
          </cell>
          <cell r="J23">
            <v>0</v>
          </cell>
          <cell r="K23">
            <v>-2.118E-22</v>
          </cell>
          <cell r="L23">
            <v>-2.118E-22</v>
          </cell>
          <cell r="M23">
            <v>0</v>
          </cell>
          <cell r="N23">
            <v>400684.14406088553</v>
          </cell>
        </row>
        <row r="24">
          <cell r="C24" t="str">
            <v>ga-youtube-linking</v>
          </cell>
          <cell r="D24" t="str">
            <v>GA - YouTube Linking</v>
          </cell>
          <cell r="E24">
            <v>0</v>
          </cell>
          <cell r="F24">
            <v>0</v>
          </cell>
          <cell r="G24">
            <v>0</v>
          </cell>
          <cell r="H24">
            <v>0</v>
          </cell>
          <cell r="I24">
            <v>0</v>
          </cell>
          <cell r="J24">
            <v>0</v>
          </cell>
          <cell r="K24">
            <v>0</v>
          </cell>
          <cell r="L24">
            <v>0</v>
          </cell>
          <cell r="M24">
            <v>0</v>
          </cell>
          <cell r="N24">
            <v>0</v>
          </cell>
        </row>
        <row r="25">
          <cell r="C25" t="str">
            <v>inzoi-dev-rnd</v>
          </cell>
          <cell r="D25" t="str">
            <v>inzoi-dev-rnd</v>
          </cell>
          <cell r="E25">
            <v>342276.83527299977</v>
          </cell>
          <cell r="F25">
            <v>33817.954328999971</v>
          </cell>
          <cell r="G25">
            <v>308458.88094399957</v>
          </cell>
          <cell r="H25">
            <v>0</v>
          </cell>
          <cell r="I25">
            <v>0</v>
          </cell>
          <cell r="J25">
            <v>0</v>
          </cell>
          <cell r="K25">
            <v>0</v>
          </cell>
          <cell r="L25">
            <v>0</v>
          </cell>
          <cell r="M25">
            <v>0</v>
          </cell>
          <cell r="N25">
            <v>319653.89397800673</v>
          </cell>
        </row>
        <row r="26">
          <cell r="C26" t="str">
            <v>krafton-creator-network</v>
          </cell>
          <cell r="D26" t="str">
            <v>Krafton Creator Network</v>
          </cell>
          <cell r="E26">
            <v>10297.494712999991</v>
          </cell>
          <cell r="F26">
            <v>1003.595243999991</v>
          </cell>
          <cell r="G26">
            <v>9293.899469</v>
          </cell>
          <cell r="H26">
            <v>0</v>
          </cell>
          <cell r="I26">
            <v>0</v>
          </cell>
          <cell r="J26">
            <v>0</v>
          </cell>
          <cell r="K26">
            <v>0</v>
          </cell>
          <cell r="L26">
            <v>0</v>
          </cell>
          <cell r="M26">
            <v>0</v>
          </cell>
          <cell r="N26">
            <v>9906.6179371639118</v>
          </cell>
        </row>
        <row r="27">
          <cell r="C27" t="str">
            <v>krafton-ded-ai</v>
          </cell>
          <cell r="D27" t="str">
            <v>gcp-data-intelligence</v>
          </cell>
          <cell r="E27">
            <v>7189420.4964679861</v>
          </cell>
          <cell r="F27">
            <v>547350.29893200391</v>
          </cell>
          <cell r="G27">
            <v>6032577.8184769852</v>
          </cell>
          <cell r="H27">
            <v>609492.37905899913</v>
          </cell>
          <cell r="I27">
            <v>0</v>
          </cell>
          <cell r="J27">
            <v>0</v>
          </cell>
          <cell r="K27">
            <v>609492.37905899913</v>
          </cell>
          <cell r="L27">
            <v>609492.37905899913</v>
          </cell>
          <cell r="M27">
            <v>0</v>
          </cell>
          <cell r="N27">
            <v>6976333.4944549892</v>
          </cell>
        </row>
        <row r="28">
          <cell r="C28" t="str">
            <v>krafton-ded-infra</v>
          </cell>
          <cell r="D28" t="str">
            <v>data-voyager</v>
          </cell>
          <cell r="E28">
            <v>2641.0906279999995</v>
          </cell>
          <cell r="F28">
            <v>211.28734900000097</v>
          </cell>
          <cell r="G28">
            <v>2429.8032789999984</v>
          </cell>
          <cell r="H28">
            <v>0</v>
          </cell>
          <cell r="I28">
            <v>0</v>
          </cell>
          <cell r="J28">
            <v>0</v>
          </cell>
          <cell r="K28">
            <v>0</v>
          </cell>
          <cell r="L28">
            <v>0</v>
          </cell>
          <cell r="M28">
            <v>0</v>
          </cell>
          <cell r="N28">
            <v>2589.9928041841695</v>
          </cell>
        </row>
        <row r="29">
          <cell r="C29" t="str">
            <v>krafton-dld-ai</v>
          </cell>
          <cell r="D29" t="str">
            <v>krafton-dld-ai</v>
          </cell>
          <cell r="E29">
            <v>2037520.8452589975</v>
          </cell>
          <cell r="F29">
            <v>131522.34834000099</v>
          </cell>
          <cell r="G29">
            <v>1905998.4969189961</v>
          </cell>
          <cell r="H29">
            <v>0</v>
          </cell>
          <cell r="I29">
            <v>0</v>
          </cell>
          <cell r="J29">
            <v>0</v>
          </cell>
          <cell r="K29">
            <v>0</v>
          </cell>
          <cell r="L29">
            <v>0</v>
          </cell>
          <cell r="M29">
            <v>0</v>
          </cell>
          <cell r="N29">
            <v>2031655.1691533236</v>
          </cell>
        </row>
        <row r="30">
          <cell r="C30" t="str">
            <v>kraftonjungle</v>
          </cell>
          <cell r="D30" t="str">
            <v>kraftonjungle</v>
          </cell>
          <cell r="E30">
            <v>35808.337037999874</v>
          </cell>
          <cell r="F30">
            <v>3020.7121289999918</v>
          </cell>
          <cell r="G30">
            <v>32787.624908999882</v>
          </cell>
          <cell r="H30">
            <v>0</v>
          </cell>
          <cell r="I30">
            <v>0</v>
          </cell>
          <cell r="J30">
            <v>0</v>
          </cell>
          <cell r="K30">
            <v>0</v>
          </cell>
          <cell r="L30">
            <v>0</v>
          </cell>
          <cell r="M30">
            <v>0</v>
          </cell>
          <cell r="N30">
            <v>31917.248493716972</v>
          </cell>
        </row>
        <row r="31">
          <cell r="C31" t="str">
            <v>krafton-l10n</v>
          </cell>
          <cell r="D31" t="str">
            <v>KRAFTON L10N</v>
          </cell>
          <cell r="E31">
            <v>3816.3250280000002</v>
          </cell>
          <cell r="F31">
            <v>305.3062610000004</v>
          </cell>
          <cell r="G31">
            <v>3511.0187669999996</v>
          </cell>
          <cell r="H31">
            <v>0</v>
          </cell>
          <cell r="I31">
            <v>0</v>
          </cell>
          <cell r="J31">
            <v>0</v>
          </cell>
          <cell r="K31">
            <v>0</v>
          </cell>
          <cell r="L31">
            <v>0</v>
          </cell>
          <cell r="M31">
            <v>0</v>
          </cell>
          <cell r="N31">
            <v>14.428527930423801</v>
          </cell>
        </row>
        <row r="32">
          <cell r="C32" t="str">
            <v>migaloo-web3-369008</v>
          </cell>
          <cell r="D32" t="str">
            <v>OVERDARE Data</v>
          </cell>
          <cell r="E32">
            <v>58187.703226999896</v>
          </cell>
          <cell r="F32">
            <v>4660.2901530000099</v>
          </cell>
          <cell r="G32">
            <v>53527.413073999887</v>
          </cell>
          <cell r="H32">
            <v>0</v>
          </cell>
          <cell r="I32">
            <v>0</v>
          </cell>
          <cell r="J32">
            <v>0</v>
          </cell>
          <cell r="K32">
            <v>0</v>
          </cell>
          <cell r="L32">
            <v>0</v>
          </cell>
          <cell r="M32">
            <v>0</v>
          </cell>
          <cell r="N32">
            <v>56760.488414387015</v>
          </cell>
        </row>
        <row r="33">
          <cell r="C33" t="str">
            <v>nitrosmash</v>
          </cell>
          <cell r="D33" t="str">
            <v>nitrosmash</v>
          </cell>
          <cell r="E33">
            <v>0</v>
          </cell>
          <cell r="F33">
            <v>0</v>
          </cell>
          <cell r="G33">
            <v>0</v>
          </cell>
          <cell r="H33">
            <v>0</v>
          </cell>
          <cell r="I33">
            <v>0</v>
          </cell>
          <cell r="J33">
            <v>0</v>
          </cell>
          <cell r="K33">
            <v>0</v>
          </cell>
          <cell r="L33">
            <v>0</v>
          </cell>
          <cell r="M33">
            <v>0</v>
          </cell>
          <cell r="N33">
            <v>0</v>
          </cell>
        </row>
        <row r="34">
          <cell r="C34" t="str">
            <v>palworld-m</v>
          </cell>
          <cell r="D34" t="str">
            <v>Palworld Mobile</v>
          </cell>
          <cell r="E34">
            <v>263029.54051700007</v>
          </cell>
          <cell r="F34">
            <v>0</v>
          </cell>
          <cell r="G34">
            <v>263029.54051700007</v>
          </cell>
          <cell r="H34">
            <v>0</v>
          </cell>
          <cell r="I34">
            <v>0</v>
          </cell>
          <cell r="J34">
            <v>0</v>
          </cell>
          <cell r="K34">
            <v>0</v>
          </cell>
          <cell r="L34">
            <v>0</v>
          </cell>
          <cell r="M34">
            <v>0</v>
          </cell>
          <cell r="N34">
            <v>280370.27652183815</v>
          </cell>
        </row>
        <row r="35">
          <cell r="C35" t="str">
            <v>pc-api-7226728469668669189-510</v>
          </cell>
          <cell r="D35" t="str">
            <v>OVERDARE</v>
          </cell>
          <cell r="E35">
            <v>36531837.473144852</v>
          </cell>
          <cell r="F35">
            <v>6170128.5832439875</v>
          </cell>
          <cell r="G35">
            <v>30361708.889917895</v>
          </cell>
          <cell r="H35">
            <v>-1.7000122069177337E-5</v>
          </cell>
          <cell r="I35">
            <v>0</v>
          </cell>
          <cell r="J35">
            <v>0</v>
          </cell>
          <cell r="K35">
            <v>-1.7000122069177337E-5</v>
          </cell>
          <cell r="L35">
            <v>-1.7000122069177337E-5</v>
          </cell>
          <cell r="M35">
            <v>0</v>
          </cell>
          <cell r="N35">
            <v>32084882.977685757</v>
          </cell>
        </row>
        <row r="36">
          <cell r="C36" t="str">
            <v>project-ddm-405802</v>
          </cell>
          <cell r="D36" t="str">
            <v>Abyss of Dungeons</v>
          </cell>
          <cell r="E36">
            <v>362.31498099999999</v>
          </cell>
          <cell r="F36">
            <v>28.984911000001006</v>
          </cell>
          <cell r="G36">
            <v>333.33006999999895</v>
          </cell>
          <cell r="H36">
            <v>0</v>
          </cell>
          <cell r="I36">
            <v>0</v>
          </cell>
          <cell r="J36">
            <v>0</v>
          </cell>
          <cell r="K36">
            <v>0</v>
          </cell>
          <cell r="L36">
            <v>0</v>
          </cell>
          <cell r="M36">
            <v>0</v>
          </cell>
          <cell r="N36">
            <v>355.30550566772996</v>
          </cell>
        </row>
        <row r="37">
          <cell r="C37" t="str">
            <v>pubg-ally</v>
          </cell>
          <cell r="D37" t="str">
            <v>PUBG Ally</v>
          </cell>
          <cell r="E37">
            <v>1561941.3461019977</v>
          </cell>
          <cell r="F37">
            <v>124940.92192399906</v>
          </cell>
          <cell r="G37">
            <v>1437000.4241779991</v>
          </cell>
          <cell r="H37">
            <v>0</v>
          </cell>
          <cell r="I37">
            <v>0</v>
          </cell>
          <cell r="J37">
            <v>0</v>
          </cell>
          <cell r="K37">
            <v>0</v>
          </cell>
          <cell r="L37">
            <v>0</v>
          </cell>
          <cell r="M37">
            <v>0</v>
          </cell>
          <cell r="N37">
            <v>1531737.4827818805</v>
          </cell>
        </row>
        <row r="38">
          <cell r="C38" t="str">
            <v>pubg-mobile-fit-29242572</v>
          </cell>
          <cell r="D38" t="str">
            <v>BATTLEGROUNDS MOBILE INDIA</v>
          </cell>
          <cell r="E38">
            <v>608047.35093199997</v>
          </cell>
          <cell r="F38">
            <v>49021.424994000001</v>
          </cell>
          <cell r="G38">
            <v>559025.92593800009</v>
          </cell>
          <cell r="H38">
            <v>0</v>
          </cell>
          <cell r="I38">
            <v>0</v>
          </cell>
          <cell r="J38">
            <v>0</v>
          </cell>
          <cell r="K38">
            <v>0</v>
          </cell>
          <cell r="L38">
            <v>0</v>
          </cell>
          <cell r="M38">
            <v>0</v>
          </cell>
          <cell r="N38">
            <v>595880.80156336538</v>
          </cell>
        </row>
        <row r="39">
          <cell r="C39" t="str">
            <v>serviceinfratest</v>
          </cell>
          <cell r="D39" t="str">
            <v>ServiceInfra-giseongeom-202007</v>
          </cell>
          <cell r="E39">
            <v>637541.46543199744</v>
          </cell>
          <cell r="F39">
            <v>61556.288396998236</v>
          </cell>
          <cell r="G39">
            <v>575985.17703499971</v>
          </cell>
          <cell r="H39">
            <v>0</v>
          </cell>
          <cell r="I39">
            <v>0</v>
          </cell>
          <cell r="J39">
            <v>0</v>
          </cell>
          <cell r="K39">
            <v>0</v>
          </cell>
          <cell r="L39">
            <v>0</v>
          </cell>
          <cell r="M39">
            <v>0</v>
          </cell>
          <cell r="N39">
            <v>588544.97392368736</v>
          </cell>
        </row>
        <row r="40">
          <cell r="C40" t="str">
            <v>uw-mb-prod</v>
          </cell>
          <cell r="D40" t="str">
            <v>uw-mb-prod</v>
          </cell>
          <cell r="E40">
            <v>5104320.0135449897</v>
          </cell>
          <cell r="F40">
            <v>688123.41837599501</v>
          </cell>
          <cell r="G40">
            <v>4416196.5951719843</v>
          </cell>
          <cell r="H40">
            <v>-3.00000761449337E-6</v>
          </cell>
          <cell r="I40">
            <v>0</v>
          </cell>
          <cell r="J40">
            <v>0</v>
          </cell>
          <cell r="K40">
            <v>-3.00000761449337E-6</v>
          </cell>
          <cell r="L40">
            <v>-3.00000761449337E-6</v>
          </cell>
          <cell r="M40">
            <v>0</v>
          </cell>
          <cell r="N40">
            <v>4624259.130665997</v>
          </cell>
        </row>
        <row r="41">
          <cell r="C41" t="str">
            <v>veo3-461205</v>
          </cell>
          <cell r="D41" t="str">
            <v>Veo3</v>
          </cell>
          <cell r="E41">
            <v>47842.175624000003</v>
          </cell>
          <cell r="F41">
            <v>3827.3740510000025</v>
          </cell>
          <cell r="G41">
            <v>44014.801573000004</v>
          </cell>
          <cell r="H41">
            <v>0</v>
          </cell>
          <cell r="I41">
            <v>0</v>
          </cell>
          <cell r="J41">
            <v>0</v>
          </cell>
          <cell r="K41">
            <v>0</v>
          </cell>
          <cell r="L41">
            <v>0</v>
          </cell>
          <cell r="M41">
            <v>0</v>
          </cell>
          <cell r="N41">
            <v>46916.563302433562</v>
          </cell>
        </row>
        <row r="42">
          <cell r="C42" t="str">
            <v>vn-holmlands-dev</v>
          </cell>
          <cell r="D42" t="str">
            <v>VN Holmlands DEV</v>
          </cell>
          <cell r="E42">
            <v>1031.0927709999989</v>
          </cell>
          <cell r="F42">
            <v>85.841925000000899</v>
          </cell>
          <cell r="G42">
            <v>945.25084599999809</v>
          </cell>
          <cell r="H42">
            <v>0</v>
          </cell>
          <cell r="I42">
            <v>0</v>
          </cell>
          <cell r="J42">
            <v>0</v>
          </cell>
          <cell r="K42">
            <v>0</v>
          </cell>
          <cell r="L42">
            <v>0</v>
          </cell>
          <cell r="M42">
            <v>0</v>
          </cell>
          <cell r="N42">
            <v>733.3908935987231</v>
          </cell>
        </row>
        <row r="43">
          <cell r="C43" t="str">
            <v>backpackarena</v>
          </cell>
          <cell r="D43" t="str">
            <v>backpackarena</v>
          </cell>
          <cell r="E43">
            <v>3600.8142769999886</v>
          </cell>
          <cell r="F43">
            <v>0</v>
          </cell>
          <cell r="G43">
            <v>0</v>
          </cell>
          <cell r="H43">
            <v>3600.8142769999886</v>
          </cell>
          <cell r="I43">
            <v>0</v>
          </cell>
          <cell r="J43">
            <v>0</v>
          </cell>
          <cell r="K43">
            <v>3600.8142769999886</v>
          </cell>
          <cell r="L43">
            <v>3600.8142769999886</v>
          </cell>
          <cell r="M43">
            <v>0</v>
          </cell>
          <cell r="N43">
            <v>3600.8142769999886</v>
          </cell>
        </row>
        <row r="44">
          <cell r="C44" t="str">
            <v>smash-dungeon</v>
          </cell>
          <cell r="D44" t="str">
            <v>METRObyss</v>
          </cell>
          <cell r="E44">
            <v>1043.248891</v>
          </cell>
          <cell r="F44">
            <v>0</v>
          </cell>
          <cell r="G44">
            <v>0</v>
          </cell>
          <cell r="H44">
            <v>1043.248891</v>
          </cell>
          <cell r="I44">
            <v>0</v>
          </cell>
          <cell r="J44">
            <v>0</v>
          </cell>
          <cell r="K44">
            <v>1043.248891</v>
          </cell>
          <cell r="L44">
            <v>1043.248891</v>
          </cell>
          <cell r="M44">
            <v>0</v>
          </cell>
          <cell r="N44">
            <v>1043.248891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Chaewon Jung (정채원)" id="{E3C5FB49-C9CB-42B1-914E-03BC29020403}" userId="cwjung@bluehole.net" providerId="PeoplePicker"/>
  <person displayName="Chaewon Jung (정채원)" id="{875CEF31-64BA-4A41-9979-987CBF9DD2CA}" userId="S::cwjung@bluehole.net::bcb0d096-023d-4c42-9e1e-65d058fa6e90" providerId="AD"/>
  <person displayName="Somi Choi (최소미)" id="{5A1E0811-6251-4D39-885F-B29429537B2C}" userId="S::smchoi@bluehole.net::ea01a00b-5091-4355-a10d-8115ddfd5105" providerId="AD"/>
  <person displayName="Eunjin Jang (장은진)" id="{1CE3B4F1-C8BD-2C4D-8191-970F973B30DC}" userId="S::uj7380@bluehole.net::5499df59-becc-440d-929f-6c1cfec5f2d7" providerId="AD"/>
  <person displayName="Eunseok Song (송은석)" id="{1385B937-78C0-4F76-9230-4EEEDA939C93}" userId="S::es.song@bluehole.net::a707518f-b46c-4b46-98df-430633d71b66" providerId="AD"/>
  <person displayName="Hyungseok Lee (이형석)" id="{030DC8E6-E9C0-44FD-B1B1-DD059A193C6D}" userId="S::penny01@bluehole.net::d9a7a49f-5a13-4587-b9f2-6813f18353f9" providerId="AD"/>
  <person displayName="Chris Woohyun Jang (장우현)" id="{11E67D95-538C-48DD-8E91-FB3D617FFDA6}" userId="S::chrisjang@bluehole.net::06e2906e-22a9-4e4e-8e2c-c99ccd64aa51" providerId="AD"/>
  <person displayName="Yunseul Lee (이윤슬)" id="{06D6E6F8-6DFC-4DE6-8355-CCCE85880323}" userId="S::ralrariralra@bluehole.net::82e025ad-1207-4104-985f-1876b9573346" providerId="AD"/>
  <person displayName="Mithil Bhatia" id="{DBABD496-DFD1-4D50-B54C-8088E82387E4}" userId="S::mithil.bhatia@bluehole.net::2df209bb-823d-4005-a5f4-aa3a0f3377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15.885012268518" createdVersion="8" refreshedVersion="8" minRefreshableVersion="3" recordCount="528" xr:uid="{77169655-A974-4079-B671-D131672F32B7}">
  <cacheSource type="worksheet">
    <worksheetSource ref="A3:Z569" sheet="Usage Apr 2026"/>
  </cacheSource>
  <cacheFields count="26">
    <cacheField name="Provider" numFmtId="0">
      <sharedItems count="9">
        <s v="Akamai"/>
        <s v="AWS"/>
        <s v="Azure"/>
        <s v="Datadog"/>
        <s v="GCP"/>
        <s v="GWS"/>
        <s v="Tencent Cloud"/>
        <s v="Yandex Cloud"/>
        <e v="#N/A" u="1"/>
      </sharedItems>
    </cacheField>
    <cacheField name="Entity" numFmtId="0">
      <sharedItems count="20">
        <s v="KRAFTON HQ"/>
        <s v="Neptune"/>
        <s v="Research"/>
        <s v="BLUEHOLE"/>
        <s v="Dreamotion"/>
        <s v="ReLu Games"/>
        <s v="5Minlab"/>
        <s v="DLD"/>
        <s v="OVERDARE"/>
        <s v="Flyway Games"/>
        <s v="Risingwings"/>
        <s v="Unknownworlds"/>
        <s v="Real usage"/>
        <s v="Relu Studio"/>
        <s v="KRAFTON EUROPE B.V."/>
        <s v="Nautilus"/>
        <e v="#N/A" u="1"/>
        <s v="GPU" u="1"/>
        <s v="InZOI Studio" u="1"/>
        <s v="Omnicraftlabs" u="1"/>
      </sharedItems>
    </cacheField>
    <cacheField name="Studio" numFmtId="0">
      <sharedItems containsMixedTypes="1" containsNumber="1" containsInteger="1" minValue="0" maxValue="0" count="33">
        <s v="KRAFTON HQ"/>
        <s v="PUBG NewState"/>
        <s v="Neptune"/>
        <n v="0"/>
        <s v="Omnicraftlabs"/>
        <s v="Research"/>
        <s v="BLUEHOLE"/>
        <s v="PUBG STUDIO"/>
        <s v="NineB"/>
        <s v="InZOI Studio"/>
        <s v="Dreamotion"/>
        <s v="Mad Glory"/>
        <s v="Tango Gameworks"/>
        <s v="ReLu Games"/>
        <s v="5Minlab"/>
        <s v="DLD"/>
        <s v="OVERDARE"/>
        <s v="JofSoft"/>
        <s v="OliveTree Games"/>
        <s v="Flyway Games"/>
        <s v="Risingwings"/>
        <s v="Nautilus"/>
        <s v="KRAFTON America"/>
        <s v="KRAFTON India"/>
        <s v="Unknownworlds"/>
        <s v="Montreal Studio"/>
        <s v="SDS"/>
        <s v="Vector North"/>
        <s v="Real usage"/>
        <s v="Relu Studio"/>
        <s v="KRAFTON EUROPE B.V."/>
        <s v="KRAFTON Montreal"/>
        <s v="KRAFTON CHINA"/>
      </sharedItems>
    </cacheField>
    <cacheField name="Team" numFmtId="0">
      <sharedItems containsBlank="1" containsMixedTypes="1" containsNumber="1" containsInteger="1" minValue="0" maxValue="0" count="132">
        <s v="Publishing Tech PM Part"/>
        <s v="[N/A]New State Dev Div."/>
        <s v="IT Dept."/>
        <s v="BGMI DevOps Team"/>
        <s v="KOS Engineering Dept."/>
        <s v="PUBG PC&amp;Console Dev Div."/>
        <n v="0"/>
        <s v="OCL GW Server Team"/>
        <s v="AI Agent Dev Team"/>
        <s v="Gameplay AI Team"/>
        <s v="ML Sys &amp; Ops Team"/>
        <s v="AI research center"/>
        <s v="IN Performance Marketing Team"/>
        <s v="Platform Management Team"/>
        <s v="Bluehole shared_finance"/>
        <s v="KRAFTON HQ"/>
        <s v="Publishing Platform Div."/>
        <s v="ORN Game Design &amp; Production Team"/>
        <s v="DevData Engineering Team"/>
        <s v="AtoZ Team"/>
        <s v="inZOI Studio"/>
        <s v="System Team"/>
        <s v="Global Subsidiary Management Team"/>
        <s v="Platform Dept."/>
        <s v="IT Platform Engineering Team"/>
        <s v="L10N Team"/>
        <s v="Project MLP Team"/>
        <s v="Asset Library Part"/>
        <s v="Cinematic Direction &amp; Tech Team"/>
        <s v="Game Security Engineering Dept."/>
        <s v="AI Service Engineering Team"/>
        <s v="[N/A] IN Publishing Production Team_HQ"/>
        <s v="[N/A]TERA"/>
        <s v="T_Console Service Part"/>
        <s v="Jungle Coaching Dept."/>
        <s v="Talent Acquisition Team"/>
        <s v="Publishing Platform PM Dept."/>
        <s v="Valor Core Tech Team"/>
        <s v="IT Cost Engineering Part"/>
        <s v="TGW IT Team"/>
        <s v="Service Devops Team"/>
        <s v="Publishing QA Team 1"/>
        <s v="Live Ops Team"/>
        <s v="Data Engineering Dept."/>
        <s v="ReLU Dev Dept."/>
        <s v="5ml Tech Dept"/>
        <s v="PUBG Marketing Team 1"/>
        <s v="Translation Team 2"/>
        <s v="AI Foundation Model TF Team"/>
        <s v="Arc Team"/>
        <s v="Adrenaline Rush Lab Unit"/>
        <s v="PalM Unit"/>
        <s v="MS DevOps Team"/>
        <s v="[N/A] AB Unit"/>
        <s v="OVDR Tech Div."/>
        <s v="Infra div."/>
        <s v="AI Transformation Team"/>
        <s v="JOF Development Team"/>
        <s v="SBX Platform Team"/>
        <s v="OVDR Platform Engineering Team"/>
        <s v="OVDR Platform Engineering Dept"/>
        <s v="Experience Engineering Dept."/>
        <s v="Olive Game Development Team"/>
        <s v="GPSI Team"/>
        <s v="Camp Dept."/>
        <s v="AI R&amp;D Initiative Part"/>
        <s v="FWG People Team"/>
        <s v="Esports Management Team"/>
        <s v="Physical AI Team"/>
        <s v="Security Policy Part"/>
        <s v="Black Budget Div."/>
        <s v="inZOI Server Team"/>
        <s v="Uropa Team"/>
        <s v="Player Support Team"/>
        <s v="Security team"/>
        <s v="B_TERA2 R&amp;D Team"/>
        <s v="RW Tech Support Dept."/>
        <s v="TechSupport"/>
        <s v="Security Dept."/>
        <s v="KDC Team"/>
        <s v="IN Platform Business Team"/>
        <s v="Valor Art Dept."/>
        <s v="Americas IT Team"/>
        <s v="India Div."/>
        <s v="PGY_Art Cell"/>
        <s v="Striking Distance Studios"/>
        <s v="Vector North Unit"/>
        <s v="IN New Games Publishing Team 3"/>
        <s v="AI Project Initiative Office"/>
        <s v="IN Platform Business Dept._HQ"/>
        <s v="OVDR People Team"/>
        <s v="Strategic Alignment Office"/>
        <s v="Art Management Part"/>
        <s v="PUBG Valor Div."/>
        <s v="Milestone Review Support Office"/>
        <s v="Live Service Support Dept."/>
        <s v="Flyway Games"/>
        <s v="EME IT Admin Part"/>
        <s v="West Scale-up Dept."/>
        <s v="Nautilus"/>
        <m/>
        <s v="Unknownworlds"/>
        <s v="FWG T Team"/>
        <s v="KRAFTON JUNGLE"/>
        <s v="IT Service &amp; Mgmt Part"/>
        <s v="Data Analytics Dept."/>
        <s v="AI Service Initiative Part"/>
        <s v="OVDR Web 3.0 Product Team"/>
        <s v="Publishing Launchpad Team"/>
        <s v="Foundation Model Research Team"/>
        <s v="Media Contents AI Team"/>
        <s v="AI Art Gen Part 1"/>
        <s v="India Publishing Dept._HQ"/>
        <s v="Financial Planning Team"/>
        <s v="CEO's Office"/>
        <s v="General Operations Dept."/>
        <s v="inZOI Dev R&amp;D Team"/>
        <s v="OVDR Platform Engineering Dept."/>
        <s v="Visual R&amp;D Team"/>
        <s v="Recruiting Operations Part"/>
        <s v="User Modeling AI Team"/>
        <s v="PUBG Ally DL TF Team"/>
        <s v="S2 Team"/>
        <s v="PBB_S Platform Team"/>
        <s v="Risk Management Team"/>
        <s v="Service Policy Team"/>
        <s v="Design Creative Part"/>
        <s v="Publishing Growth Marketing &amp; BD Team"/>
        <s v="Culture Team"/>
        <s v="Core VFX Team"/>
        <s v="PUBGM Product Management Dept."/>
        <s v="CN Service Ops Team_HQ"/>
      </sharedItems>
    </cacheField>
    <cacheField name="Project" numFmtId="0">
      <sharedItems containsMixedTypes="1" containsNumber="1" containsInteger="1" minValue="0" maxValue="0" count="47">
        <s v="Dark and Darker_Mobile"/>
        <s v="OVERHEAD/OTHERS"/>
        <s v="PUBG:NEW STATE"/>
        <s v="(2022)BATTLEGROUNDS_MOBILE_IN"/>
        <s v="GPP"/>
        <s v="BATTLEGROUNDS_PC/CONSOLE"/>
        <n v="0"/>
        <s v="GW"/>
        <s v="DEEP LEARNING"/>
        <s v="Project Orion"/>
        <s v="PalM"/>
        <s v="DEFENSE DERBY"/>
        <s v="Ronin: The Last Samurai"/>
        <s v="GunStrider: Tap Strike"/>
        <s v="Road to valor : world war2"/>
        <s v="Road to Valor: Empire"/>
        <s v="PUBG 2.0"/>
        <s v="BULLET ECHO"/>
        <s v="TERA_CONSOLE"/>
        <s v="PROJECT JUNGLE"/>
        <s v="Valor_Console"/>
        <s v="BATTLEGROUNDS_MOBILE"/>
        <s v="SUBNAUTICA 2"/>
        <s v="Project Zeta"/>
        <s v="inZOI"/>
        <s v="PROJECT WINDLESS"/>
        <s v="BLACK BUDGET"/>
        <s v="AI Foundation TF"/>
        <s v="UROPA_mobile"/>
        <s v="Arc_PC"/>
        <s v="E-SPORTS"/>
        <s v="Tera2"/>
        <s v="Real golf"/>
        <s v="RW-ProjectEL"/>
        <s v="ProjectA"/>
        <s v="KSS"/>
        <s v="STUDIO M"/>
        <s v="The Callisto Protocol"/>
        <s v="sports fantasy project"/>
        <s v="Cricket All Stars"/>
        <s v="Project MC"/>
        <s v="ReLU Games"/>
        <s v="Flyway Games"/>
        <s v="Nautilus"/>
        <s v="Cookie Run India"/>
        <s v="Dinkum"/>
        <s v="UW-MOONBREAKER"/>
      </sharedItems>
    </cacheField>
    <cacheField name="Team code" numFmtId="0">
      <sharedItems containsMixedTypes="1" containsNumber="1" containsInteger="1" minValue="100009" maxValue="540002"/>
    </cacheField>
    <cacheField name="Project code" numFmtId="0">
      <sharedItems/>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NonDate="0" containsString="0"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176">
      <sharedItems containsString="0" containsBlank="1" containsNumber="1" containsInteger="1" minValue="0" maxValue="4678136410"/>
    </cacheField>
    <cacheField name="Aug 2025(KRW)" numFmtId="176">
      <sharedItems containsString="0" containsBlank="1" containsNumber="1" containsInteger="1" minValue="0" maxValue="4783980440"/>
    </cacheField>
    <cacheField name="Sep 2025(KRW)" numFmtId="176">
      <sharedItems containsString="0" containsBlank="1" containsNumber="1" containsInteger="1" minValue="0" maxValue="6998787602"/>
    </cacheField>
    <cacheField name="Oct 2025(KRW)" numFmtId="176">
      <sharedItems containsString="0" containsBlank="1" containsNumber="1" minValue="0" maxValue="4395710086"/>
    </cacheField>
    <cacheField name=" Nov 2025(KRW) " numFmtId="176">
      <sharedItems containsString="0" containsBlank="1" containsNumber="1" minValue="0" maxValue="4158358621"/>
    </cacheField>
    <cacheField name="Dec 2025(KRW) " numFmtId="176">
      <sharedItems containsString="0" containsBlank="1" containsNumber="1" containsInteger="1" minValue="-699878760" maxValue="4287447886"/>
    </cacheField>
    <cacheField name="Jan 2026(KRW)" numFmtId="176">
      <sharedItems containsString="0" containsBlank="1" containsNumber="1" containsInteger="1" minValue="-699878760" maxValue="4227437468"/>
    </cacheField>
    <cacheField name="Feb 2026(KRW)" numFmtId="176">
      <sharedItems containsSemiMixedTypes="0" containsString="0" containsNumber="1" containsInteger="1" minValue="-699878760" maxValue="4082632942"/>
    </cacheField>
    <cacheField name="Mar 2026(KRW)" numFmtId="176">
      <sharedItems containsSemiMixedTypes="0" containsString="0" containsNumber="1" containsInteger="1" minValue="0" maxValue="0"/>
    </cacheField>
    <cacheField name="Mar 2026 (USD or KRW)" numFmtId="0">
      <sharedItems containsNonDate="0" containsString="0" containsBlank="1"/>
    </cacheField>
    <cacheField name="Diff (KRW)_x000a_(this month - last month)" numFmtId="179">
      <sharedItems containsSemiMixedTypes="0" containsString="0" containsNumber="1" containsInteger="1" minValue="-4082632942" maxValue="699878760"/>
    </cacheField>
    <cacheField name="Diff rate" numFmtId="180">
      <sharedItems containsMixedTypes="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2.831338657408" createdVersion="8" refreshedVersion="8" minRefreshableVersion="3" recordCount="549" xr:uid="{A226AE15-D402-41FE-B66B-A5EFE64A3B00}">
  <cacheSource type="worksheet">
    <worksheetSource ref="A3:Z569" sheet="Usage Apr 2026"/>
  </cacheSource>
  <cacheFields count="26">
    <cacheField name="Provider" numFmtId="0">
      <sharedItems containsBlank="1" count="10">
        <s v="Akamai"/>
        <s v="AWS"/>
        <s v="Azure"/>
        <s v="Datadog"/>
        <s v="GCP"/>
        <s v="GWS"/>
        <e v="#N/A" u="1"/>
        <s v="Tencent Cloud" u="1"/>
        <s v="Yandex Cloud" u="1"/>
        <m u="1"/>
      </sharedItems>
    </cacheField>
    <cacheField name="Entity" numFmtId="0">
      <sharedItems containsMixedTypes="1" containsNumber="1" containsInteger="1" minValue="0" maxValue="0" count="17">
        <s v="KRAFTON HQ"/>
        <s v="Neptune"/>
        <s v="Research"/>
        <s v="Risingwings"/>
        <s v="Dreamotion"/>
        <s v="BLUEHOLE"/>
        <s v="OVERDARE"/>
        <s v="ReLu Games"/>
        <s v="DLD"/>
        <s v="Flyway Games"/>
        <s v="5Minlab"/>
        <s v="Unknownworlds"/>
        <s v="Real usage"/>
        <s v="KRAFTON EUROPE B.V."/>
        <s v="Nautilus"/>
        <s v="Relu Studio"/>
        <n v="0" u="1"/>
      </sharedItems>
    </cacheField>
    <cacheField name="Studio" numFmtId="0">
      <sharedItems containsMixedTypes="1" containsNumber="1" containsInteger="1" minValue="0" maxValue="0" count="33">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ontainsBlank="1"/>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176">
      <sharedItems containsString="0" containsBlank="1" containsNumber="1" containsInteger="1" minValue="0" maxValue="4678136410"/>
    </cacheField>
    <cacheField name="Aug 2025(KRW)" numFmtId="176">
      <sharedItems containsString="0" containsBlank="1" containsNumber="1" containsInteger="1" minValue="0" maxValue="4783980440"/>
    </cacheField>
    <cacheField name="Sep 2025(KRW)" numFmtId="176">
      <sharedItems containsString="0" containsBlank="1" containsNumber="1" containsInteger="1" minValue="0" maxValue="6998787602"/>
    </cacheField>
    <cacheField name="Oct 2025(KRW)" numFmtId="176">
      <sharedItems containsString="0" containsBlank="1" containsNumber="1" minValue="0" maxValue="4395710086"/>
    </cacheField>
    <cacheField name=" Nov 2025(KRW) " numFmtId="176">
      <sharedItems containsString="0" containsBlank="1" containsNumber="1" containsInteger="1" minValue="0" maxValue="4158358621"/>
    </cacheField>
    <cacheField name="Dec 2025(KRW) " numFmtId="176">
      <sharedItems containsString="0" containsBlank="1" containsNumber="1" containsInteger="1" minValue="-699878760" maxValue="4287447886"/>
    </cacheField>
    <cacheField name="Jan 2026(KRW)" numFmtId="176">
      <sharedItems containsString="0" containsBlank="1" containsNumber="1" containsInteger="1" minValue="-699878760" maxValue="4227437468"/>
    </cacheField>
    <cacheField name="Feb 2026(KRW)" numFmtId="176">
      <sharedItems containsString="0" containsBlank="1" containsNumber="1" containsInteger="1" minValue="-699878760" maxValue="4082632942"/>
    </cacheField>
    <cacheField name="Mar 2026(KRW)" numFmtId="176">
      <sharedItems containsSemiMixedTypes="0" containsString="0" containsNumber="1" minValue="-699878760" maxValue="4142739853"/>
    </cacheField>
    <cacheField name="Mar 2026 (USD or KRW)" numFmtId="176">
      <sharedItems containsString="0" containsBlank="1" containsNumber="1" minValue="-699878760" maxValue="4142739853"/>
    </cacheField>
    <cacheField name="Diff (KRW)_x000a_(this month - last month)" numFmtId="179">
      <sharedItems containsSemiMixedTypes="0" containsString="0" containsNumber="1" minValue="-1816191169" maxValue="650344574.40999997"/>
    </cacheField>
    <cacheField name="Diff rate" numFmtId="180">
      <sharedItems containsMixedTypes="1" containsNumber="1" minValue="-1" maxValue="638394.2980000000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nseul Lee (이윤슬)" refreshedDate="46134.831768402779" createdVersion="8" refreshedVersion="8" minRefreshableVersion="3" recordCount="559" xr:uid="{FD40541B-EAA8-1A48-ACFE-ECF771ECA3BA}">
  <cacheSource type="worksheet">
    <worksheetSource name="표9"/>
  </cacheSource>
  <cacheFields count="27">
    <cacheField name="Provider" numFmtId="0">
      <sharedItems count="8">
        <s v="Akamai"/>
        <s v="AWS"/>
        <s v="Azure"/>
        <s v="Datadog"/>
        <s v="GCP"/>
        <s v="GWS"/>
        <s v="Tencent Cloud"/>
        <s v="Yandex Cloud"/>
      </sharedItems>
    </cacheField>
    <cacheField name="Entity" numFmtId="0">
      <sharedItems count="16">
        <s v="KRAFTON HQ"/>
        <s v="Neptune"/>
        <s v="Research"/>
        <s v="Risingwings"/>
        <s v="Dreamotion"/>
        <s v="BLUEHOLE"/>
        <s v="OVERDARE"/>
        <s v="ReLu Games"/>
        <s v="DLD"/>
        <s v="Flyway Games"/>
        <s v="5Minlab"/>
        <s v="Unknownworlds"/>
        <s v="Real usage"/>
        <s v="KRAFTON EUROPE B.V."/>
        <s v="Nautilus"/>
        <s v="Relu Studio"/>
      </sharedItems>
    </cacheField>
    <cacheField name="Studio" numFmtId="0">
      <sharedItems containsMixedTypes="1" containsNumber="1" containsInteger="1" minValue="0" maxValue="0" count="34">
        <s v="KRAFTON HQ"/>
        <s v="PUBG NewState"/>
        <s v="PUBG STUDIO"/>
        <s v="Neptune"/>
        <s v="SDS"/>
        <s v="InZOI Studio"/>
        <s v="Research"/>
        <s v="Risingwings"/>
        <s v="Dreamotion"/>
        <s v="BLUEHOLE"/>
        <s v="Mad Glory"/>
        <n v="0"/>
        <s v="OVERDARE"/>
        <s v="ReLu Games"/>
        <s v="Montreal Studio"/>
        <s v="Vector North"/>
        <s v="Ludo"/>
        <s v="DLD"/>
        <s v="Flyway Games"/>
        <s v="KRAFTON India"/>
        <s v="JofSoft"/>
        <s v="5Minlab"/>
        <s v="OliveTree Games"/>
        <s v="Omnicraftlabs"/>
        <s v="NineB"/>
        <s v="Nautilus"/>
        <s v="Tango Gameworks"/>
        <s v="KRAFTON America"/>
        <s v="Unknownworlds"/>
        <s v="Real usage"/>
        <s v="KRAFTON EUROPE B.V."/>
        <s v="KRAFTON Montreal"/>
        <s v="Relu Studio"/>
        <s v="KRAFTON CHINA"/>
      </sharedItems>
    </cacheField>
    <cacheField name="Team" numFmtId="0">
      <sharedItems containsBlank="1" containsMixedTypes="1" containsNumber="1" containsInteger="1" minValue="0" maxValue="0"/>
    </cacheField>
    <cacheField name="Project" numFmtId="0">
      <sharedItems containsMixedTypes="1" containsNumber="1" containsInteger="1" minValue="0" maxValue="0" count="47">
        <s v="Dark and Darker_Mobile"/>
        <s v="OVERHEAD/OTHERS"/>
        <s v="GPP"/>
        <s v="PUBG:NEW STATE"/>
        <s v="(2022)BATTLEGROUNDS_MOBILE_IN"/>
        <s v="BATTLEGROUNDS_PC/CONSOLE"/>
        <n v="0"/>
        <s v="The Callisto Protocol"/>
        <s v="inZOI"/>
        <s v="DEEP LEARNING"/>
        <s v="Road to Valor: Empire"/>
        <s v="GunStrider: Tap Strike"/>
        <s v="Road to valor : world war2"/>
        <s v="Ronin: The Last Samurai"/>
        <s v="BULLET ECHO"/>
        <s v="Valor_Console"/>
        <s v="BLACK BUDGET"/>
        <s v="BATTLEGROUNDS_MOBILE"/>
        <s v="STUDIO M"/>
        <s v="AI Foundation TF"/>
        <s v="E-SPORTS"/>
        <s v="sports fantasy project"/>
        <s v="PROJECT JUNGLE"/>
        <s v="KSS"/>
        <s v="GW"/>
        <s v="Project Orion"/>
        <s v="PUBG 2.0"/>
        <s v="Arc_PC"/>
        <s v="UROPA_mobile"/>
        <s v="PalM"/>
        <s v="ProjectA"/>
        <s v="RW-ProjectEL"/>
        <s v="SUBNAUTICA 2"/>
        <s v="Tera2"/>
        <s v="Project Zeta"/>
        <s v="TERA_CONSOLE"/>
        <s v="Real golf"/>
        <s v="DEFENSE DERBY"/>
        <s v="PROJECT WINDLESS"/>
        <s v="Cricket All Stars"/>
        <s v="Flyway Games"/>
        <s v="Nautilus"/>
        <s v="Project MC"/>
        <s v="ReLU Games"/>
        <s v="Cookie Run India"/>
        <s v="Dinkum"/>
        <s v="UW-MOONBREAKER"/>
      </sharedItems>
    </cacheField>
    <cacheField name="Team code" numFmtId="0">
      <sharedItems containsBlank="1" containsMixedTypes="1" containsNumber="1" containsInteger="1" minValue="100009" maxValue="600002"/>
    </cacheField>
    <cacheField name="Project code" numFmtId="0">
      <sharedItems containsBlank="1"/>
    </cacheField>
    <cacheField name="Teams Room Pro" numFmtId="0">
      <sharedItems/>
    </cacheField>
    <cacheField name="Owner" numFmtId="0">
      <sharedItems containsBlank="1" containsMixedTypes="1" containsNumber="1" containsInteger="1" minValue="0" maxValue="0"/>
    </cacheField>
    <cacheField name="Cost Reviewer" numFmtId="0">
      <sharedItems containsBlank="1" containsMixedTypes="1" containsNumber="1" containsInteger="1" minValue="0" maxValue="0"/>
    </cacheField>
    <cacheField name="verified" numFmtId="0">
      <sharedItems containsBlank="1"/>
    </cacheField>
    <cacheField name="Apr 2025(KRW)" numFmtId="0">
      <sharedItems containsString="0" containsBlank="1" containsNumber="1" containsInteger="1" minValue="-328202" maxValue="4428010767"/>
    </cacheField>
    <cacheField name="May 2025(KRW)" numFmtId="0">
      <sharedItems containsString="0" containsBlank="1" containsNumber="1" containsInteger="1" minValue="0" maxValue="4701917367"/>
    </cacheField>
    <cacheField name="June 2025(KRW)" numFmtId="0">
      <sharedItems containsString="0" containsBlank="1" containsNumber="1" containsInteger="1" minValue="0" maxValue="4320249892"/>
    </cacheField>
    <cacheField name="July 2025(KRW)" numFmtId="176">
      <sharedItems containsString="0" containsBlank="1" containsNumber="1" containsInteger="1" minValue="0" maxValue="4678136410"/>
    </cacheField>
    <cacheField name="Aug 2025(KRW)" numFmtId="176">
      <sharedItems containsString="0" containsBlank="1" containsNumber="1" containsInteger="1" minValue="0" maxValue="4783980440"/>
    </cacheField>
    <cacheField name="Sep 2025(KRW)" numFmtId="176">
      <sharedItems containsString="0" containsBlank="1" containsNumber="1" containsInteger="1" minValue="0" maxValue="6998787602"/>
    </cacheField>
    <cacheField name="Oct 2025(KRW)" numFmtId="176">
      <sharedItems containsString="0" containsBlank="1" containsNumber="1" minValue="0" maxValue="4395710086"/>
    </cacheField>
    <cacheField name=" Nov 2025(KRW) " numFmtId="176">
      <sharedItems containsString="0" containsBlank="1" containsNumber="1" minValue="0" maxValue="4158358621"/>
    </cacheField>
    <cacheField name="Dec 2025(KRW) " numFmtId="176">
      <sharedItems containsString="0" containsBlank="1" containsNumber="1" containsInteger="1" minValue="-699878760" maxValue="4287447886"/>
    </cacheField>
    <cacheField name="Jan 2026(KRW)" numFmtId="176">
      <sharedItems containsString="0" containsBlank="1" containsNumber="1" containsInteger="1" minValue="-699878760" maxValue="4227437468"/>
    </cacheField>
    <cacheField name="Feb 2026(KRW)" numFmtId="176">
      <sharedItems containsString="0" containsBlank="1" containsNumber="1" containsInteger="1" minValue="-699878760" maxValue="4082632942"/>
    </cacheField>
    <cacheField name="Mar 2026(KRW)" numFmtId="176">
      <sharedItems containsSemiMixedTypes="0" containsString="0" containsNumber="1" containsInteger="1" minValue="-699878760" maxValue="4142739853"/>
    </cacheField>
    <cacheField name="Mar 2026 (USD or KRW)" numFmtId="0">
      <sharedItems containsString="0" containsBlank="1" containsNumber="1" minValue="-699878760" maxValue="4142739853"/>
    </cacheField>
    <cacheField name="Diff (KRW)_x000a_(this month - last month)" numFmtId="179">
      <sharedItems containsSemiMixedTypes="0" containsString="0" containsNumber="1" containsInteger="1" minValue="-1816191169" maxValue="661264918"/>
    </cacheField>
    <cacheField name="Diff rate" numFmtId="180">
      <sharedItems containsMixedTypes="1" containsNumber="1" minValue="-1" maxValue="638394.19999999995"/>
    </cacheField>
    <cacheField name="Entity Code" numFmtId="0">
      <sharedItems containsMixedTypes="1" containsNumber="1" containsInteger="1" minValue="1000" maxValue="6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x v="0"/>
    <x v="0"/>
    <x v="0"/>
    <x v="0"/>
    <x v="0"/>
    <n v="101269"/>
    <s v="P100030073"/>
    <s v="Dark&amp;DarkerMoblie"/>
    <s v="김정언"/>
    <s v="김정언"/>
    <m/>
    <n v="176245"/>
    <n v="191794"/>
    <n v="12151797"/>
    <n v="1647138"/>
    <n v="998557"/>
    <n v="687485"/>
    <n v="656031"/>
    <n v="372478"/>
    <n v="371022"/>
    <n v="241926"/>
    <n v="56897"/>
    <n v="0"/>
    <m/>
    <n v="-56897"/>
    <n v="-1"/>
  </r>
  <r>
    <x v="0"/>
    <x v="0"/>
    <x v="0"/>
    <x v="0"/>
    <x v="1"/>
    <n v="101269"/>
    <s v="I100099999"/>
    <s v="NitroSmash"/>
    <s v="김정언"/>
    <s v="김정언"/>
    <m/>
    <m/>
    <m/>
    <m/>
    <m/>
    <m/>
    <n v="160"/>
    <n v="1"/>
    <n v="1"/>
    <n v="1"/>
    <n v="2"/>
    <n v="0"/>
    <n v="0"/>
    <m/>
    <n v="0"/>
    <s v=""/>
  </r>
  <r>
    <x v="0"/>
    <x v="0"/>
    <x v="1"/>
    <x v="1"/>
    <x v="2"/>
    <n v="100368"/>
    <s v="P100030014"/>
    <s v="NewStateMobile"/>
    <s v="김태완"/>
    <s v="김태완"/>
    <m/>
    <n v="7021942"/>
    <n v="6202222"/>
    <n v="6160035"/>
    <n v="6218633"/>
    <n v="6584628"/>
    <n v="5198312"/>
    <n v="6649060"/>
    <n v="6806509"/>
    <n v="5804815"/>
    <n v="6546446"/>
    <n v="5466648"/>
    <n v="0"/>
    <m/>
    <n v="-5466648"/>
    <n v="-1"/>
  </r>
  <r>
    <x v="0"/>
    <x v="0"/>
    <x v="0"/>
    <x v="2"/>
    <x v="1"/>
    <n v="100036"/>
    <s v="I100099999"/>
    <s v="IT Dept"/>
    <s v="백용원"/>
    <s v="백용원"/>
    <m/>
    <n v="9383"/>
    <n v="6736"/>
    <n v="6295"/>
    <n v="18686"/>
    <n v="0"/>
    <n v="0"/>
    <n v="0"/>
    <n v="0"/>
    <n v="22440"/>
    <n v="0"/>
    <n v="0"/>
    <n v="0"/>
    <m/>
    <n v="0"/>
    <s v=""/>
  </r>
  <r>
    <x v="0"/>
    <x v="0"/>
    <x v="0"/>
    <x v="3"/>
    <x v="3"/>
    <n v="100553"/>
    <s v="P100130012"/>
    <s v="PUBG India"/>
    <s v="이돈현"/>
    <s v="이돈현"/>
    <m/>
    <n v="435851161"/>
    <n v="717155429"/>
    <n v="534113519"/>
    <n v="921689465"/>
    <n v="689008671"/>
    <n v="899905653"/>
    <n v="599777963"/>
    <n v="865196956"/>
    <n v="616285601"/>
    <n v="844093018"/>
    <n v="380658986"/>
    <n v="0"/>
    <m/>
    <n v="-380658986"/>
    <n v="-1"/>
  </r>
  <r>
    <x v="0"/>
    <x v="0"/>
    <x v="0"/>
    <x v="2"/>
    <x v="1"/>
    <n v="100036"/>
    <s v="I100099999"/>
    <s v="Global Traffic Management"/>
    <s v="이윤슬"/>
    <s v="이윤슬"/>
    <m/>
    <n v="2850000"/>
    <n v="2850000"/>
    <n v="2850000"/>
    <n v="2850000"/>
    <n v="2850000"/>
    <n v="2850000"/>
    <n v="2850000"/>
    <n v="2850000"/>
    <n v="2850000"/>
    <n v="2850000"/>
    <n v="2850000"/>
    <n v="0"/>
    <m/>
    <n v="-2850000"/>
    <n v="-1"/>
  </r>
  <r>
    <x v="0"/>
    <x v="0"/>
    <x v="0"/>
    <x v="2"/>
    <x v="1"/>
    <n v="100036"/>
    <s v="I100099999"/>
    <s v="Protect&amp;Perform SOA with Premium"/>
    <s v="이윤슬"/>
    <s v="이윤슬"/>
    <m/>
    <n v="22950000"/>
    <n v="22950000"/>
    <n v="22950000"/>
    <n v="22950000"/>
    <n v="22950000"/>
    <n v="22950000"/>
    <n v="22950000"/>
    <n v="22950000"/>
    <n v="22950000"/>
    <n v="22950000"/>
    <n v="22950000"/>
    <n v="0"/>
    <m/>
    <n v="-22950000"/>
    <n v="-1"/>
  </r>
  <r>
    <x v="0"/>
    <x v="0"/>
    <x v="0"/>
    <x v="2"/>
    <x v="1"/>
    <n v="100036"/>
    <s v="I100099999"/>
    <s v="SSL Network Access-Third-party - VIP"/>
    <s v="이윤슬"/>
    <s v="이윤슬"/>
    <m/>
    <n v="250000"/>
    <n v="250000"/>
    <n v="250000"/>
    <n v="250000"/>
    <n v="250000"/>
    <n v="250000"/>
    <n v="250000"/>
    <n v="250000"/>
    <n v="250000"/>
    <n v="250000"/>
    <n v="250000"/>
    <n v="0"/>
    <m/>
    <n v="-250000"/>
    <n v="-1"/>
  </r>
  <r>
    <x v="0"/>
    <x v="0"/>
    <x v="0"/>
    <x v="4"/>
    <x v="4"/>
    <n v="100025"/>
    <s v="I100090813"/>
    <s v="GPP Dept"/>
    <s v="이의석"/>
    <s v="이의석"/>
    <m/>
    <n v="16500000"/>
    <n v="16500000"/>
    <n v="16500000"/>
    <n v="17302333"/>
    <n v="16500000"/>
    <n v="16500000"/>
    <n v="16500000"/>
    <n v="16500000"/>
    <n v="19189620"/>
    <n v="16500000"/>
    <n v="16500000"/>
    <n v="0"/>
    <m/>
    <n v="-16500000"/>
    <n v="-1"/>
  </r>
  <r>
    <x v="0"/>
    <x v="0"/>
    <x v="0"/>
    <x v="5"/>
    <x v="5"/>
    <n v="100414"/>
    <s v="P100010012"/>
    <s v="PUBG PC/Console"/>
    <s v="김정헌"/>
    <s v="최준석"/>
    <m/>
    <n v="1481654"/>
    <n v="1485849"/>
    <n v="1439358"/>
    <n v="1637229"/>
    <n v="1394062"/>
    <n v="1300651"/>
    <n v="1293148"/>
    <n v="1354057"/>
    <n v="1437475"/>
    <n v="1357700"/>
    <n v="1187780"/>
    <n v="0"/>
    <m/>
    <n v="-1187780"/>
    <n v="-1"/>
  </r>
  <r>
    <x v="1"/>
    <x v="1"/>
    <x v="2"/>
    <x v="6"/>
    <x v="6"/>
    <e v="#N/A"/>
    <e v="#N/A"/>
    <s v="aws_neptunez_011@neptunecompany.kr(026090535674)"/>
    <n v="0"/>
    <n v="0"/>
    <m/>
    <m/>
    <m/>
    <m/>
    <n v="67784"/>
    <n v="76989"/>
    <n v="68021"/>
    <n v="68041"/>
    <n v="66366"/>
    <n v="66982"/>
    <n v="64505"/>
    <n v="58502"/>
    <n v="0"/>
    <m/>
    <n v="-58502"/>
    <n v="-1"/>
  </r>
  <r>
    <x v="1"/>
    <x v="1"/>
    <x v="2"/>
    <x v="6"/>
    <x v="6"/>
    <e v="#N/A"/>
    <e v="#N/A"/>
    <s v="aws_neptunez_014@neptunecompany.kr(050451361628)"/>
    <n v="0"/>
    <n v="0"/>
    <m/>
    <m/>
    <m/>
    <m/>
    <n v="85058"/>
    <n v="184594"/>
    <n v="185569"/>
    <n v="204224"/>
    <n v="215941"/>
    <n v="196261"/>
    <n v="190910"/>
    <n v="179280"/>
    <n v="0"/>
    <m/>
    <n v="-179280"/>
    <n v="-1"/>
  </r>
  <r>
    <x v="1"/>
    <x v="1"/>
    <x v="2"/>
    <x v="6"/>
    <x v="6"/>
    <e v="#N/A"/>
    <e v="#N/A"/>
    <s v="aws_neptunez_010@neptunecompany.kr(061838255935)"/>
    <n v="0"/>
    <n v="0"/>
    <m/>
    <m/>
    <m/>
    <m/>
    <n v="6117985"/>
    <n v="6165927"/>
    <n v="5994083"/>
    <n v="6308585"/>
    <n v="6330290"/>
    <n v="6350407"/>
    <n v="6267648"/>
    <n v="6601501"/>
    <n v="0"/>
    <m/>
    <n v="-6601501"/>
    <n v="-1"/>
  </r>
  <r>
    <x v="1"/>
    <x v="1"/>
    <x v="2"/>
    <x v="6"/>
    <x v="6"/>
    <e v="#N/A"/>
    <e v="#N/A"/>
    <s v="aws_neptunez_015@neptunecompany.kr(112554631631)"/>
    <n v="0"/>
    <n v="0"/>
    <m/>
    <m/>
    <m/>
    <m/>
    <n v="102146"/>
    <n v="487316"/>
    <n v="481770"/>
    <n v="451285"/>
    <n v="2329481"/>
    <n v="1254770"/>
    <n v="669575"/>
    <n v="4790372"/>
    <n v="0"/>
    <m/>
    <n v="-4790372"/>
    <n v="-1"/>
  </r>
  <r>
    <x v="1"/>
    <x v="1"/>
    <x v="2"/>
    <x v="6"/>
    <x v="6"/>
    <e v="#N/A"/>
    <e v="#N/A"/>
    <s v="aws_neptunez_006@neptunecompany.kr(115255558787)"/>
    <n v="0"/>
    <n v="0"/>
    <m/>
    <m/>
    <m/>
    <m/>
    <n v="6659"/>
    <n v="19074"/>
    <n v="9966"/>
    <n v="10237"/>
    <n v="9923"/>
    <n v="156338"/>
    <n v="233436"/>
    <n v="145962"/>
    <n v="0"/>
    <m/>
    <n v="-145962"/>
    <n v="-1"/>
  </r>
  <r>
    <x v="1"/>
    <x v="1"/>
    <x v="2"/>
    <x v="6"/>
    <x v="6"/>
    <e v="#N/A"/>
    <e v="#N/A"/>
    <s v="aws_adx_005@adxcorp.kr(139869765471)"/>
    <n v="0"/>
    <n v="0"/>
    <m/>
    <m/>
    <m/>
    <m/>
    <n v="3707959"/>
    <n v="3735238"/>
    <n v="3645859"/>
    <n v="3796250"/>
    <n v="3809735"/>
    <n v="3804670"/>
    <n v="3772958"/>
    <n v="3535747"/>
    <n v="0"/>
    <m/>
    <n v="-3535747"/>
    <n v="-1"/>
  </r>
  <r>
    <x v="1"/>
    <x v="1"/>
    <x v="2"/>
    <x v="6"/>
    <x v="6"/>
    <e v="#N/A"/>
    <e v="#N/A"/>
    <s v="aws002@adpies.com(148930221833)"/>
    <n v="0"/>
    <n v="0"/>
    <m/>
    <m/>
    <m/>
    <m/>
    <n v="10195325"/>
    <n v="10254510"/>
    <n v="10229186"/>
    <n v="11118355"/>
    <n v="11159280"/>
    <n v="11306239"/>
    <n v="11186419"/>
    <n v="9463041"/>
    <n v="0"/>
    <m/>
    <n v="-9463041"/>
    <n v="-1"/>
  </r>
  <r>
    <x v="1"/>
    <x v="1"/>
    <x v="2"/>
    <x v="6"/>
    <x v="6"/>
    <e v="#N/A"/>
    <e v="#N/A"/>
    <s v="aws_neptunez_001@neptunecompany.kr(225171097108)"/>
    <n v="0"/>
    <n v="0"/>
    <m/>
    <m/>
    <m/>
    <m/>
    <n v="2393615"/>
    <n v="2224132"/>
    <n v="2247661"/>
    <n v="2419923"/>
    <n v="2414398"/>
    <n v="2459171"/>
    <n v="2362541"/>
    <n v="2103906"/>
    <n v="0"/>
    <m/>
    <n v="-2103906"/>
    <n v="-1"/>
  </r>
  <r>
    <x v="1"/>
    <x v="1"/>
    <x v="2"/>
    <x v="6"/>
    <x v="6"/>
    <e v="#N/A"/>
    <e v="#N/A"/>
    <s v="aws_nimbleneuron_001@nimbleneuron.com(286122363201)"/>
    <n v="0"/>
    <n v="0"/>
    <m/>
    <m/>
    <m/>
    <m/>
    <n v="99247972"/>
    <n v="100760033"/>
    <n v="76062119"/>
    <n v="88483326"/>
    <n v="94636395"/>
    <n v="92578957"/>
    <n v="93492141"/>
    <n v="90426830"/>
    <n v="0"/>
    <m/>
    <n v="-90426830"/>
    <n v="-1"/>
  </r>
  <r>
    <x v="1"/>
    <x v="1"/>
    <x v="2"/>
    <x v="6"/>
    <x v="6"/>
    <e v="#N/A"/>
    <e v="#N/A"/>
    <s v="aws003@adpies.com(298972228563)"/>
    <n v="0"/>
    <n v="0"/>
    <m/>
    <m/>
    <m/>
    <m/>
    <n v="900897"/>
    <n v="897076"/>
    <n v="871353"/>
    <n v="944926"/>
    <n v="929427"/>
    <n v="953233"/>
    <n v="892668"/>
    <n v="766961"/>
    <n v="0"/>
    <m/>
    <n v="-766961"/>
    <n v="-1"/>
  </r>
  <r>
    <x v="1"/>
    <x v="1"/>
    <x v="2"/>
    <x v="6"/>
    <x v="6"/>
    <e v="#N/A"/>
    <e v="#N/A"/>
    <s v="aws_adx_001@adxcorp.kr(302454496823)"/>
    <n v="0"/>
    <n v="0"/>
    <m/>
    <m/>
    <m/>
    <m/>
    <n v="18362681"/>
    <n v="18359745"/>
    <n v="17889520"/>
    <n v="19810937"/>
    <n v="22521870"/>
    <n v="23347104"/>
    <n v="21843596"/>
    <n v="17375608"/>
    <n v="0"/>
    <m/>
    <n v="-17375608"/>
    <n v="-1"/>
  </r>
  <r>
    <x v="1"/>
    <x v="1"/>
    <x v="2"/>
    <x v="6"/>
    <x v="6"/>
    <e v="#N/A"/>
    <e v="#N/A"/>
    <s v="aws_neptunez_013@neptunecompany.kr(418272792542)"/>
    <n v="0"/>
    <n v="0"/>
    <m/>
    <m/>
    <m/>
    <m/>
    <n v="1461696"/>
    <n v="1195494"/>
    <n v="1165929"/>
    <n v="1075621"/>
    <n v="673113"/>
    <n v="672933"/>
    <n v="651714"/>
    <n v="609933"/>
    <n v="0"/>
    <m/>
    <n v="-609933"/>
    <n v="-1"/>
  </r>
  <r>
    <x v="1"/>
    <x v="1"/>
    <x v="2"/>
    <x v="6"/>
    <x v="6"/>
    <e v="#N/A"/>
    <e v="#N/A"/>
    <s v="aws_neptunez_003@neptunecompany.kr(470771986881)"/>
    <n v="0"/>
    <n v="0"/>
    <m/>
    <m/>
    <m/>
    <m/>
    <n v="708774"/>
    <n v="707098"/>
    <n v="689832"/>
    <n v="743266"/>
    <n v="736703"/>
    <n v="748435"/>
    <n v="701507"/>
    <n v="620618"/>
    <n v="0"/>
    <m/>
    <n v="-620618"/>
    <n v="-1"/>
  </r>
  <r>
    <x v="1"/>
    <x v="1"/>
    <x v="2"/>
    <x v="6"/>
    <x v="6"/>
    <e v="#N/A"/>
    <e v="#N/A"/>
    <s v="aws_neptunez_008@neptunecompany.kr(490136080242)"/>
    <n v="0"/>
    <n v="0"/>
    <m/>
    <m/>
    <m/>
    <m/>
    <n v="4696747"/>
    <n v="1856183"/>
    <n v="4683881"/>
    <n v="1927214"/>
    <n v="1922466"/>
    <n v="2024021"/>
    <n v="11168121"/>
    <n v="1807656"/>
    <n v="0"/>
    <m/>
    <n v="-1807656"/>
    <n v="-1"/>
  </r>
  <r>
    <x v="1"/>
    <x v="1"/>
    <x v="2"/>
    <x v="6"/>
    <x v="6"/>
    <e v="#N/A"/>
    <e v="#N/A"/>
    <s v="aws_adx_007@adxcorp.kr(495653056399)"/>
    <n v="0"/>
    <n v="0"/>
    <m/>
    <m/>
    <m/>
    <m/>
    <n v="4392"/>
    <n v="10885"/>
    <n v="5102"/>
    <n v="5212"/>
    <n v="5091"/>
    <n v="4994"/>
    <n v="5153"/>
    <n v="4869"/>
    <n v="0"/>
    <m/>
    <n v="-4869"/>
    <n v="-1"/>
  </r>
  <r>
    <x v="1"/>
    <x v="1"/>
    <x v="2"/>
    <x v="6"/>
    <x v="6"/>
    <e v="#N/A"/>
    <e v="#N/A"/>
    <s v="aws001@adpies.com(542838461536)"/>
    <n v="0"/>
    <n v="0"/>
    <m/>
    <m/>
    <m/>
    <m/>
    <n v="25769575"/>
    <n v="25881979"/>
    <n v="25130570"/>
    <n v="26520566"/>
    <n v="26418486"/>
    <n v="26691780"/>
    <n v="26474500"/>
    <n v="23873735"/>
    <n v="0"/>
    <m/>
    <n v="-23873735"/>
    <n v="-1"/>
  </r>
  <r>
    <x v="1"/>
    <x v="1"/>
    <x v="2"/>
    <x v="6"/>
    <x v="6"/>
    <e v="#N/A"/>
    <e v="#N/A"/>
    <s v="aws_neptunez_009@neptunecompany.kr(566155726079)"/>
    <n v="0"/>
    <n v="0"/>
    <m/>
    <m/>
    <m/>
    <m/>
    <n v="1882623"/>
    <n v="1907472"/>
    <n v="1889046"/>
    <n v="1932963"/>
    <n v="1981456"/>
    <n v="1952861"/>
    <n v="22386598"/>
    <n v="1919682"/>
    <n v="0"/>
    <m/>
    <n v="-1919682"/>
    <n v="-1"/>
  </r>
  <r>
    <x v="1"/>
    <x v="1"/>
    <x v="2"/>
    <x v="6"/>
    <x v="6"/>
    <e v="#N/A"/>
    <e v="#N/A"/>
    <s v="aws_neptunez_007@neptunecompany.kr(619193641492)"/>
    <n v="0"/>
    <n v="0"/>
    <m/>
    <m/>
    <m/>
    <m/>
    <n v="10719927"/>
    <n v="9616153"/>
    <n v="8620189"/>
    <n v="10422163"/>
    <n v="10184786"/>
    <n v="10757638"/>
    <n v="10336035"/>
    <n v="9380767"/>
    <n v="0"/>
    <m/>
    <n v="-9380767"/>
    <n v="-1"/>
  </r>
  <r>
    <x v="1"/>
    <x v="1"/>
    <x v="2"/>
    <x v="6"/>
    <x v="6"/>
    <e v="#N/A"/>
    <e v="#N/A"/>
    <s v="aws004@adpies.com(637423399295)"/>
    <n v="0"/>
    <n v="0"/>
    <m/>
    <m/>
    <m/>
    <m/>
    <n v="2183253"/>
    <n v="2147822"/>
    <n v="2085562"/>
    <n v="2294815"/>
    <n v="2239185"/>
    <n v="2313401"/>
    <n v="2121487"/>
    <n v="1763184"/>
    <n v="0"/>
    <m/>
    <n v="-1763184"/>
    <n v="-1"/>
  </r>
  <r>
    <x v="1"/>
    <x v="1"/>
    <x v="2"/>
    <x v="6"/>
    <x v="6"/>
    <e v="#N/A"/>
    <e v="#N/A"/>
    <s v="aws_nimbleneuron_002@nimbleneuron.com(662873093770)"/>
    <n v="0"/>
    <n v="0"/>
    <m/>
    <m/>
    <m/>
    <m/>
    <n v="2385378"/>
    <n v="1942929"/>
    <n v="1751954"/>
    <n v="2469498"/>
    <n v="1930848"/>
    <n v="2286334"/>
    <n v="2554566"/>
    <n v="2070064"/>
    <n v="0"/>
    <m/>
    <n v="-2070064"/>
    <n v="-1"/>
  </r>
  <r>
    <x v="1"/>
    <x v="1"/>
    <x v="2"/>
    <x v="6"/>
    <x v="6"/>
    <e v="#N/A"/>
    <e v="#N/A"/>
    <s v="aws_adx_003@adxcorp.kr(765348431472)"/>
    <n v="0"/>
    <n v="0"/>
    <m/>
    <m/>
    <m/>
    <m/>
    <n v="2338429"/>
    <n v="2051754"/>
    <n v="1930885"/>
    <n v="2298205"/>
    <n v="2156992"/>
    <n v="2218858"/>
    <n v="2139444"/>
    <n v="1934424"/>
    <n v="0"/>
    <m/>
    <n v="-1934424"/>
    <n v="-1"/>
  </r>
  <r>
    <x v="1"/>
    <x v="1"/>
    <x v="2"/>
    <x v="6"/>
    <x v="6"/>
    <e v="#N/A"/>
    <e v="#N/A"/>
    <s v="aws_adx_002@adxcorp.kr(796181577313)"/>
    <n v="0"/>
    <n v="0"/>
    <m/>
    <m/>
    <m/>
    <m/>
    <n v="15739959"/>
    <n v="11897051"/>
    <n v="14014693"/>
    <n v="12523100"/>
    <n v="12159154"/>
    <n v="14756395"/>
    <n v="17951593"/>
    <n v="13279139"/>
    <n v="0"/>
    <m/>
    <n v="-13279139"/>
    <n v="-1"/>
  </r>
  <r>
    <x v="1"/>
    <x v="1"/>
    <x v="2"/>
    <x v="6"/>
    <x v="6"/>
    <e v="#N/A"/>
    <e v="#N/A"/>
    <s v="aws_neptunez_002@neptunecompany.kr(992306882093)"/>
    <n v="0"/>
    <n v="0"/>
    <m/>
    <m/>
    <m/>
    <m/>
    <n v="43983"/>
    <n v="50701"/>
    <n v="45451"/>
    <n v="47304"/>
    <n v="47421"/>
    <n v="47468"/>
    <n v="46733"/>
    <n v="45755"/>
    <n v="0"/>
    <m/>
    <n v="-45755"/>
    <n v="-1"/>
  </r>
  <r>
    <x v="1"/>
    <x v="1"/>
    <x v="2"/>
    <x v="6"/>
    <x v="6"/>
    <e v="#N/A"/>
    <e v="#N/A"/>
    <s v="aws_adx_008@adxcorp.kr(126271033811)"/>
    <n v="0"/>
    <n v="0"/>
    <m/>
    <m/>
    <m/>
    <m/>
    <m/>
    <n v="43207"/>
    <n v="1990105"/>
    <n v="2536230"/>
    <n v="4860583"/>
    <n v="5393691"/>
    <n v="2881278"/>
    <n v="2400417"/>
    <n v="0"/>
    <m/>
    <n v="-2400417"/>
    <n v="-1"/>
  </r>
  <r>
    <x v="1"/>
    <x v="1"/>
    <x v="2"/>
    <x v="6"/>
    <x v="6"/>
    <e v="#N/A"/>
    <e v="#N/A"/>
    <s v="aws_neptunez_016@neptunecompany.kr(904331955654)"/>
    <n v="0"/>
    <n v="0"/>
    <m/>
    <m/>
    <m/>
    <m/>
    <m/>
    <m/>
    <n v="43206"/>
    <n v="134536"/>
    <n v="139827"/>
    <n v="145072"/>
    <n v="146677"/>
    <n v="181822"/>
    <n v="0"/>
    <m/>
    <n v="-181822"/>
    <n v="-1"/>
  </r>
  <r>
    <x v="1"/>
    <x v="1"/>
    <x v="3"/>
    <x v="6"/>
    <x v="6"/>
    <e v="#N/A"/>
    <e v="#N/A"/>
    <s v="aws005@adpies.com(959790660922)"/>
    <n v="0"/>
    <n v="0"/>
    <m/>
    <m/>
    <m/>
    <m/>
    <m/>
    <m/>
    <m/>
    <m/>
    <m/>
    <n v="11550"/>
    <n v="155268"/>
    <n v="1090609"/>
    <n v="0"/>
    <m/>
    <n v="-1090609"/>
    <n v="-1"/>
  </r>
  <r>
    <x v="1"/>
    <x v="1"/>
    <x v="2"/>
    <x v="6"/>
    <x v="6"/>
    <e v="#N/A"/>
    <e v="#N/A"/>
    <s v="aws_adx_004@adxcorp.kr(142379511204)"/>
    <m/>
    <n v="0"/>
    <m/>
    <m/>
    <m/>
    <m/>
    <n v="266511"/>
    <n v="277368"/>
    <n v="262240"/>
    <n v="275974"/>
    <n v="274748"/>
    <n v="277807"/>
    <n v="276367"/>
    <n v="249269"/>
    <n v="0"/>
    <m/>
    <n v="-249269"/>
    <n v="-1"/>
  </r>
  <r>
    <x v="1"/>
    <x v="1"/>
    <x v="3"/>
    <x v="6"/>
    <x v="6"/>
    <e v="#N/A"/>
    <e v="#N/A"/>
    <s v="aws_neptunez_017@neptunecompany.kr(048148187150)"/>
    <m/>
    <n v="0"/>
    <m/>
    <m/>
    <m/>
    <m/>
    <m/>
    <m/>
    <m/>
    <m/>
    <m/>
    <m/>
    <n v="22081"/>
    <n v="72433"/>
    <n v="0"/>
    <m/>
    <n v="-72433"/>
    <n v="-1"/>
  </r>
  <r>
    <x v="1"/>
    <x v="1"/>
    <x v="3"/>
    <x v="6"/>
    <x v="6"/>
    <e v="#N/A"/>
    <e v="#N/A"/>
    <s v="aws_neptunez_018@neptunecompany.kr(187383762797)"/>
    <n v="0"/>
    <n v="0"/>
    <m/>
    <m/>
    <m/>
    <m/>
    <m/>
    <m/>
    <m/>
    <m/>
    <m/>
    <m/>
    <m/>
    <n v="10870"/>
    <n v="0"/>
    <m/>
    <n v="-10870"/>
    <n v="-1"/>
  </r>
  <r>
    <x v="1"/>
    <x v="0"/>
    <x v="4"/>
    <x v="7"/>
    <x v="7"/>
    <n v="330046"/>
    <e v="#N/A"/>
    <s v="aws-omni-gw-project@krafton.com(023182678822)"/>
    <s v="강동혁"/>
    <s v="강동혁"/>
    <m/>
    <m/>
    <m/>
    <m/>
    <m/>
    <n v="808"/>
    <n v="14506"/>
    <n v="16318"/>
    <n v="12535"/>
    <n v="13166"/>
    <n v="13112"/>
    <n v="11112"/>
    <n v="0"/>
    <m/>
    <n v="-11112"/>
    <n v="-1"/>
  </r>
  <r>
    <x v="1"/>
    <x v="0"/>
    <x v="0"/>
    <x v="2"/>
    <x v="1"/>
    <n v="100036"/>
    <s v="I100099999"/>
    <s v="aws-itsd-live@krafton.com(493888979037)"/>
    <s v="강준수"/>
    <s v="강준수"/>
    <m/>
    <m/>
    <n v="1734943"/>
    <n v="2242473"/>
    <n v="2803218"/>
    <n v="2335492"/>
    <n v="2298789"/>
    <n v="2644468"/>
    <n v="1601185"/>
    <n v="1588700"/>
    <n v="1456514"/>
    <n v="1280242"/>
    <n v="0"/>
    <m/>
    <n v="-1280242"/>
    <n v="-1"/>
  </r>
  <r>
    <x v="1"/>
    <x v="2"/>
    <x v="5"/>
    <x v="8"/>
    <x v="8"/>
    <n v="101216"/>
    <s v="I100090817"/>
    <s v="aws_krafton-service-dev-project@bluehole.net(921970894603)"/>
    <s v="권승진"/>
    <s v="박준규"/>
    <m/>
    <n v="14295747"/>
    <n v="14525020"/>
    <n v="15729050"/>
    <n v="17535570"/>
    <n v="17842263"/>
    <n v="18912195"/>
    <n v="19650581"/>
    <n v="17815676"/>
    <n v="20659940"/>
    <n v="21967984"/>
    <n v="22633853"/>
    <n v="0"/>
    <m/>
    <n v="-22633853"/>
    <n v="-1"/>
  </r>
  <r>
    <x v="1"/>
    <x v="0"/>
    <x v="0"/>
    <x v="8"/>
    <x v="8"/>
    <n v="101216"/>
    <s v="I100090817"/>
    <s v="aws-dld-artgen-project@krafton.com(253613562216)"/>
    <s v="권승진"/>
    <s v="권승진"/>
    <m/>
    <m/>
    <m/>
    <m/>
    <n v="288833"/>
    <n v="993031"/>
    <n v="1031380"/>
    <n v="1095577"/>
    <n v="1068589"/>
    <n v="318738"/>
    <n v="0"/>
    <n v="0"/>
    <n v="0"/>
    <m/>
    <n v="0"/>
    <s v=""/>
  </r>
  <r>
    <x v="1"/>
    <x v="0"/>
    <x v="0"/>
    <x v="9"/>
    <x v="8"/>
    <n v="101904"/>
    <s v="I100090817"/>
    <s v="aws-rl-project@krafton.com(533267122378)"/>
    <s v="권태환"/>
    <s v="권태환"/>
    <m/>
    <n v="28490244"/>
    <n v="21062169"/>
    <n v="18248643"/>
    <n v="21070856"/>
    <n v="30386976"/>
    <n v="25070220"/>
    <n v="50465830"/>
    <n v="52098241"/>
    <n v="58812021"/>
    <n v="45957739"/>
    <n v="44398725"/>
    <n v="0"/>
    <m/>
    <n v="-44398725"/>
    <n v="-1"/>
  </r>
  <r>
    <x v="1"/>
    <x v="0"/>
    <x v="0"/>
    <x v="10"/>
    <x v="1"/>
    <n v="100810"/>
    <s v="I100099999"/>
    <s v="aws-krafton-dld-applied@bluehole.net(847366387031)"/>
    <s v="김동원"/>
    <s v="김동원"/>
    <m/>
    <n v="3225032"/>
    <n v="4680785"/>
    <n v="10020054"/>
    <n v="101953933"/>
    <n v="5369336"/>
    <n v="8350990"/>
    <n v="6674984"/>
    <n v="8248963"/>
    <n v="5531763"/>
    <n v="3703059"/>
    <n v="974465"/>
    <n v="0"/>
    <m/>
    <n v="-974465"/>
    <n v="-1"/>
  </r>
  <r>
    <x v="1"/>
    <x v="2"/>
    <x v="5"/>
    <x v="11"/>
    <x v="1"/>
    <n v="100677"/>
    <s v="I100099999"/>
    <s v="aws_de_mturk@krafton.com(036022206166)"/>
    <s v="김범수"/>
    <s v="김범수"/>
    <m/>
    <n v="5769"/>
    <n v="6535"/>
    <n v="14339"/>
    <n v="5980"/>
    <n v="11207"/>
    <n v="8576"/>
    <n v="9012"/>
    <n v="9819"/>
    <n v="1937257"/>
    <n v="1917819"/>
    <n v="3078092"/>
    <n v="0"/>
    <m/>
    <n v="-3078092"/>
    <n v="-1"/>
  </r>
  <r>
    <x v="1"/>
    <x v="0"/>
    <x v="0"/>
    <x v="12"/>
    <x v="1"/>
    <n v="101568"/>
    <s v="I100099999"/>
    <s v="aws-ksb-project@krafton.com(347301642618)"/>
    <s v="김상범"/>
    <s v="김상범"/>
    <m/>
    <m/>
    <m/>
    <m/>
    <m/>
    <m/>
    <m/>
    <m/>
    <m/>
    <m/>
    <m/>
    <n v="14951"/>
    <n v="0"/>
    <m/>
    <n v="-14951"/>
    <n v="-1"/>
  </r>
  <r>
    <x v="1"/>
    <x v="0"/>
    <x v="0"/>
    <x v="13"/>
    <x v="1"/>
    <n v="101323"/>
    <s v="I100099999"/>
    <s v="aws-qa-project@krafton.com(500294430830)"/>
    <s v="김수진"/>
    <s v="김수진"/>
    <m/>
    <m/>
    <m/>
    <m/>
    <m/>
    <m/>
    <n v="0"/>
    <n v="2548"/>
    <n v="21744"/>
    <n v="8603"/>
    <n v="10483"/>
    <n v="8969"/>
    <n v="0"/>
    <m/>
    <n v="-8969"/>
    <n v="-1"/>
  </r>
  <r>
    <x v="1"/>
    <x v="3"/>
    <x v="6"/>
    <x v="14"/>
    <x v="1"/>
    <n v="110069"/>
    <s v="I100099999"/>
    <s v="aws-bluehole-qdev@bluehole.net(065855168285)"/>
    <s v="김승훈"/>
    <s v="김승훈"/>
    <m/>
    <m/>
    <m/>
    <m/>
    <n v="10092"/>
    <n v="12163"/>
    <n v="8375"/>
    <n v="9106"/>
    <n v="9704"/>
    <n v="8690"/>
    <n v="10663"/>
    <n v="9125"/>
    <n v="0"/>
    <m/>
    <n v="-9125"/>
    <n v="-1"/>
  </r>
  <r>
    <x v="1"/>
    <x v="0"/>
    <x v="0"/>
    <x v="2"/>
    <x v="1"/>
    <n v="100036"/>
    <s v="I100099999"/>
    <s v="aws_bcp_prd@bluehole.net(439802505510)"/>
    <s v="김승훈"/>
    <s v="김승훈"/>
    <m/>
    <n v="5244968"/>
    <n v="5134845"/>
    <n v="5039340"/>
    <n v="5308753"/>
    <n v="5447553"/>
    <n v="5572764"/>
    <n v="6727361"/>
    <n v="7513091"/>
    <n v="13408344"/>
    <n v="14033032"/>
    <n v="13099289"/>
    <n v="0"/>
    <m/>
    <n v="-13099289"/>
    <n v="-1"/>
  </r>
  <r>
    <x v="1"/>
    <x v="0"/>
    <x v="0"/>
    <x v="2"/>
    <x v="1"/>
    <n v="100036"/>
    <s v="I100099999"/>
    <s v="aws-it-devops-prd@krafton.com(785459729416)"/>
    <s v="김승훈"/>
    <s v="김승훈"/>
    <m/>
    <m/>
    <m/>
    <m/>
    <n v="14052"/>
    <n v="13464"/>
    <n v="8590"/>
    <n v="9078"/>
    <n v="9675"/>
    <n v="8664"/>
    <n v="10556"/>
    <n v="9176"/>
    <n v="0"/>
    <m/>
    <n v="-9176"/>
    <n v="-1"/>
  </r>
  <r>
    <x v="1"/>
    <x v="0"/>
    <x v="0"/>
    <x v="2"/>
    <x v="1"/>
    <n v="100036"/>
    <s v="I100099999"/>
    <s v="aws-it-devops-stg@krafton.com(432637347936)"/>
    <s v="김승훈"/>
    <s v="김승훈"/>
    <m/>
    <m/>
    <m/>
    <m/>
    <n v="12882"/>
    <n v="13491"/>
    <n v="8645"/>
    <n v="9028"/>
    <n v="9862"/>
    <n v="8674"/>
    <n v="10576"/>
    <n v="9086"/>
    <n v="0"/>
    <m/>
    <n v="-9086"/>
    <n v="-1"/>
  </r>
  <r>
    <x v="1"/>
    <x v="0"/>
    <x v="0"/>
    <x v="15"/>
    <x v="1"/>
    <n v="100009"/>
    <s v="I100099999"/>
    <s v="aws-krafton-qdev@krafton.com(251425313820)"/>
    <s v="김승훈"/>
    <s v="김승훈"/>
    <m/>
    <m/>
    <m/>
    <m/>
    <n v="5416"/>
    <n v="13005"/>
    <n v="9236"/>
    <n v="9054"/>
    <n v="10076"/>
    <n v="9096"/>
    <n v="11034"/>
    <n v="9433"/>
    <n v="0"/>
    <m/>
    <n v="-9433"/>
    <n v="-1"/>
  </r>
  <r>
    <x v="1"/>
    <x v="0"/>
    <x v="7"/>
    <x v="15"/>
    <x v="1"/>
    <n v="100009"/>
    <s v="I100099999"/>
    <s v="aws-pubg-qdev@pubg.com(442897381348)"/>
    <s v="김승훈"/>
    <s v="김승훈"/>
    <m/>
    <m/>
    <m/>
    <m/>
    <n v="10892"/>
    <n v="12297"/>
    <n v="8289"/>
    <n v="9024"/>
    <n v="9770"/>
    <n v="8711"/>
    <n v="10786"/>
    <n v="9145"/>
    <n v="0"/>
    <m/>
    <n v="-9145"/>
    <n v="-1"/>
  </r>
  <r>
    <x v="1"/>
    <x v="0"/>
    <x v="0"/>
    <x v="16"/>
    <x v="4"/>
    <n v="101685"/>
    <s v="I100090813"/>
    <s v="aws-ppd-ai@krafton.com(831635639393)"/>
    <s v="김시훈"/>
    <s v="김시훈"/>
    <m/>
    <m/>
    <m/>
    <m/>
    <m/>
    <m/>
    <m/>
    <m/>
    <m/>
    <m/>
    <n v="45112"/>
    <n v="948054"/>
    <n v="0"/>
    <m/>
    <n v="-948054"/>
    <n v="-1"/>
  </r>
  <r>
    <x v="1"/>
    <x v="0"/>
    <x v="8"/>
    <x v="17"/>
    <x v="9"/>
    <n v="107017"/>
    <s v="P100010146"/>
    <s v="aws-project-orion@krafton.com(691210492244)"/>
    <s v="김영제"/>
    <s v="김영제"/>
    <m/>
    <m/>
    <m/>
    <m/>
    <m/>
    <m/>
    <m/>
    <m/>
    <m/>
    <m/>
    <n v="370274"/>
    <n v="1789499"/>
    <n v="0"/>
    <m/>
    <n v="-1789499"/>
    <n v="-1"/>
  </r>
  <r>
    <x v="1"/>
    <x v="0"/>
    <x v="0"/>
    <x v="18"/>
    <x v="1"/>
    <n v="101721"/>
    <s v="I100099999"/>
    <s v="Bhaws_dbdev@bluehole.net(581185314323)"/>
    <s v="김완건"/>
    <s v="이재혁"/>
    <m/>
    <n v="627111"/>
    <n v="623446"/>
    <n v="344218"/>
    <n v="247965"/>
    <n v="402041"/>
    <n v="534168"/>
    <n v="14570"/>
    <n v="396474"/>
    <n v="721916"/>
    <n v="762804"/>
    <n v="221569"/>
    <n v="0"/>
    <m/>
    <n v="-221569"/>
    <n v="-1"/>
  </r>
  <r>
    <x v="1"/>
    <x v="0"/>
    <x v="0"/>
    <x v="19"/>
    <x v="8"/>
    <n v="102043"/>
    <s v="I100090817"/>
    <s v="aws-AtoZ-dev@krafton.com(859616339670)"/>
    <s v="김재욱"/>
    <s v="김재욱"/>
    <m/>
    <m/>
    <m/>
    <m/>
    <m/>
    <m/>
    <n v="247867"/>
    <n v="2494074"/>
    <n v="3871203"/>
    <n v="5241928"/>
    <n v="9199750"/>
    <n v="8452612"/>
    <n v="0"/>
    <m/>
    <n v="-8452612"/>
    <n v="-1"/>
  </r>
  <r>
    <x v="1"/>
    <x v="0"/>
    <x v="9"/>
    <x v="20"/>
    <x v="1"/>
    <n v="500001"/>
    <s v="I100099999"/>
    <s v="aws-inzoi-qdev@inzoistudio.com(536808117055)"/>
    <s v="김재윤"/>
    <s v="김재윤"/>
    <m/>
    <m/>
    <m/>
    <m/>
    <m/>
    <n v="13122"/>
    <n v="6871"/>
    <n v="8940"/>
    <n v="9704"/>
    <n v="8751"/>
    <n v="10884"/>
    <n v="9443"/>
    <n v="0"/>
    <m/>
    <n v="-9443"/>
    <n v="-1"/>
  </r>
  <r>
    <x v="1"/>
    <x v="0"/>
    <x v="0"/>
    <x v="2"/>
    <x v="1"/>
    <n v="100036"/>
    <s v="I100099999"/>
    <s v="aws-krafton-security@bluehole.net(205564184489)"/>
    <s v="김재윤"/>
    <s v="김재윤"/>
    <m/>
    <n v="2293280"/>
    <n v="3275943"/>
    <n v="3298731"/>
    <n v="5685020"/>
    <n v="14442360"/>
    <n v="14867976"/>
    <n v="12184791"/>
    <n v="19663350"/>
    <n v="25853249"/>
    <n v="19541828"/>
    <n v="17418802"/>
    <n v="0"/>
    <m/>
    <n v="-17418802"/>
    <n v="-1"/>
  </r>
  <r>
    <x v="1"/>
    <x v="0"/>
    <x v="0"/>
    <x v="21"/>
    <x v="1"/>
    <n v="100037"/>
    <s v="I100099999"/>
    <s v="aws-krafton-website@krafton.com(266265462265)"/>
    <s v="김재윤"/>
    <s v="김재윤"/>
    <m/>
    <m/>
    <m/>
    <m/>
    <m/>
    <m/>
    <n v="230411"/>
    <n v="989577"/>
    <n v="1622821"/>
    <n v="5222058"/>
    <n v="5763091"/>
    <n v="7013142"/>
    <n v="0"/>
    <m/>
    <n v="-7013142"/>
    <n v="-1"/>
  </r>
  <r>
    <x v="1"/>
    <x v="0"/>
    <x v="0"/>
    <x v="2"/>
    <x v="1"/>
    <n v="100036"/>
    <s v="I100099999"/>
    <s v="Bhaws_ginnosvn@bluehole.net(377253795420)"/>
    <s v="김재윤"/>
    <s v="김재윤"/>
    <m/>
    <n v="51668369"/>
    <n v="37650429"/>
    <n v="51462075"/>
    <n v="55087742"/>
    <n v="55489929"/>
    <n v="39726281"/>
    <n v="56436355"/>
    <n v="52936222"/>
    <n v="56280486"/>
    <n v="53503473"/>
    <n v="41783033"/>
    <n v="0"/>
    <m/>
    <n v="-41783033"/>
    <n v="-1"/>
  </r>
  <r>
    <x v="1"/>
    <x v="0"/>
    <x v="0"/>
    <x v="2"/>
    <x v="1"/>
    <n v="100036"/>
    <s v="I100099999"/>
    <s v="bhs_swlc@bluehole.net(846451077710)"/>
    <s v="김재윤"/>
    <s v="김재윤"/>
    <m/>
    <n v="602392"/>
    <n v="589795"/>
    <n v="615934"/>
    <n v="704299"/>
    <n v="755667"/>
    <n v="834702"/>
    <n v="809674"/>
    <n v="945327"/>
    <n v="876932"/>
    <n v="1025730"/>
    <n v="886245"/>
    <n v="0"/>
    <m/>
    <n v="-886245"/>
    <n v="-1"/>
  </r>
  <r>
    <x v="1"/>
    <x v="0"/>
    <x v="0"/>
    <x v="22"/>
    <x v="1"/>
    <n v="101712"/>
    <s v="I100099999"/>
    <s v="AWS_between.dev@krafton.com(616709738515)"/>
    <s v="김재현"/>
    <s v="김재현"/>
    <m/>
    <n v="217070"/>
    <n v="799019"/>
    <n v="792837"/>
    <n v="939615"/>
    <n v="1327074"/>
    <n v="1391627"/>
    <n v="1497582"/>
    <n v="1515281"/>
    <n v="1595865"/>
    <n v="1116148"/>
    <n v="134854"/>
    <n v="0"/>
    <m/>
    <n v="-134854"/>
    <n v="-1"/>
  </r>
  <r>
    <x v="1"/>
    <x v="0"/>
    <x v="0"/>
    <x v="22"/>
    <x v="1"/>
    <n v="101712"/>
    <s v="I100099999"/>
    <s v="storyplay.prod@thingsflow.com(303682502270)"/>
    <s v="김재현"/>
    <s v="김재현"/>
    <m/>
    <n v="334149"/>
    <n v="1233122"/>
    <n v="1210475"/>
    <n v="1235227"/>
    <n v="1259259"/>
    <n v="1267847"/>
    <n v="1317418"/>
    <n v="1260376"/>
    <n v="1620676"/>
    <n v="1407145"/>
    <n v="302765"/>
    <n v="0"/>
    <m/>
    <n v="-302765"/>
    <n v="-1"/>
  </r>
  <r>
    <x v="1"/>
    <x v="0"/>
    <x v="0"/>
    <x v="0"/>
    <x v="1"/>
    <n v="101269"/>
    <s v="I100099999"/>
    <s v="aws-archeryking-india-prod@krafton.com(730335306083)"/>
    <s v="김정언"/>
    <s v="김정언"/>
    <m/>
    <n v="135651"/>
    <n v="279302"/>
    <n v="165836"/>
    <n v="194339"/>
    <n v="199411"/>
    <n v="935224"/>
    <n v="90222"/>
    <n v="54626"/>
    <n v="102737"/>
    <n v="50291"/>
    <n v="39483"/>
    <n v="0"/>
    <m/>
    <n v="-39483"/>
    <n v="-1"/>
  </r>
  <r>
    <x v="1"/>
    <x v="0"/>
    <x v="0"/>
    <x v="0"/>
    <x v="1"/>
    <n v="101269"/>
    <s v="I100099999"/>
    <s v="aws-cookierun-india-prod@krafton.com(533267124897)"/>
    <s v="김정언"/>
    <s v="김정언"/>
    <m/>
    <n v="8426889"/>
    <n v="7967321"/>
    <n v="7575324"/>
    <n v="7595913"/>
    <n v="6149865"/>
    <n v="5589626"/>
    <n v="5765285"/>
    <n v="7994981"/>
    <n v="8912421"/>
    <n v="5694750"/>
    <n v="3503136"/>
    <n v="0"/>
    <m/>
    <n v="-3503136"/>
    <n v="-1"/>
  </r>
  <r>
    <x v="1"/>
    <x v="0"/>
    <x v="0"/>
    <x v="0"/>
    <x v="1"/>
    <n v="101269"/>
    <s v="I100099999"/>
    <s v="aws-esports-india-prod@bluehole.net(730335249414)"/>
    <s v="김정언"/>
    <s v="김정언"/>
    <m/>
    <n v="4583980"/>
    <n v="4342019"/>
    <n v="4832293"/>
    <n v="5348761"/>
    <n v="5393517"/>
    <n v="5623604"/>
    <n v="6846989"/>
    <n v="5593088"/>
    <n v="7348663"/>
    <n v="7271842"/>
    <n v="7168145"/>
    <n v="0"/>
    <m/>
    <n v="-7168145"/>
    <n v="-1"/>
  </r>
  <r>
    <x v="1"/>
    <x v="0"/>
    <x v="0"/>
    <x v="0"/>
    <x v="0"/>
    <n v="101269"/>
    <s v="P100030073"/>
    <s v="aws-krafton-ddm-prod@bluehole.net(654654271845)"/>
    <s v="김정언"/>
    <s v="김정언"/>
    <m/>
    <n v="39666227"/>
    <n v="49115042"/>
    <n v="144183752"/>
    <n v="129300080"/>
    <n v="121041949"/>
    <n v="111186356"/>
    <n v="99613624"/>
    <n v="98152807"/>
    <n v="102129450"/>
    <n v="76754350"/>
    <n v="14963822"/>
    <n v="0"/>
    <m/>
    <n v="-14963822"/>
    <n v="-1"/>
  </r>
  <r>
    <x v="1"/>
    <x v="0"/>
    <x v="0"/>
    <x v="0"/>
    <x v="0"/>
    <n v="101269"/>
    <s v="P100030073"/>
    <s v="aws-krafton-ddm-stg@bluehole.net(975050331843)"/>
    <s v="김정언"/>
    <s v="김정언"/>
    <m/>
    <n v="26823795"/>
    <n v="32284335"/>
    <n v="31821848"/>
    <n v="33058350"/>
    <n v="28614901"/>
    <n v="28668699"/>
    <n v="25623433"/>
    <n v="27341966"/>
    <n v="31217358"/>
    <n v="23531287"/>
    <n v="815346"/>
    <n v="0"/>
    <m/>
    <n v="-815346"/>
    <n v="-1"/>
  </r>
  <r>
    <x v="1"/>
    <x v="0"/>
    <x v="0"/>
    <x v="0"/>
    <x v="10"/>
    <n v="101269"/>
    <s v="P100030103"/>
    <s v="aws-R3india-stg@krafton.com(571600873674)"/>
    <s v="김정언"/>
    <s v="김정언"/>
    <m/>
    <n v="597463"/>
    <n v="342858"/>
    <n v="343282"/>
    <n v="251313"/>
    <n v="610024"/>
    <n v="2430250"/>
    <n v="369036"/>
    <n v="347690"/>
    <n v="454752"/>
    <n v="406290"/>
    <n v="280704"/>
    <n v="0"/>
    <m/>
    <n v="-280704"/>
    <n v="-1"/>
  </r>
  <r>
    <x v="1"/>
    <x v="0"/>
    <x v="0"/>
    <x v="0"/>
    <x v="1"/>
    <n v="101269"/>
    <s v="I100099999"/>
    <s v="aws-sed-ptpm@krafton.com(792479605411)"/>
    <s v="김정언"/>
    <s v="김정언"/>
    <m/>
    <m/>
    <m/>
    <n v="4955"/>
    <n v="614502"/>
    <n v="764256"/>
    <n v="160018"/>
    <n v="436864"/>
    <n v="426021"/>
    <n v="459070"/>
    <n v="461824"/>
    <n v="400797"/>
    <n v="0"/>
    <m/>
    <n v="-400797"/>
    <n v="-1"/>
  </r>
  <r>
    <x v="1"/>
    <x v="0"/>
    <x v="0"/>
    <x v="0"/>
    <x v="11"/>
    <n v="101269"/>
    <s v="P100030042"/>
    <s v="krafton-dd-live@krafton.com(271459992830)"/>
    <s v="김정언"/>
    <s v="이진호"/>
    <m/>
    <n v="13591124"/>
    <n v="12718349"/>
    <n v="9018727"/>
    <n v="4575704"/>
    <n v="4625992"/>
    <n v="4588542"/>
    <n v="2241491"/>
    <m/>
    <n v="0"/>
    <n v="0"/>
    <n v="0"/>
    <n v="0"/>
    <m/>
    <n v="0"/>
    <s v=""/>
  </r>
  <r>
    <x v="1"/>
    <x v="0"/>
    <x v="0"/>
    <x v="0"/>
    <x v="1"/>
    <n v="101269"/>
    <s v="I100099999"/>
    <s v="krafton-officialweb-india-prod@krafton.com(471112597609)"/>
    <s v="김정언"/>
    <s v="김정언"/>
    <m/>
    <n v="1160370"/>
    <n v="1128545"/>
    <n v="1058564"/>
    <n v="1114621"/>
    <n v="1170774"/>
    <n v="1112140"/>
    <n v="1139324"/>
    <n v="1168248"/>
    <n v="1174673"/>
    <n v="1167076"/>
    <n v="1059827"/>
    <n v="0"/>
    <m/>
    <n v="-1059827"/>
    <n v="-1"/>
  </r>
  <r>
    <x v="1"/>
    <x v="0"/>
    <x v="0"/>
    <x v="23"/>
    <x v="5"/>
    <n v="100355"/>
    <s v="P100010012"/>
    <s v="aws_pubg_platform@bluehole.net(017103636613)"/>
    <s v="김정헌"/>
    <s v="최준석"/>
    <m/>
    <n v="5304993"/>
    <n v="4752091"/>
    <n v="4466014"/>
    <n v="4570841"/>
    <n v="4437309"/>
    <n v="4379762"/>
    <n v="4801060"/>
    <n v="5447512"/>
    <n v="5817327"/>
    <n v="5718803"/>
    <n v="5370644"/>
    <n v="0"/>
    <m/>
    <n v="-5370644"/>
    <n v="-1"/>
  </r>
  <r>
    <x v="1"/>
    <x v="0"/>
    <x v="7"/>
    <x v="5"/>
    <x v="5"/>
    <n v="100414"/>
    <s v="P100010012"/>
    <s v="AWS_pubg-dev@pubg.com(423068853949)"/>
    <s v="김정헌"/>
    <s v="최준석"/>
    <m/>
    <n v="367086063"/>
    <n v="312515855"/>
    <n v="329158611"/>
    <n v="404531909"/>
    <n v="403926585"/>
    <n v="467304989"/>
    <n v="526362766"/>
    <n v="601252156"/>
    <n v="688362735"/>
    <n v="557711188"/>
    <n v="492471628"/>
    <n v="0"/>
    <m/>
    <n v="-492471628"/>
    <n v="-1"/>
  </r>
  <r>
    <x v="1"/>
    <x v="0"/>
    <x v="7"/>
    <x v="23"/>
    <x v="5"/>
    <n v="100355"/>
    <s v="P100010012"/>
    <s v="aws_pubg-devops@bluehole.net(974771722734)"/>
    <s v="김정헌"/>
    <s v="최준석"/>
    <m/>
    <n v="24152367"/>
    <n v="23582306"/>
    <n v="22009625"/>
    <n v="23519917"/>
    <n v="23654972"/>
    <n v="23464410"/>
    <n v="26023327"/>
    <n v="26218175"/>
    <n v="28490889"/>
    <n v="25774592"/>
    <n v="23049305"/>
    <n v="0"/>
    <m/>
    <n v="-23049305"/>
    <n v="-1"/>
  </r>
  <r>
    <x v="1"/>
    <x v="0"/>
    <x v="7"/>
    <x v="5"/>
    <x v="5"/>
    <n v="100414"/>
    <s v="P100010012"/>
    <s v="AWS_pubg-Esports@pubg.com(054649872353)"/>
    <s v="김정헌"/>
    <s v="최준석"/>
    <m/>
    <n v="47184788"/>
    <n v="45853707"/>
    <n v="42158618"/>
    <n v="45045851"/>
    <n v="44344802"/>
    <n v="43448123"/>
    <n v="47003015"/>
    <n v="45493075"/>
    <n v="48448779"/>
    <n v="45265114"/>
    <n v="35569694"/>
    <n v="0"/>
    <m/>
    <n v="-35569694"/>
    <n v="-1"/>
  </r>
  <r>
    <x v="1"/>
    <x v="0"/>
    <x v="7"/>
    <x v="5"/>
    <x v="5"/>
    <n v="100414"/>
    <s v="P100010012"/>
    <s v="AWS_pubg-playground@pubg.com(338204589111)"/>
    <s v="김정헌"/>
    <s v="최준석"/>
    <m/>
    <n v="5937358"/>
    <n v="10975803"/>
    <n v="11894295"/>
    <n v="9013930"/>
    <n v="6221276"/>
    <n v="5782838"/>
    <n v="5417598"/>
    <n v="3794818"/>
    <n v="3784720"/>
    <n v="3625689"/>
    <n v="6225816"/>
    <n v="0"/>
    <m/>
    <n v="-6225816"/>
    <n v="-1"/>
  </r>
  <r>
    <x v="1"/>
    <x v="0"/>
    <x v="7"/>
    <x v="5"/>
    <x v="5"/>
    <n v="100414"/>
    <s v="P100010012"/>
    <s v="aws-pubg-odapi@bluehole.net(731155034380)"/>
    <s v="김정헌"/>
    <s v="최준석"/>
    <m/>
    <n v="18381335"/>
    <n v="13647032"/>
    <n v="15848904"/>
    <n v="16235703"/>
    <n v="15168502"/>
    <n v="13902869"/>
    <n v="14490754"/>
    <n v="14716389"/>
    <n v="15767097"/>
    <n v="15621198"/>
    <n v="13658792"/>
    <n v="0"/>
    <m/>
    <n v="-13658792"/>
    <n v="-1"/>
  </r>
  <r>
    <x v="1"/>
    <x v="0"/>
    <x v="7"/>
    <x v="5"/>
    <x v="5"/>
    <n v="100414"/>
    <s v="P100010012"/>
    <s v="aws-pubgstudios-central@pubg.com(038462770692)"/>
    <s v="김정헌"/>
    <s v="최준석"/>
    <m/>
    <n v="5436"/>
    <n v="6212"/>
    <n v="295985"/>
    <n v="1515575"/>
    <n v="1859655"/>
    <n v="3920082"/>
    <n v="5254058"/>
    <n v="7813616"/>
    <n v="9213329"/>
    <n v="7988074"/>
    <n v="7646568"/>
    <n v="0"/>
    <m/>
    <n v="-7646568"/>
    <n v="-1"/>
  </r>
  <r>
    <x v="1"/>
    <x v="0"/>
    <x v="7"/>
    <x v="5"/>
    <x v="5"/>
    <n v="100414"/>
    <s v="P100010012"/>
    <s v="BHAWS_BRO@bluehole.net(628917336532)"/>
    <s v="김정헌"/>
    <s v="최준석"/>
    <m/>
    <n v="4712030"/>
    <n v="4236873"/>
    <n v="3820745"/>
    <n v="3966196"/>
    <n v="3967383"/>
    <n v="3654372"/>
    <n v="3388768"/>
    <n v="3490510"/>
    <n v="3399585"/>
    <n v="1398520"/>
    <n v="39932"/>
    <n v="0"/>
    <m/>
    <n v="-39932"/>
    <n v="-1"/>
  </r>
  <r>
    <x v="1"/>
    <x v="0"/>
    <x v="7"/>
    <x v="5"/>
    <x v="5"/>
    <n v="100414"/>
    <s v="P100010012"/>
    <s v="bhaws_pubgpclitelive@bluehole.net(923284402284)"/>
    <s v="김정헌"/>
    <s v="최준석"/>
    <m/>
    <n v="5012902"/>
    <n v="4846331"/>
    <n v="4785298"/>
    <n v="14830847"/>
    <n v="1557894"/>
    <n v="1539793"/>
    <n v="1592954"/>
    <n v="1636886"/>
    <n v="1613205"/>
    <n v="1161227"/>
    <n v="360559"/>
    <n v="0"/>
    <m/>
    <n v="-360559"/>
    <n v="-1"/>
  </r>
  <r>
    <x v="1"/>
    <x v="0"/>
    <x v="7"/>
    <x v="5"/>
    <x v="5"/>
    <n v="100414"/>
    <s v="P100010012"/>
    <s v="pubg_pc_live@bluehole.net(792630841427)"/>
    <s v="김정헌"/>
    <s v="최준석"/>
    <m/>
    <n v="730602753"/>
    <n v="832368536"/>
    <n v="807586524"/>
    <n v="854878169"/>
    <n v="798508852"/>
    <n v="749084864"/>
    <n v="794101665"/>
    <n v="840286844"/>
    <n v="801756930"/>
    <n v="911290061"/>
    <n v="615271646"/>
    <n v="0"/>
    <m/>
    <n v="-615271646"/>
    <n v="-1"/>
  </r>
  <r>
    <x v="1"/>
    <x v="0"/>
    <x v="7"/>
    <x v="5"/>
    <x v="5"/>
    <n v="100414"/>
    <s v="P100010012"/>
    <s v="pubg_psn_retail@bluehole.net(646628557157)"/>
    <s v="김정헌"/>
    <s v="최준석"/>
    <m/>
    <n v="332433"/>
    <n v="336423"/>
    <n v="370557"/>
    <n v="362064"/>
    <n v="411267"/>
    <n v="399846"/>
    <n v="421236"/>
    <n v="429588"/>
    <n v="429559"/>
    <n v="329637"/>
    <n v="174322"/>
    <n v="0"/>
    <m/>
    <n v="-174322"/>
    <n v="-1"/>
  </r>
  <r>
    <x v="1"/>
    <x v="0"/>
    <x v="7"/>
    <x v="5"/>
    <x v="5"/>
    <n v="100414"/>
    <s v="P100010012"/>
    <s v="pubg_xbox_retail@bluehole.net(199866180985)"/>
    <s v="김정헌"/>
    <s v="최준석"/>
    <m/>
    <n v="165046106"/>
    <n v="157620343"/>
    <n v="141555721"/>
    <n v="173805778"/>
    <n v="133162674"/>
    <n v="127509370"/>
    <n v="136575637"/>
    <n v="101091902"/>
    <n v="97595346"/>
    <n v="93646066"/>
    <n v="79043592"/>
    <n v="0"/>
    <m/>
    <n v="-79043592"/>
    <n v="-1"/>
  </r>
  <r>
    <x v="1"/>
    <x v="0"/>
    <x v="0"/>
    <x v="24"/>
    <x v="1"/>
    <n v="100024"/>
    <s v="I100099999"/>
    <s v="aws_it-dev-ot-01@krafton.com(585980862501)"/>
    <s v="김주한"/>
    <s v="김주한"/>
    <m/>
    <m/>
    <m/>
    <m/>
    <m/>
    <m/>
    <m/>
    <m/>
    <m/>
    <n v="252601"/>
    <n v="432633"/>
    <n v="90580"/>
    <n v="0"/>
    <m/>
    <n v="-90580"/>
    <n v="-1"/>
  </r>
  <r>
    <x v="1"/>
    <x v="0"/>
    <x v="0"/>
    <x v="24"/>
    <x v="1"/>
    <n v="100024"/>
    <s v="I100099999"/>
    <s v="aws_it-dev-ot-02@krafton.com(997525377919)"/>
    <s v="김주한"/>
    <s v="김주한"/>
    <m/>
    <m/>
    <m/>
    <m/>
    <m/>
    <m/>
    <m/>
    <m/>
    <m/>
    <n v="167431"/>
    <n v="465435"/>
    <n v="274896"/>
    <n v="0"/>
    <m/>
    <n v="-274896"/>
    <n v="-1"/>
  </r>
  <r>
    <x v="1"/>
    <x v="0"/>
    <x v="0"/>
    <x v="24"/>
    <x v="1"/>
    <n v="100024"/>
    <s v="I100099999"/>
    <s v="aws_it-dev-ot-03@krafton.com(794383793399)"/>
    <s v="김주한"/>
    <s v="김주한"/>
    <m/>
    <m/>
    <m/>
    <m/>
    <m/>
    <m/>
    <m/>
    <m/>
    <m/>
    <n v="94509"/>
    <n v="473328"/>
    <n v="492975"/>
    <n v="0"/>
    <m/>
    <n v="-492975"/>
    <n v="-1"/>
  </r>
  <r>
    <x v="1"/>
    <x v="0"/>
    <x v="0"/>
    <x v="24"/>
    <x v="1"/>
    <n v="100024"/>
    <s v="I100099999"/>
    <s v="aws_it-dev-ot-04@krafton.com(252497419944)"/>
    <s v="김주한"/>
    <s v="김주한"/>
    <m/>
    <m/>
    <m/>
    <m/>
    <m/>
    <m/>
    <m/>
    <m/>
    <m/>
    <n v="175726"/>
    <n v="999907"/>
    <n v="866113"/>
    <n v="0"/>
    <m/>
    <n v="-866113"/>
    <n v="-1"/>
  </r>
  <r>
    <x v="1"/>
    <x v="0"/>
    <x v="0"/>
    <x v="24"/>
    <x v="1"/>
    <n v="100024"/>
    <s v="I100099999"/>
    <s v="aws-it-devops-dev@krafton.com(590636266953)"/>
    <s v="김주한"/>
    <s v="김주한"/>
    <m/>
    <m/>
    <m/>
    <m/>
    <n v="367203"/>
    <n v="3010111"/>
    <n v="4652174"/>
    <n v="4683506"/>
    <n v="8289762"/>
    <n v="13536695"/>
    <n v="14013845"/>
    <n v="12797429"/>
    <n v="0"/>
    <m/>
    <n v="-12797429"/>
    <n v="-1"/>
  </r>
  <r>
    <x v="1"/>
    <x v="0"/>
    <x v="0"/>
    <x v="25"/>
    <x v="1"/>
    <n v="100092"/>
    <s v="I100099999"/>
    <s v="bhaws_l10n@bluehole.net(432820731734)"/>
    <s v="김재헌"/>
    <s v="김진희"/>
    <m/>
    <n v="2534827"/>
    <n v="2515165"/>
    <n v="3039464"/>
    <n v="3468758"/>
    <n v="3209340"/>
    <n v="3328739"/>
    <n v="3650194"/>
    <n v="3604833"/>
    <n v="3684004"/>
    <n v="3564086"/>
    <n v="3245330"/>
    <n v="0"/>
    <m/>
    <n v="-3245330"/>
    <n v="-1"/>
  </r>
  <r>
    <x v="1"/>
    <x v="4"/>
    <x v="10"/>
    <x v="26"/>
    <x v="12"/>
    <e v="#N/A"/>
    <e v="#N/A"/>
    <s v="AWS_Dreamotion-Ronin@krafton.com(071872665424)"/>
    <s v="Ronin: The Last Samurai"/>
    <s v="류성중"/>
    <m/>
    <n v="1269203"/>
    <n v="1115503"/>
    <n v="1075700"/>
    <n v="1302948"/>
    <n v="1104698"/>
    <n v="1085000"/>
    <n v="1376322"/>
    <n v="1376876"/>
    <n v="1367556"/>
    <n v="1248339"/>
    <n v="1104470"/>
    <n v="0"/>
    <m/>
    <n v="-1104470"/>
    <n v="-1"/>
  </r>
  <r>
    <x v="1"/>
    <x v="4"/>
    <x v="10"/>
    <x v="26"/>
    <x v="13"/>
    <e v="#N/A"/>
    <e v="#N/A"/>
    <s v="AWS_Dreamotion-GunStrider@krafton.com(286067354613)"/>
    <s v="GunStrider: Tap Strike"/>
    <s v="류성중"/>
    <m/>
    <n v="93683"/>
    <n v="83727"/>
    <n v="87910"/>
    <n v="81718"/>
    <n v="88431"/>
    <n v="89268"/>
    <n v="89355"/>
    <n v="96054"/>
    <n v="87995"/>
    <n v="84221"/>
    <n v="76625"/>
    <n v="0"/>
    <m/>
    <n v="-76625"/>
    <n v="-1"/>
  </r>
  <r>
    <x v="1"/>
    <x v="4"/>
    <x v="10"/>
    <x v="26"/>
    <x v="14"/>
    <e v="#N/A"/>
    <e v="#N/A"/>
    <s v="AWS_Dreamotion-RoadToValor@krafton.com(531219453947)"/>
    <s v="Road to valor : world war2"/>
    <s v="류성중"/>
    <m/>
    <n v="1650339"/>
    <n v="1568594"/>
    <n v="1449646"/>
    <n v="1606994"/>
    <n v="1539701"/>
    <n v="1404477"/>
    <n v="1613721"/>
    <n v="1610654"/>
    <n v="1589427"/>
    <n v="1488166"/>
    <n v="1366984"/>
    <n v="0"/>
    <m/>
    <n v="-1366984"/>
    <n v="-1"/>
  </r>
  <r>
    <x v="1"/>
    <x v="4"/>
    <x v="10"/>
    <x v="26"/>
    <x v="15"/>
    <e v="#N/A"/>
    <e v="#N/A"/>
    <s v="AWS_Dreamotion-Empire@krafton.com(828925677153)"/>
    <s v="Road to Valor: Empire"/>
    <s v="류성중"/>
    <m/>
    <n v="1134222"/>
    <n v="991576"/>
    <n v="954507"/>
    <n v="1187771"/>
    <n v="989785"/>
    <n v="971495"/>
    <n v="1265010"/>
    <n v="1261521"/>
    <n v="1246848"/>
    <n v="1135164"/>
    <n v="988449"/>
    <n v="0"/>
    <m/>
    <n v="-988449"/>
    <n v="-1"/>
  </r>
  <r>
    <x v="1"/>
    <x v="4"/>
    <x v="10"/>
    <x v="6"/>
    <x v="6"/>
    <e v="#N/A"/>
    <e v="#N/A"/>
    <s v="aws-dreamotion-joust@dreamotion.us(068011097273)"/>
    <m/>
    <s v="류성중"/>
    <m/>
    <m/>
    <m/>
    <m/>
    <m/>
    <m/>
    <m/>
    <m/>
    <m/>
    <m/>
    <n v="72457"/>
    <n v="95581"/>
    <n v="0"/>
    <m/>
    <n v="-95581"/>
    <n v="-1"/>
  </r>
  <r>
    <x v="1"/>
    <x v="0"/>
    <x v="0"/>
    <x v="21"/>
    <x v="1"/>
    <n v="100037"/>
    <s v="I100099999"/>
    <s v="aws-krafton-ses@krafton.com(723528227774)"/>
    <s v="박상윤"/>
    <s v="박상윤"/>
    <m/>
    <m/>
    <m/>
    <m/>
    <m/>
    <m/>
    <m/>
    <m/>
    <m/>
    <m/>
    <n v="14788"/>
    <n v="4762"/>
    <n v="0"/>
    <m/>
    <n v="-4762"/>
    <n v="-1"/>
  </r>
  <r>
    <x v="1"/>
    <x v="0"/>
    <x v="0"/>
    <x v="27"/>
    <x v="1"/>
    <n v="101671"/>
    <s v="I100099999"/>
    <s v="aws-artdept-ali-project@krafton.com(568307822597)"/>
    <s v="박수진"/>
    <s v="박수진"/>
    <m/>
    <m/>
    <m/>
    <m/>
    <m/>
    <m/>
    <m/>
    <m/>
    <m/>
    <m/>
    <n v="115867"/>
    <n v="336409"/>
    <n v="0"/>
    <m/>
    <n v="-336409"/>
    <n v="-1"/>
  </r>
  <r>
    <x v="1"/>
    <x v="0"/>
    <x v="0"/>
    <x v="28"/>
    <x v="1"/>
    <n v="100935"/>
    <s v="I100099999"/>
    <s v="aws-cg-deadline-dev@krafton.com(432439355307)"/>
    <s v="박종률"/>
    <s v="박종률"/>
    <m/>
    <m/>
    <m/>
    <m/>
    <m/>
    <m/>
    <n v="9373"/>
    <n v="8904"/>
    <n v="9848"/>
    <n v="8695"/>
    <n v="6198"/>
    <n v="0"/>
    <n v="0"/>
    <m/>
    <n v="0"/>
    <s v=""/>
  </r>
  <r>
    <x v="1"/>
    <x v="0"/>
    <x v="7"/>
    <x v="29"/>
    <x v="16"/>
    <n v="100415"/>
    <s v="P100010096"/>
    <s v="aws-pubg-ad-ml-project@pubg.com(495599767820)"/>
    <s v="박종민"/>
    <s v="박종민"/>
    <m/>
    <n v="34603"/>
    <n v="35794"/>
    <n v="43351"/>
    <n v="43463"/>
    <n v="59076"/>
    <n v="63778"/>
    <n v="25226"/>
    <n v="24644"/>
    <n v="28469"/>
    <n v="44045"/>
    <n v="44879"/>
    <n v="0"/>
    <m/>
    <n v="-44879"/>
    <n v="-1"/>
  </r>
  <r>
    <x v="1"/>
    <x v="0"/>
    <x v="0"/>
    <x v="30"/>
    <x v="1"/>
    <n v="107005"/>
    <s v="I100099999"/>
    <s v="aws-dld-ai-service-engineering@krafton.com(778870726140)"/>
    <s v="박준규"/>
    <s v="박준규"/>
    <m/>
    <m/>
    <m/>
    <m/>
    <n v="102927"/>
    <n v="604513"/>
    <n v="773135"/>
    <n v="845095"/>
    <n v="835478"/>
    <n v="854916"/>
    <n v="813392"/>
    <n v="690047"/>
    <n v="0"/>
    <m/>
    <n v="-690047"/>
    <n v="-1"/>
  </r>
  <r>
    <x v="1"/>
    <x v="0"/>
    <x v="7"/>
    <x v="31"/>
    <x v="17"/>
    <n v="101716"/>
    <s v="P100030851"/>
    <s v="aws_india_publishing@bluehole.net(397907563279)"/>
    <s v="박지현"/>
    <s v="박지현"/>
    <m/>
    <n v="5451"/>
    <n v="6193"/>
    <n v="14057"/>
    <n v="5893"/>
    <n v="11055"/>
    <n v="8537"/>
    <n v="9001"/>
    <n v="9888"/>
    <n v="8685"/>
    <n v="10668"/>
    <n v="9183"/>
    <n v="0"/>
    <m/>
    <n v="-9183"/>
    <n v="-1"/>
  </r>
  <r>
    <x v="1"/>
    <x v="3"/>
    <x v="6"/>
    <x v="32"/>
    <x v="18"/>
    <n v="110024"/>
    <s v="P100020001"/>
    <s v="bhaws_da@bluehole.net(218248172704)"/>
    <s v="류현덕"/>
    <s v="안영근"/>
    <m/>
    <n v="3739744"/>
    <n v="3703676"/>
    <n v="3767571"/>
    <n v="4143783"/>
    <n v="4037664"/>
    <n v="4124630"/>
    <n v="5237935"/>
    <n v="4551990"/>
    <n v="5141418"/>
    <n v="4943169"/>
    <n v="4353760"/>
    <n v="0"/>
    <m/>
    <n v="-4353760"/>
    <n v="-1"/>
  </r>
  <r>
    <x v="1"/>
    <x v="3"/>
    <x v="6"/>
    <x v="32"/>
    <x v="18"/>
    <n v="110024"/>
    <s v="P100020001"/>
    <s v="bhaws_da2@bluehole.net(456601888123)"/>
    <s v="류현덕"/>
    <s v="안영근"/>
    <m/>
    <n v="19583"/>
    <n v="19894"/>
    <n v="27562"/>
    <n v="19227"/>
    <n v="25598"/>
    <n v="23403"/>
    <n v="24131"/>
    <n v="25283"/>
    <n v="23664"/>
    <n v="25522"/>
    <n v="23903"/>
    <n v="0"/>
    <m/>
    <n v="-23903"/>
    <n v="-1"/>
  </r>
  <r>
    <x v="1"/>
    <x v="3"/>
    <x v="6"/>
    <x v="33"/>
    <x v="18"/>
    <n v="110119"/>
    <s v="P100020001"/>
    <s v="bhaws_teraconsoleps@bluehole.net(569142980887)"/>
    <s v="배인성"/>
    <s v="배인성"/>
    <m/>
    <n v="18673"/>
    <n v="19408"/>
    <n v="26778"/>
    <n v="18767"/>
    <n v="25900"/>
    <n v="22842"/>
    <n v="24111"/>
    <n v="24685"/>
    <n v="23601"/>
    <n v="25588"/>
    <n v="19249"/>
    <n v="0"/>
    <m/>
    <n v="-19249"/>
    <n v="-1"/>
  </r>
  <r>
    <x v="1"/>
    <x v="3"/>
    <x v="6"/>
    <x v="33"/>
    <x v="18"/>
    <n v="110119"/>
    <s v="P100020001"/>
    <s v="bhaws_teraconsolex@bluehole.net(765398988201)"/>
    <s v="배인성"/>
    <s v="배인성"/>
    <m/>
    <n v="2496767"/>
    <n v="2460196"/>
    <n v="2493688"/>
    <n v="2539951"/>
    <n v="2530942"/>
    <n v="2444289"/>
    <n v="2436708"/>
    <n v="2499811"/>
    <n v="2499581"/>
    <n v="2510577"/>
    <n v="2435581"/>
    <n v="0"/>
    <m/>
    <n v="-2435581"/>
    <n v="-1"/>
  </r>
  <r>
    <x v="1"/>
    <x v="0"/>
    <x v="0"/>
    <x v="34"/>
    <x v="19"/>
    <n v="101145"/>
    <s v="I100090820"/>
    <s v="aws-jungle-lms@bluehole.net(628687605365)"/>
    <s v="백승현"/>
    <s v="백승현"/>
    <m/>
    <n v="2110885"/>
    <n v="2070050"/>
    <n v="2045969"/>
    <n v="2140690"/>
    <n v="2173643"/>
    <n v="2169225"/>
    <n v="3011886"/>
    <n v="2929026"/>
    <n v="3075940"/>
    <n v="3120163"/>
    <n v="2968714"/>
    <n v="0"/>
    <m/>
    <n v="-2968714"/>
    <n v="-1"/>
  </r>
  <r>
    <x v="1"/>
    <x v="0"/>
    <x v="0"/>
    <x v="35"/>
    <x v="1"/>
    <n v="100552"/>
    <s v="I100099999"/>
    <s v="aws-talent-acquisition-team@krafton.com(796973503901)"/>
    <s v="변현지"/>
    <s v="변현지"/>
    <m/>
    <n v="5459"/>
    <n v="6469"/>
    <n v="14481"/>
    <n v="6505"/>
    <n v="11663"/>
    <n v="9349"/>
    <n v="9284"/>
    <n v="10678"/>
    <n v="11240"/>
    <n v="11565"/>
    <n v="9877"/>
    <n v="0"/>
    <m/>
    <n v="-9877"/>
    <n v="-1"/>
  </r>
  <r>
    <x v="1"/>
    <x v="0"/>
    <x v="0"/>
    <x v="36"/>
    <x v="4"/>
    <n v="101313"/>
    <s v="I100090813"/>
    <s v="aws-ppm-project@krafton.com(619042035740)"/>
    <s v="서강석"/>
    <s v="서강석"/>
    <m/>
    <m/>
    <m/>
    <m/>
    <m/>
    <m/>
    <m/>
    <m/>
    <m/>
    <m/>
    <m/>
    <n v="110982"/>
    <n v="0"/>
    <m/>
    <n v="-110982"/>
    <n v="-1"/>
  </r>
  <r>
    <x v="1"/>
    <x v="0"/>
    <x v="11"/>
    <x v="37"/>
    <x v="20"/>
    <n v="150107"/>
    <s v="P100020081"/>
    <s v="aws-msn-valor-prod@pubg.com(061309713406)"/>
    <s v="송영재"/>
    <s v="송영재"/>
    <m/>
    <m/>
    <m/>
    <m/>
    <m/>
    <n v="46272"/>
    <n v="469680"/>
    <n v="1287275"/>
    <n v="4005361"/>
    <n v="4938647"/>
    <n v="4348298"/>
    <n v="4418959"/>
    <n v="0"/>
    <m/>
    <n v="-4418959"/>
    <n v="-1"/>
  </r>
  <r>
    <x v="1"/>
    <x v="0"/>
    <x v="0"/>
    <x v="4"/>
    <x v="4"/>
    <n v="100025"/>
    <s v="I100090813"/>
    <s v="aws_krafton_id@bluehole.net(853221784203)"/>
    <s v="신근우"/>
    <s v="신근우"/>
    <m/>
    <n v="66918516"/>
    <n v="62954383"/>
    <n v="44294844"/>
    <n v="50179558"/>
    <n v="55992370"/>
    <n v="63412696"/>
    <n v="66946988"/>
    <n v="65622863"/>
    <n v="71243757"/>
    <n v="65973314"/>
    <n v="53607916"/>
    <n v="0"/>
    <m/>
    <n v="-53607916"/>
    <n v="-1"/>
  </r>
  <r>
    <x v="1"/>
    <x v="0"/>
    <x v="0"/>
    <x v="4"/>
    <x v="4"/>
    <n v="100025"/>
    <s v="I100090813"/>
    <s v="AWS_napubtech-prod@bluehole.net(088833367732)"/>
    <s v="신근우"/>
    <s v="신근우"/>
    <m/>
    <n v="16681846"/>
    <n v="16239086"/>
    <n v="14014268"/>
    <n v="16069905"/>
    <n v="15756664"/>
    <n v="14705559"/>
    <n v="15585459"/>
    <n v="15858055"/>
    <n v="17363473"/>
    <n v="14639135"/>
    <n v="12405001"/>
    <n v="0"/>
    <m/>
    <n v="-12405001"/>
    <n v="-1"/>
  </r>
  <r>
    <x v="1"/>
    <x v="0"/>
    <x v="0"/>
    <x v="4"/>
    <x v="4"/>
    <n v="100025"/>
    <s v="I100090813"/>
    <s v="AWS_napubtech-stage@bluehole.net(510906392559)"/>
    <s v="신근우"/>
    <s v="신근우"/>
    <m/>
    <n v="164066"/>
    <n v="20962"/>
    <n v="24950"/>
    <n v="16035"/>
    <n v="21296"/>
    <n v="18446"/>
    <n v="18544"/>
    <n v="19483"/>
    <n v="9129"/>
    <n v="0"/>
    <n v="0"/>
    <n v="0"/>
    <m/>
    <n v="0"/>
    <s v=""/>
  </r>
  <r>
    <x v="1"/>
    <x v="0"/>
    <x v="0"/>
    <x v="4"/>
    <x v="4"/>
    <n v="100025"/>
    <s v="I100090813"/>
    <s v="aws-gpp-sandbox@krafton.com(043143570760)"/>
    <s v="신근우"/>
    <s v="신근우"/>
    <m/>
    <n v="87835"/>
    <n v="108433"/>
    <n v="64056"/>
    <n v="57505"/>
    <n v="61527"/>
    <n v="109873"/>
    <n v="77806"/>
    <n v="87248"/>
    <n v="290283"/>
    <n v="294940"/>
    <n v="267787"/>
    <n v="0"/>
    <m/>
    <n v="-267787"/>
    <n v="-1"/>
  </r>
  <r>
    <x v="1"/>
    <x v="0"/>
    <x v="0"/>
    <x v="4"/>
    <x v="1"/>
    <n v="100025"/>
    <s v="I100099999"/>
    <s v="aws-kcn@krafton.com(864899862642)"/>
    <s v="신근우"/>
    <s v="신근우"/>
    <m/>
    <n v="1758430"/>
    <n v="1774859"/>
    <n v="1736575"/>
    <n v="2515690"/>
    <n v="2700912"/>
    <n v="2663657"/>
    <n v="3113945"/>
    <n v="2983325"/>
    <n v="3062313"/>
    <n v="4288402"/>
    <n v="6245999"/>
    <n v="0"/>
    <m/>
    <n v="-6245999"/>
    <n v="-1"/>
  </r>
  <r>
    <x v="1"/>
    <x v="0"/>
    <x v="0"/>
    <x v="4"/>
    <x v="1"/>
    <n v="100025"/>
    <s v="I100099999"/>
    <s v="aws-kos-qa@krafton.com(436400223144)"/>
    <s v="신근우"/>
    <s v="신근우"/>
    <m/>
    <n v="1223"/>
    <n v="2944"/>
    <n v="14031"/>
    <n v="5929"/>
    <n v="10782"/>
    <n v="8465"/>
    <n v="8940"/>
    <n v="9874"/>
    <n v="8803"/>
    <n v="20623"/>
    <n v="13007"/>
    <n v="0"/>
    <m/>
    <n v="-13007"/>
    <n v="-1"/>
  </r>
  <r>
    <x v="1"/>
    <x v="0"/>
    <x v="0"/>
    <x v="4"/>
    <x v="4"/>
    <n v="100025"/>
    <s v="I100090813"/>
    <s v="aws-kos@krafton.com(821843679442)"/>
    <s v="신근우"/>
    <s v="신근우"/>
    <m/>
    <n v="167399428"/>
    <n v="130620641"/>
    <n v="130376913"/>
    <n v="143390980"/>
    <n v="146068145"/>
    <n v="145347863"/>
    <n v="153541008"/>
    <n v="162289386"/>
    <n v="174830814"/>
    <n v="172006732"/>
    <n v="148867817"/>
    <n v="0"/>
    <m/>
    <n v="-148867817"/>
    <n v="-1"/>
  </r>
  <r>
    <x v="1"/>
    <x v="2"/>
    <x v="5"/>
    <x v="11"/>
    <x v="8"/>
    <n v="100677"/>
    <s v="I100090817"/>
    <s v="pubgawsresearch@bluehole.net(397523987293)"/>
    <s v="심재한"/>
    <s v="심재한"/>
    <m/>
    <n v="-328202"/>
    <n v="23328212"/>
    <n v="31382789"/>
    <n v="55438969"/>
    <n v="1603916"/>
    <n v="21633922"/>
    <n v="2807701"/>
    <n v="14400111"/>
    <n v="7520491"/>
    <n v="32788507"/>
    <n v="39193969"/>
    <n v="0"/>
    <m/>
    <n v="-39193969"/>
    <n v="-1"/>
  </r>
  <r>
    <x v="1"/>
    <x v="0"/>
    <x v="7"/>
    <x v="38"/>
    <x v="21"/>
    <n v="101294"/>
    <s v="P100030012"/>
    <s v="aws-pubg-mobile-global@pubg.com(889174276570)"/>
    <s v="심재한"/>
    <s v="심재한"/>
    <m/>
    <m/>
    <m/>
    <m/>
    <n v="14139"/>
    <n v="33528"/>
    <n v="14781"/>
    <n v="9880"/>
    <n v="10606"/>
    <n v="9597"/>
    <n v="11566"/>
    <n v="2186718"/>
    <n v="0"/>
    <m/>
    <n v="-2186718"/>
    <n v="-1"/>
  </r>
  <r>
    <x v="1"/>
    <x v="0"/>
    <x v="0"/>
    <x v="18"/>
    <x v="5"/>
    <n v="101721"/>
    <s v="P100010012"/>
    <s v="aws_esports_streaming@bluehole.net(559478286890)"/>
    <s v="안연주"/>
    <s v="안연주"/>
    <m/>
    <n v="2826739"/>
    <n v="2817722"/>
    <n v="2727336"/>
    <n v="2845993"/>
    <n v="2883454"/>
    <n v="3008796"/>
    <n v="2956316"/>
    <n v="2739119"/>
    <n v="3008046"/>
    <n v="3093269"/>
    <n v="2983882"/>
    <n v="0"/>
    <m/>
    <n v="-2983882"/>
    <n v="-1"/>
  </r>
  <r>
    <x v="1"/>
    <x v="0"/>
    <x v="0"/>
    <x v="18"/>
    <x v="1"/>
    <n v="101721"/>
    <s v="I100099999"/>
    <s v="aws-service-close@krafton.com(786684642177)"/>
    <s v="안연주"/>
    <s v="안연주"/>
    <m/>
    <m/>
    <m/>
    <m/>
    <m/>
    <n v="12557"/>
    <n v="488220"/>
    <n v="982437"/>
    <n v="306400"/>
    <n v="304473"/>
    <n v="304754"/>
    <n v="285358"/>
    <n v="0"/>
    <m/>
    <n v="-285358"/>
    <n v="-1"/>
  </r>
  <r>
    <x v="1"/>
    <x v="0"/>
    <x v="0"/>
    <x v="18"/>
    <x v="22"/>
    <n v="101721"/>
    <s v="P100010066"/>
    <s v="aws-sn2-prod@krafton.com(811725779888)"/>
    <s v="안연주"/>
    <s v="안연주"/>
    <m/>
    <m/>
    <m/>
    <n v="1161331"/>
    <n v="206336"/>
    <n v="66413"/>
    <n v="99507"/>
    <n v="1049075"/>
    <n v="1018354"/>
    <n v="1056585"/>
    <n v="965739"/>
    <n v="1006846"/>
    <n v="0"/>
    <m/>
    <n v="-1006846"/>
    <n v="-1"/>
  </r>
  <r>
    <x v="1"/>
    <x v="0"/>
    <x v="0"/>
    <x v="18"/>
    <x v="22"/>
    <n v="101721"/>
    <s v="P100010066"/>
    <s v="aws-sn2-qa@krafton.com(230030983947)"/>
    <s v="안연주"/>
    <s v="안연주"/>
    <m/>
    <n v="147594"/>
    <n v="1980166"/>
    <n v="5332782"/>
    <n v="4768448"/>
    <n v="23577"/>
    <n v="135957"/>
    <n v="3112919"/>
    <n v="4384740"/>
    <n v="4705714"/>
    <n v="4495378"/>
    <n v="4766146"/>
    <n v="0"/>
    <m/>
    <n v="-4766146"/>
    <n v="-1"/>
  </r>
  <r>
    <x v="1"/>
    <x v="0"/>
    <x v="0"/>
    <x v="18"/>
    <x v="23"/>
    <n v="101721"/>
    <s v="P100010842"/>
    <s v="aws-zeta-prod@krafton.com(494249241819)"/>
    <s v="안연주"/>
    <s v="안연주"/>
    <m/>
    <m/>
    <m/>
    <m/>
    <m/>
    <m/>
    <m/>
    <m/>
    <n v="4639865"/>
    <n v="337367"/>
    <n v="12054752"/>
    <n v="6879192"/>
    <n v="0"/>
    <m/>
    <n v="-6879192"/>
    <n v="-1"/>
  </r>
  <r>
    <x v="1"/>
    <x v="0"/>
    <x v="0"/>
    <x v="18"/>
    <x v="23"/>
    <n v="101721"/>
    <s v="P100010842"/>
    <s v="aws-zeta-qa@krafton.com(633350148323)"/>
    <s v="안연주"/>
    <s v="안연주"/>
    <m/>
    <n v="17954"/>
    <n v="786948"/>
    <n v="2251252"/>
    <n v="2577413"/>
    <n v="3259350"/>
    <n v="5158343"/>
    <n v="5861986"/>
    <n v="6266277"/>
    <n v="6678906"/>
    <n v="4920593"/>
    <n v="7029427"/>
    <n v="0"/>
    <m/>
    <n v="-7029427"/>
    <n v="-1"/>
  </r>
  <r>
    <x v="1"/>
    <x v="0"/>
    <x v="0"/>
    <x v="18"/>
    <x v="24"/>
    <n v="101721"/>
    <s v="P100010055"/>
    <s v="aws-zoiworld-qa@krafton.com(150239773202)"/>
    <s v="안연주"/>
    <s v="안연주"/>
    <m/>
    <m/>
    <m/>
    <m/>
    <m/>
    <m/>
    <n v="7070"/>
    <n v="467696"/>
    <n v="1051493"/>
    <n v="1460019"/>
    <n v="2097111"/>
    <n v="2843218"/>
    <n v="0"/>
    <m/>
    <n v="-2843218"/>
    <n v="-1"/>
  </r>
  <r>
    <x v="1"/>
    <x v="0"/>
    <x v="12"/>
    <x v="39"/>
    <x v="1"/>
    <n v="490003"/>
    <s v="I100099999"/>
    <s v="aws-tango-web@krafton.com(987475141870)"/>
    <s v="안연주"/>
    <s v="안연주"/>
    <m/>
    <n v="487422"/>
    <n v="859734"/>
    <n v="863859"/>
    <n v="852610"/>
    <n v="859209"/>
    <n v="819580"/>
    <n v="875797"/>
    <n v="865537"/>
    <n v="913051"/>
    <n v="863269"/>
    <n v="766731"/>
    <n v="0"/>
    <m/>
    <n v="-766731"/>
    <n v="-1"/>
  </r>
  <r>
    <x v="1"/>
    <x v="0"/>
    <x v="0"/>
    <x v="40"/>
    <x v="24"/>
    <n v="100033"/>
    <s v="P100010055"/>
    <s v="aws-inzoi-common@krafton.com(599079318802)"/>
    <s v="양장수"/>
    <s v="양장수"/>
    <m/>
    <n v="1965"/>
    <n v="9811"/>
    <n v="25420"/>
    <n v="22468"/>
    <n v="31678"/>
    <n v="32573"/>
    <n v="33470"/>
    <n v="33467"/>
    <n v="39422"/>
    <n v="41044"/>
    <n v="42064"/>
    <n v="0"/>
    <m/>
    <n v="-42064"/>
    <n v="-1"/>
  </r>
  <r>
    <x v="1"/>
    <x v="0"/>
    <x v="0"/>
    <x v="40"/>
    <x v="24"/>
    <n v="100033"/>
    <s v="P100010055"/>
    <s v="aws-inzoi-perf@krafton.com(480311998431)"/>
    <s v="양장수"/>
    <s v="양장수"/>
    <m/>
    <n v="681"/>
    <n v="1789"/>
    <n v="14185"/>
    <n v="6071"/>
    <n v="11375"/>
    <n v="12109"/>
    <n v="12580"/>
    <n v="12445"/>
    <n v="16371"/>
    <n v="18121"/>
    <n v="18594"/>
    <n v="0"/>
    <m/>
    <n v="-18594"/>
    <n v="-1"/>
  </r>
  <r>
    <x v="1"/>
    <x v="0"/>
    <x v="0"/>
    <x v="40"/>
    <x v="24"/>
    <n v="100033"/>
    <s v="P100010055"/>
    <s v="aws-inzoi-prod-qa@krafton.com(891376979083)"/>
    <s v="양장수"/>
    <s v="양장수"/>
    <m/>
    <n v="12786794"/>
    <n v="13210297"/>
    <n v="11143442"/>
    <n v="10665714"/>
    <n v="10213917"/>
    <n v="9558208"/>
    <n v="7391692"/>
    <n v="7669978"/>
    <n v="7806571"/>
    <n v="7647060"/>
    <n v="7119816"/>
    <n v="0"/>
    <m/>
    <n v="-7119816"/>
    <n v="-1"/>
  </r>
  <r>
    <x v="1"/>
    <x v="0"/>
    <x v="0"/>
    <x v="40"/>
    <x v="24"/>
    <n v="100033"/>
    <s v="P100010055"/>
    <s v="aws-inzoi-prod@krafton.com(767397839450)"/>
    <s v="양장수"/>
    <s v="양장수"/>
    <m/>
    <n v="50845989"/>
    <n v="37763223"/>
    <n v="28058132"/>
    <n v="26371235"/>
    <n v="24054089"/>
    <n v="21124024"/>
    <n v="23868136"/>
    <n v="36787545"/>
    <n v="35861855"/>
    <n v="22864519"/>
    <n v="17008134"/>
    <n v="0"/>
    <m/>
    <n v="-17008134"/>
    <n v="-1"/>
  </r>
  <r>
    <x v="1"/>
    <x v="0"/>
    <x v="0"/>
    <x v="40"/>
    <x v="24"/>
    <n v="100033"/>
    <s v="P100010055"/>
    <s v="aws-inzoi-ps@krafton.com(875212670009)"/>
    <s v="양장수"/>
    <s v="양장수"/>
    <m/>
    <m/>
    <n v="2288"/>
    <n v="12407"/>
    <n v="5915"/>
    <n v="11622"/>
    <n v="11773"/>
    <n v="12198"/>
    <n v="12068"/>
    <n v="16864"/>
    <n v="18111"/>
    <n v="18451"/>
    <n v="0"/>
    <m/>
    <n v="-18451"/>
    <n v="-1"/>
  </r>
  <r>
    <x v="1"/>
    <x v="0"/>
    <x v="0"/>
    <x v="41"/>
    <x v="1"/>
    <n v="101505"/>
    <s v="I100099999"/>
    <s v="aws-publishing-qa@krfaton.com(512692426877)"/>
    <s v="양준식"/>
    <s v="양준식"/>
    <m/>
    <m/>
    <m/>
    <m/>
    <m/>
    <m/>
    <m/>
    <m/>
    <m/>
    <n v="24690"/>
    <n v="31421"/>
    <n v="43355"/>
    <n v="0"/>
    <m/>
    <n v="-43355"/>
    <n v="-1"/>
  </r>
  <r>
    <x v="1"/>
    <x v="0"/>
    <x v="0"/>
    <x v="42"/>
    <x v="1"/>
    <n v="101747"/>
    <s v="I100099999"/>
    <s v="aws-discordbot-project@krafton.com(490004636756)"/>
    <s v="어재훈"/>
    <s v="어재훈"/>
    <m/>
    <n v="85862"/>
    <n v="94412"/>
    <n v="79243"/>
    <n v="85824"/>
    <n v="91412"/>
    <n v="64537"/>
    <n v="65826"/>
    <n v="65604"/>
    <n v="66997"/>
    <n v="59397"/>
    <n v="37885"/>
    <n v="0"/>
    <m/>
    <n v="-37885"/>
    <n v="-1"/>
  </r>
  <r>
    <x v="1"/>
    <x v="0"/>
    <x v="0"/>
    <x v="40"/>
    <x v="5"/>
    <n v="100033"/>
    <s v="P100010012"/>
    <s v="AWS_PUBG-F2Pweblive@pubg.com(033775294411)"/>
    <s v="엄기성"/>
    <s v="엄기성"/>
    <m/>
    <n v="18791205"/>
    <n v="9905226"/>
    <n v="8724022"/>
    <n v="13378227"/>
    <n v="11374059"/>
    <n v="12672283"/>
    <n v="12429577"/>
    <n v="10968733"/>
    <n v="15230796"/>
    <n v="10181633"/>
    <n v="7423344"/>
    <n v="0"/>
    <m/>
    <n v="-7423344"/>
    <n v="-1"/>
  </r>
  <r>
    <x v="1"/>
    <x v="0"/>
    <x v="0"/>
    <x v="40"/>
    <x v="21"/>
    <n v="100033"/>
    <s v="P100030012"/>
    <s v="AWS_PUBGM-Esports-Live@krafton.com(633237459216)"/>
    <s v="엄기성"/>
    <s v="엄기성"/>
    <m/>
    <n v="10545812"/>
    <n v="10423391"/>
    <n v="9764556"/>
    <n v="10328787"/>
    <n v="10327030"/>
    <n v="10369678"/>
    <n v="10827077"/>
    <n v="8600317"/>
    <n v="8758181"/>
    <n v="8411288"/>
    <n v="7355445"/>
    <n v="0"/>
    <m/>
    <n v="-7355445"/>
    <n v="-1"/>
  </r>
  <r>
    <x v="1"/>
    <x v="0"/>
    <x v="0"/>
    <x v="40"/>
    <x v="2"/>
    <n v="100033"/>
    <s v="P100030014"/>
    <s v="AWS_XTRM-Web@pubg.com(312871113530)"/>
    <s v="엄기성"/>
    <s v="엄기성"/>
    <m/>
    <n v="6044209"/>
    <n v="5859217"/>
    <n v="5689202"/>
    <n v="5895626"/>
    <n v="5930898"/>
    <n v="5927748"/>
    <n v="6203050"/>
    <n v="6198761"/>
    <n v="5919275"/>
    <n v="5607735"/>
    <n v="5310712"/>
    <n v="0"/>
    <m/>
    <n v="-5310712"/>
    <n v="-1"/>
  </r>
  <r>
    <x v="1"/>
    <x v="0"/>
    <x v="0"/>
    <x v="40"/>
    <x v="1"/>
    <n v="100033"/>
    <s v="I100099999"/>
    <s v="bhaws_si@bluehole.net(880227346986)"/>
    <s v="엄기성"/>
    <s v="엄기성"/>
    <m/>
    <n v="2525143"/>
    <n v="2359206"/>
    <n v="1946185"/>
    <n v="2001833"/>
    <n v="2307283"/>
    <n v="2262339"/>
    <n v="1557631"/>
    <n v="1554075"/>
    <n v="2050350"/>
    <n v="3110360"/>
    <n v="2691339"/>
    <n v="0"/>
    <m/>
    <n v="-2691339"/>
    <n v="-1"/>
  </r>
  <r>
    <x v="1"/>
    <x v="0"/>
    <x v="0"/>
    <x v="40"/>
    <x v="25"/>
    <n v="100033"/>
    <s v="P100030805"/>
    <s v="krafton-web-shared-prod@bluehole.net(220852994885)"/>
    <s v="엄기성"/>
    <s v="엄기성"/>
    <m/>
    <n v="55413240"/>
    <n v="49256360"/>
    <n v="43675150"/>
    <n v="46859706"/>
    <n v="46497275"/>
    <n v="45448876"/>
    <n v="49044060"/>
    <n v="49543694"/>
    <n v="65722669"/>
    <n v="53926788"/>
    <n v="46767403"/>
    <n v="0"/>
    <m/>
    <n v="-46767403"/>
    <n v="-1"/>
  </r>
  <r>
    <x v="1"/>
    <x v="0"/>
    <x v="0"/>
    <x v="40"/>
    <x v="1"/>
    <n v="100033"/>
    <s v="I100099999"/>
    <s v="tech_support@bluehole.net(921237081789)"/>
    <s v="엄기성"/>
    <s v="엄기성"/>
    <m/>
    <n v="1312055"/>
    <n v="1149109"/>
    <n v="1083134"/>
    <n v="1102872"/>
    <n v="1103467"/>
    <n v="1183524"/>
    <n v="1088631"/>
    <n v="1124598"/>
    <n v="1264308"/>
    <n v="1072603"/>
    <n v="942217"/>
    <n v="0"/>
    <m/>
    <n v="-942217"/>
    <n v="-1"/>
  </r>
  <r>
    <x v="1"/>
    <x v="0"/>
    <x v="0"/>
    <x v="43"/>
    <x v="1"/>
    <n v="100212"/>
    <s v="I100099999"/>
    <s v="AWS_data-tech@krafton.com(272510915182)"/>
    <s v="염화음"/>
    <s v="김시훈"/>
    <m/>
    <n v="343922699"/>
    <n v="307937120"/>
    <n v="346814364"/>
    <n v="2998736452"/>
    <n v="408151249"/>
    <n v="437260317"/>
    <n v="545351157"/>
    <n v="547726239"/>
    <n v="3310004714"/>
    <n v="567365183"/>
    <n v="1032195117"/>
    <n v="0"/>
    <m/>
    <n v="-1032195117"/>
    <n v="-1"/>
  </r>
  <r>
    <x v="1"/>
    <x v="0"/>
    <x v="0"/>
    <x v="43"/>
    <x v="1"/>
    <n v="100212"/>
    <s v="I100099999"/>
    <s v="aws_gamesight@bluehole.net(171101943282)"/>
    <s v="염화음"/>
    <s v="김시훈"/>
    <m/>
    <n v="8039907"/>
    <n v="8195128"/>
    <n v="8153395"/>
    <n v="8860559"/>
    <n v="8606579"/>
    <n v="6658898"/>
    <n v="6363951"/>
    <n v="6407382"/>
    <n v="6319086"/>
    <n v="6012372"/>
    <n v="5550141"/>
    <n v="0"/>
    <m/>
    <n v="-5550141"/>
    <n v="-1"/>
  </r>
  <r>
    <x v="1"/>
    <x v="0"/>
    <x v="0"/>
    <x v="43"/>
    <x v="1"/>
    <n v="100212"/>
    <s v="I100099999"/>
    <s v="aws_krafton_ded@bluehole.net(333537382729)"/>
    <s v="염화음"/>
    <s v="김시훈"/>
    <m/>
    <n v="8882865"/>
    <n v="8811025"/>
    <n v="8416881"/>
    <n v="9154650"/>
    <n v="9848766"/>
    <n v="9558762"/>
    <n v="10799380"/>
    <n v="10620630"/>
    <n v="10857476"/>
    <n v="9001074"/>
    <n v="10267576"/>
    <n v="0"/>
    <m/>
    <n v="-10267576"/>
    <n v="-1"/>
  </r>
  <r>
    <x v="1"/>
    <x v="0"/>
    <x v="0"/>
    <x v="43"/>
    <x v="1"/>
    <n v="100212"/>
    <s v="I100099999"/>
    <s v="aws_kraftonde-sensitive@krafton.com(226547056751)"/>
    <s v="염화음"/>
    <s v="김시훈"/>
    <m/>
    <n v="16571929"/>
    <n v="15849268"/>
    <n v="15374256"/>
    <n v="22077166"/>
    <n v="16352942"/>
    <n v="14594241"/>
    <n v="11522792"/>
    <n v="12934575"/>
    <n v="11283907"/>
    <n v="11418594"/>
    <n v="10614802"/>
    <n v="0"/>
    <m/>
    <n v="-10614802"/>
    <n v="-1"/>
  </r>
  <r>
    <x v="1"/>
    <x v="0"/>
    <x v="0"/>
    <x v="43"/>
    <x v="1"/>
    <n v="100212"/>
    <s v="I100099999"/>
    <s v="aws-data-intelligence@krafton.com(730335261321)"/>
    <s v="염화음"/>
    <s v="문중현"/>
    <m/>
    <n v="51013119"/>
    <n v="25114669"/>
    <n v="25165326"/>
    <n v="24809768"/>
    <n v="30338999"/>
    <n v="29194062"/>
    <n v="24583105"/>
    <n v="22519748"/>
    <n v="29158724"/>
    <n v="26518296"/>
    <n v="25195550"/>
    <n v="0"/>
    <m/>
    <n v="-25195550"/>
    <n v="-1"/>
  </r>
  <r>
    <x v="1"/>
    <x v="0"/>
    <x v="0"/>
    <x v="43"/>
    <x v="1"/>
    <n v="100212"/>
    <s v="I100099999"/>
    <s v="aws-data-service@krafton.com(211125690433)"/>
    <s v="염화음"/>
    <s v="김시훈"/>
    <m/>
    <n v="1613035"/>
    <n v="6291222"/>
    <n v="10755338"/>
    <n v="12716190"/>
    <n v="14801328"/>
    <n v="14423648"/>
    <n v="15878731"/>
    <n v="16423293"/>
    <n v="16754183"/>
    <n v="16542881"/>
    <n v="14640720"/>
    <n v="0"/>
    <m/>
    <n v="-14640720"/>
    <n v="-1"/>
  </r>
  <r>
    <x v="1"/>
    <x v="0"/>
    <x v="0"/>
    <x v="43"/>
    <x v="1"/>
    <n v="100212"/>
    <s v="I100099999"/>
    <s v="aws-ded-sandbox@krafton.com(061051231343)"/>
    <s v="염화음"/>
    <s v="김시훈"/>
    <m/>
    <n v="1485581"/>
    <n v="687415"/>
    <n v="689534"/>
    <n v="978274"/>
    <n v="988182"/>
    <n v="1112294"/>
    <n v="3202345"/>
    <n v="4054023"/>
    <n v="5063297"/>
    <n v="11052584"/>
    <n v="11349648"/>
    <n v="0"/>
    <m/>
    <n v="-11349648"/>
    <n v="-1"/>
  </r>
  <r>
    <x v="1"/>
    <x v="0"/>
    <x v="0"/>
    <x v="43"/>
    <x v="1"/>
    <n v="100212"/>
    <s v="I100099999"/>
    <s v="aws-krafton-braze@krafton.com(493761360527)"/>
    <s v="염화음"/>
    <s v="문중현"/>
    <m/>
    <n v="12351"/>
    <n v="12911"/>
    <n v="20864"/>
    <n v="12741"/>
    <n v="17937"/>
    <n v="15521"/>
    <n v="16107"/>
    <n v="24389"/>
    <n v="23187"/>
    <n v="25143"/>
    <n v="23356"/>
    <n v="0"/>
    <m/>
    <n v="-23356"/>
    <n v="-1"/>
  </r>
  <r>
    <x v="1"/>
    <x v="0"/>
    <x v="0"/>
    <x v="43"/>
    <x v="1"/>
    <n v="100212"/>
    <s v="I100099999"/>
    <s v="aws-krafton-thinkingdata@krafton.com(830389646082)"/>
    <s v="염화음"/>
    <s v="김시훈"/>
    <m/>
    <n v="336"/>
    <n v="238108"/>
    <n v="434255"/>
    <n v="449326"/>
    <n v="444912"/>
    <n v="1327567"/>
    <n v="2206969"/>
    <n v="3212245"/>
    <n v="3359358"/>
    <n v="3091453"/>
    <n v="2656311"/>
    <n v="0"/>
    <m/>
    <n v="-2656311"/>
    <n v="-1"/>
  </r>
  <r>
    <x v="1"/>
    <x v="0"/>
    <x v="0"/>
    <x v="43"/>
    <x v="1"/>
    <n v="100212"/>
    <s v="I100099999"/>
    <s v="krafton-data-platform@bluehole.net(783778041225)"/>
    <s v="염화음"/>
    <s v="김시훈"/>
    <m/>
    <n v="6649430"/>
    <n v="6476228"/>
    <n v="6190826"/>
    <n v="7041066"/>
    <n v="8330087"/>
    <n v="8213724"/>
    <n v="8952499"/>
    <n v="9367099"/>
    <n v="8894925"/>
    <n v="7526502"/>
    <n v="6258784"/>
    <n v="0"/>
    <m/>
    <n v="-6258784"/>
    <n v="-1"/>
  </r>
  <r>
    <x v="1"/>
    <x v="0"/>
    <x v="1"/>
    <x v="43"/>
    <x v="2"/>
    <n v="100212"/>
    <s v="P100030014"/>
    <s v="pubg-xtrm-data@bluehole.net(176977192848)"/>
    <s v="염화음"/>
    <s v="김신영"/>
    <m/>
    <n v="15309192"/>
    <n v="14599876"/>
    <n v="14543073"/>
    <n v="15152367"/>
    <n v="14487190"/>
    <n v="11578876"/>
    <n v="12106728"/>
    <n v="12329264"/>
    <n v="12220160"/>
    <n v="12132204"/>
    <n v="11589668"/>
    <n v="0"/>
    <m/>
    <n v="-11589668"/>
    <n v="-1"/>
  </r>
  <r>
    <x v="1"/>
    <x v="0"/>
    <x v="7"/>
    <x v="43"/>
    <x v="5"/>
    <n v="100212"/>
    <s v="P100010012"/>
    <s v="AWS_pubg-Gcoin@pubg.com(804173125569)"/>
    <s v="염화음"/>
    <s v="김시훈"/>
    <m/>
    <n v="49853891"/>
    <n v="46980600"/>
    <n v="46614275"/>
    <n v="44201032"/>
    <n v="44813477"/>
    <n v="44567698"/>
    <n v="46351173"/>
    <n v="46981230"/>
    <n v="46822296"/>
    <n v="46386799"/>
    <n v="44982288"/>
    <n v="0"/>
    <m/>
    <n v="-44982288"/>
    <n v="-1"/>
  </r>
  <r>
    <x v="1"/>
    <x v="0"/>
    <x v="7"/>
    <x v="5"/>
    <x v="5"/>
    <n v="100414"/>
    <s v="P100010012"/>
    <s v="pubg_data-inno@bluehole.net(266252275839)"/>
    <s v="염화음"/>
    <s v="문중현"/>
    <m/>
    <n v="16649517"/>
    <n v="16664611"/>
    <n v="15898747"/>
    <n v="16277149"/>
    <n v="12562812"/>
    <n v="11977692"/>
    <n v="12408807"/>
    <n v="12087773"/>
    <n v="12325275"/>
    <n v="11750464"/>
    <n v="10272218"/>
    <n v="0"/>
    <m/>
    <n v="-10272218"/>
    <n v="-1"/>
  </r>
  <r>
    <x v="1"/>
    <x v="5"/>
    <x v="13"/>
    <x v="44"/>
    <x v="1"/>
    <e v="#N/A"/>
    <s v="I100099999"/>
    <s v="aws_relugames@bluehole.net(309943519623)"/>
    <s v="OVERHEAD/OTHERS"/>
    <s v="오준석"/>
    <m/>
    <n v="2313894"/>
    <n v="2631381"/>
    <n v="3755918"/>
    <n v="3283790"/>
    <n v="3361723"/>
    <n v="3316128"/>
    <n v="4121836"/>
    <n v="4631290"/>
    <n v="4520208"/>
    <n v="4127065"/>
    <n v="3489944"/>
    <n v="0"/>
    <m/>
    <n v="-3489944"/>
    <n v="-1"/>
  </r>
  <r>
    <x v="1"/>
    <x v="6"/>
    <x v="14"/>
    <x v="45"/>
    <x v="6"/>
    <n v="400030"/>
    <e v="#N/A"/>
    <s v="aws-lgsl-qa@5minlab.com(713407752956)"/>
    <n v="0"/>
    <s v="유지현"/>
    <m/>
    <n v="75316"/>
    <n v="84566"/>
    <n v="72752"/>
    <n v="74333"/>
    <n v="90037"/>
    <n v="87295"/>
    <n v="91016"/>
    <n v="92025"/>
    <n v="67748"/>
    <n v="0"/>
    <n v="0"/>
    <n v="0"/>
    <m/>
    <n v="0"/>
    <s v=""/>
  </r>
  <r>
    <x v="1"/>
    <x v="6"/>
    <x v="14"/>
    <x v="45"/>
    <x v="6"/>
    <n v="400030"/>
    <e v="#N/A"/>
    <s v="developers@5minlab.com(798290317353)"/>
    <n v="0"/>
    <s v="유지현"/>
    <m/>
    <n v="100839"/>
    <n v="95408"/>
    <n v="85998"/>
    <n v="91379"/>
    <n v="95239"/>
    <n v="74749"/>
    <n v="88579"/>
    <n v="1419982"/>
    <n v="2540779"/>
    <n v="2055520"/>
    <n v="1856965"/>
    <n v="0"/>
    <m/>
    <n v="-1856965"/>
    <n v="-1"/>
  </r>
  <r>
    <x v="1"/>
    <x v="6"/>
    <x v="14"/>
    <x v="45"/>
    <x v="6"/>
    <n v="400030"/>
    <e v="#N/A"/>
    <s v="aws-lg-sl@5minlab.com(919383859411)"/>
    <n v="0"/>
    <s v="유지현"/>
    <m/>
    <n v="15817502"/>
    <n v="14983483"/>
    <n v="12885463"/>
    <n v="13524964"/>
    <n v="13507921"/>
    <n v="12151230"/>
    <n v="12211342"/>
    <n v="11705754"/>
    <n v="11875508"/>
    <n v="12817602"/>
    <n v="10801777"/>
    <n v="0"/>
    <m/>
    <n v="-10801777"/>
    <n v="-1"/>
  </r>
  <r>
    <x v="1"/>
    <x v="0"/>
    <x v="7"/>
    <x v="46"/>
    <x v="26"/>
    <n v="101609"/>
    <s v="P100010048"/>
    <s v="aws-pbb-ses@pubg.com(698135531667)"/>
    <s v="유해찬"/>
    <s v="유해찬"/>
    <m/>
    <m/>
    <m/>
    <m/>
    <m/>
    <m/>
    <m/>
    <m/>
    <n v="18566"/>
    <n v="8879"/>
    <n v="14239"/>
    <n v="12193"/>
    <n v="0"/>
    <m/>
    <n v="-12193"/>
    <n v="-1"/>
  </r>
  <r>
    <x v="1"/>
    <x v="0"/>
    <x v="7"/>
    <x v="47"/>
    <x v="1"/>
    <n v="100424"/>
    <s v="I100099999"/>
    <s v="aws-pstd-cloud@pubg.com(700388609892)"/>
    <s v="이경호"/>
    <s v="이경호"/>
    <m/>
    <m/>
    <m/>
    <m/>
    <m/>
    <m/>
    <m/>
    <m/>
    <m/>
    <n v="13391"/>
    <n v="6138"/>
    <n v="18239"/>
    <n v="0"/>
    <m/>
    <n v="-18239"/>
    <n v="-1"/>
  </r>
  <r>
    <x v="1"/>
    <x v="0"/>
    <x v="7"/>
    <x v="47"/>
    <x v="1"/>
    <n v="100424"/>
    <s v="I100099999"/>
    <s v="aws-pubgtd-automation@bluehole.net(229951847377)"/>
    <s v="이경호"/>
    <s v="이경호"/>
    <m/>
    <n v="5428"/>
    <n v="6175"/>
    <n v="13978"/>
    <n v="5923"/>
    <n v="3198"/>
    <m/>
    <m/>
    <m/>
    <n v="0"/>
    <n v="0"/>
    <n v="0"/>
    <n v="0"/>
    <m/>
    <n v="0"/>
    <s v=""/>
  </r>
  <r>
    <x v="1"/>
    <x v="0"/>
    <x v="0"/>
    <x v="3"/>
    <x v="3"/>
    <n v="100553"/>
    <s v="P100130012"/>
    <s v="pubg-mobile-web@bluehole.net(687869940784)"/>
    <s v="이돈현"/>
    <s v="이돈현"/>
    <m/>
    <n v="18236396"/>
    <n v="16500719"/>
    <n v="16229294"/>
    <n v="17426787"/>
    <n v="17213542"/>
    <n v="16783565"/>
    <n v="17788189"/>
    <n v="18044453"/>
    <n v="6647977"/>
    <n v="15939907"/>
    <n v="164637565"/>
    <n v="0"/>
    <m/>
    <n v="-164637565"/>
    <n v="-1"/>
  </r>
  <r>
    <x v="1"/>
    <x v="2"/>
    <x v="5"/>
    <x v="10"/>
    <x v="8"/>
    <n v="100810"/>
    <s v="I100090817"/>
    <s v="AWS_DLD_dev@bluehole.net(171503962539)"/>
    <s v="이동기"/>
    <s v="김지윤"/>
    <m/>
    <n v="4215277"/>
    <n v="4468067"/>
    <n v="3980672"/>
    <n v="4538114"/>
    <n v="5204950"/>
    <n v="5155923"/>
    <n v="5363119"/>
    <n v="5440702"/>
    <n v="5415029"/>
    <n v="5187691"/>
    <n v="3957122"/>
    <n v="0"/>
    <m/>
    <n v="-3957122"/>
    <n v="-1"/>
  </r>
  <r>
    <x v="1"/>
    <x v="7"/>
    <x v="15"/>
    <x v="48"/>
    <x v="27"/>
    <n v="102035"/>
    <s v="I100090134"/>
    <s v="aws-deeplearning-gpu@krafton.com(119492371514)"/>
    <s v="이동기"/>
    <s v="김지윤"/>
    <m/>
    <m/>
    <m/>
    <m/>
    <m/>
    <n v="14007"/>
    <n v="275493581"/>
    <n v="110095282"/>
    <n v="276915930"/>
    <n v="378380401"/>
    <n v="646702404"/>
    <n v="3038722916"/>
    <n v="0"/>
    <m/>
    <n v="-3038722916"/>
    <n v="-1"/>
  </r>
  <r>
    <x v="1"/>
    <x v="0"/>
    <x v="7"/>
    <x v="49"/>
    <x v="1"/>
    <n v="101509"/>
    <s v="I100099999"/>
    <s v="aws-pubg-arc-dev-01@pubg.com(915848750654)"/>
    <s v="이민기"/>
    <s v="최보성"/>
    <m/>
    <m/>
    <m/>
    <n v="8364"/>
    <n v="2179133"/>
    <n v="3148632"/>
    <n v="2073595"/>
    <n v="2387489"/>
    <n v="3491666"/>
    <n v="9158234"/>
    <n v="11483484"/>
    <n v="7074010"/>
    <n v="0"/>
    <m/>
    <n v="-7074010"/>
    <n v="-1"/>
  </r>
  <r>
    <x v="1"/>
    <x v="0"/>
    <x v="7"/>
    <x v="50"/>
    <x v="1"/>
    <n v="101465"/>
    <s v="I100099999"/>
    <s v="aws-pubg-c3-dev-01@pubg.com(747273371327)"/>
    <s v="이민기"/>
    <s v="이민기"/>
    <m/>
    <m/>
    <m/>
    <n v="7597"/>
    <n v="1246"/>
    <n v="11253"/>
    <n v="8580"/>
    <n v="9106"/>
    <n v="9891"/>
    <n v="9693"/>
    <n v="11759"/>
    <n v="10028"/>
    <n v="0"/>
    <m/>
    <n v="-10028"/>
    <n v="-1"/>
  </r>
  <r>
    <x v="1"/>
    <x v="0"/>
    <x v="7"/>
    <x v="50"/>
    <x v="1"/>
    <n v="101465"/>
    <s v="I100099999"/>
    <s v="aws-pubg-c3-project@krafton.com(879381264705)"/>
    <s v="이민기"/>
    <s v="이민기"/>
    <m/>
    <n v="1753388"/>
    <n v="2690005"/>
    <n v="2726179"/>
    <n v="3352465"/>
    <n v="4295867"/>
    <n v="6119366"/>
    <n v="8442854"/>
    <n v="11250617"/>
    <n v="15876493"/>
    <n v="13780400"/>
    <n v="8447415"/>
    <n v="0"/>
    <m/>
    <n v="-8447415"/>
    <n v="-1"/>
  </r>
  <r>
    <x v="1"/>
    <x v="0"/>
    <x v="7"/>
    <x v="51"/>
    <x v="1"/>
    <n v="101758"/>
    <s v="I100099999"/>
    <s v="aws-pubg-palm-dev-01@pubg.com(214198970949)"/>
    <s v="이민기"/>
    <s v="이민기"/>
    <m/>
    <m/>
    <m/>
    <n v="7622"/>
    <n v="1324"/>
    <n v="280202"/>
    <n v="1699803"/>
    <n v="1952037"/>
    <n v="1075146"/>
    <n v="37716"/>
    <n v="38026"/>
    <n v="35579"/>
    <n v="0"/>
    <m/>
    <n v="-35579"/>
    <n v="-1"/>
  </r>
  <r>
    <x v="1"/>
    <x v="0"/>
    <x v="7"/>
    <x v="52"/>
    <x v="28"/>
    <n v="100774"/>
    <s v="P100030092"/>
    <s v="aws-pubg-uropa-prod-01@krafton.com(006805626322)"/>
    <s v="이민기"/>
    <s v="이민기"/>
    <m/>
    <m/>
    <m/>
    <m/>
    <m/>
    <m/>
    <m/>
    <m/>
    <m/>
    <m/>
    <n v="12173"/>
    <n v="3593"/>
    <n v="0"/>
    <m/>
    <n v="-3593"/>
    <n v="-1"/>
  </r>
  <r>
    <x v="1"/>
    <x v="0"/>
    <x v="7"/>
    <x v="52"/>
    <x v="29"/>
    <n v="100774"/>
    <s v="P100010091"/>
    <s v="aws-pubg-arc-prod-01@krafton.com(038715113116)"/>
    <s v="이민기"/>
    <s v="이민기"/>
    <m/>
    <m/>
    <m/>
    <m/>
    <m/>
    <m/>
    <m/>
    <m/>
    <m/>
    <m/>
    <n v="10391066"/>
    <n v="28782929"/>
    <n v="0"/>
    <m/>
    <n v="-28782929"/>
    <n v="-1"/>
  </r>
  <r>
    <x v="1"/>
    <x v="3"/>
    <x v="6"/>
    <x v="53"/>
    <x v="0"/>
    <n v="110099"/>
    <s v="P100030073"/>
    <s v="AWS_FF@bluehole.net(257405109560)"/>
    <s v="이민재"/>
    <s v="이민재"/>
    <m/>
    <n v="42965040"/>
    <n v="42095789"/>
    <n v="45747688"/>
    <n v="42442625"/>
    <n v="38897801"/>
    <n v="34960534"/>
    <n v="37665835"/>
    <n v="34825214"/>
    <n v="37528129"/>
    <n v="33286868"/>
    <n v="6640088"/>
    <n v="0"/>
    <m/>
    <n v="-6640088"/>
    <n v="-1"/>
  </r>
  <r>
    <x v="1"/>
    <x v="8"/>
    <x v="16"/>
    <x v="54"/>
    <x v="1"/>
    <n v="460121"/>
    <s v="I100099999"/>
    <s v="aws_web3_dev@bluehole.net(295140746614)"/>
    <s v="OVERHEAD/OTHERS"/>
    <s v="이상헌"/>
    <m/>
    <n v="851781"/>
    <n v="767744"/>
    <n v="915459"/>
    <n v="793575"/>
    <n v="484858"/>
    <n v="274589"/>
    <n v="288580"/>
    <n v="301905"/>
    <n v="300920"/>
    <n v="260857"/>
    <n v="313583"/>
    <n v="0"/>
    <m/>
    <n v="-313583"/>
    <n v="-1"/>
  </r>
  <r>
    <x v="1"/>
    <x v="0"/>
    <x v="0"/>
    <x v="2"/>
    <x v="1"/>
    <n v="100036"/>
    <s v="I100099999"/>
    <s v="aws_tech_network@bluehole.net(413470838121)"/>
    <s v="이승호"/>
    <s v="이승호"/>
    <m/>
    <n v="15366004"/>
    <n v="14850702"/>
    <n v="15778691"/>
    <n v="27581289"/>
    <n v="24716749"/>
    <n v="22664091"/>
    <n v="24526518"/>
    <n v="26033511"/>
    <n v="20516105"/>
    <n v="17738555"/>
    <n v="19670533"/>
    <n v="0"/>
    <m/>
    <n v="-19670533"/>
    <n v="-1"/>
  </r>
  <r>
    <x v="1"/>
    <x v="2"/>
    <x v="5"/>
    <x v="11"/>
    <x v="1"/>
    <n v="100677"/>
    <s v="I100099999"/>
    <s v="aws-physical-ai-project@krafton.com(636812143498)"/>
    <s v="이영도"/>
    <s v="이영도"/>
    <m/>
    <m/>
    <m/>
    <n v="242092"/>
    <n v="397985"/>
    <n v="146075"/>
    <n v="143845"/>
    <n v="147807"/>
    <n v="151770"/>
    <n v="148401"/>
    <n v="149410"/>
    <n v="144387"/>
    <n v="0"/>
    <m/>
    <n v="-144387"/>
    <n v="-1"/>
  </r>
  <r>
    <x v="1"/>
    <x v="0"/>
    <x v="0"/>
    <x v="55"/>
    <x v="1"/>
    <n v="100022"/>
    <s v="I100099999"/>
    <s v="bluehole_payer@gscdn.com(242807594737)"/>
    <s v="이윤슬"/>
    <s v="이윤슬"/>
    <m/>
    <m/>
    <m/>
    <n v="2941773"/>
    <n v="1554411"/>
    <n v="1615472"/>
    <n v="2027184"/>
    <n v="1327705"/>
    <n v="2435841"/>
    <n v="2470086"/>
    <n v="2488596"/>
    <n v="2512606"/>
    <n v="0"/>
    <m/>
    <n v="-2512606"/>
    <n v="-1"/>
  </r>
  <r>
    <x v="1"/>
    <x v="0"/>
    <x v="0"/>
    <x v="15"/>
    <x v="1"/>
    <n v="100009"/>
    <s v="I100099999"/>
    <s v="GPU"/>
    <s v="이윤슬"/>
    <s v="이윤슬"/>
    <m/>
    <m/>
    <m/>
    <m/>
    <m/>
    <m/>
    <m/>
    <m/>
    <m/>
    <n v="-699878760"/>
    <n v="-699878760"/>
    <n v="-699878760"/>
    <n v="0"/>
    <m/>
    <n v="699878760"/>
    <n v="-1"/>
  </r>
  <r>
    <x v="1"/>
    <x v="0"/>
    <x v="0"/>
    <x v="15"/>
    <x v="1"/>
    <n v="100009"/>
    <s v="I100099999"/>
    <s v="aws-marketplace@krafton.com(272916400024)"/>
    <s v="이윤슬"/>
    <s v="이윤슬"/>
    <m/>
    <m/>
    <m/>
    <m/>
    <m/>
    <m/>
    <m/>
    <m/>
    <m/>
    <m/>
    <n v="11353"/>
    <n v="3828"/>
    <n v="0"/>
    <m/>
    <n v="-3828"/>
    <n v="-1"/>
  </r>
  <r>
    <x v="1"/>
    <x v="0"/>
    <x v="7"/>
    <x v="2"/>
    <x v="26"/>
    <n v="100036"/>
    <s v="P100010048"/>
    <s v="aws_pbb_it@krafton.com(767398044467)"/>
    <s v="이윤슬"/>
    <s v="이윤슬"/>
    <m/>
    <n v="5235072"/>
    <n v="4867850"/>
    <n v="10264584"/>
    <n v="10601108"/>
    <n v="20686391"/>
    <n v="20956881"/>
    <n v="21975460"/>
    <n v="22546217"/>
    <n v="22059201"/>
    <n v="21880021"/>
    <n v="21741135"/>
    <n v="0"/>
    <m/>
    <n v="-21741135"/>
    <n v="-1"/>
  </r>
  <r>
    <x v="1"/>
    <x v="0"/>
    <x v="0"/>
    <x v="56"/>
    <x v="1"/>
    <n v="101651"/>
    <s v="I100099999"/>
    <s v="aws-ait-genai-api-project@krafton.com(425693140087)"/>
    <s v="이재준"/>
    <s v="이재준"/>
    <m/>
    <m/>
    <m/>
    <m/>
    <m/>
    <m/>
    <n v="10874"/>
    <n v="4464"/>
    <n v="11827"/>
    <n v="10514"/>
    <n v="12515"/>
    <n v="10708"/>
    <n v="0"/>
    <m/>
    <n v="-10708"/>
    <n v="-1"/>
  </r>
  <r>
    <x v="1"/>
    <x v="0"/>
    <x v="0"/>
    <x v="56"/>
    <x v="1"/>
    <n v="101651"/>
    <s v="I100099999"/>
    <s v="aws-ait-project@krafton.com(860256742851)"/>
    <s v="이재준"/>
    <s v="이재준"/>
    <m/>
    <m/>
    <m/>
    <m/>
    <m/>
    <m/>
    <n v="11"/>
    <n v="78260"/>
    <n v="489850"/>
    <n v="652432"/>
    <n v="794937"/>
    <n v="1067071"/>
    <n v="0"/>
    <m/>
    <n v="-1067071"/>
    <n v="-1"/>
  </r>
  <r>
    <x v="1"/>
    <x v="0"/>
    <x v="17"/>
    <x v="57"/>
    <x v="1"/>
    <n v="540002"/>
    <s v="I100099999"/>
    <s v="aws-jofsoft-nomad@krafton.com(523083722520)"/>
    <s v="이정현"/>
    <s v="이정현"/>
    <m/>
    <m/>
    <m/>
    <m/>
    <m/>
    <m/>
    <m/>
    <m/>
    <m/>
    <n v="13387"/>
    <n v="4422"/>
    <n v="6985"/>
    <n v="0"/>
    <m/>
    <n v="-6985"/>
    <n v="-1"/>
  </r>
  <r>
    <x v="1"/>
    <x v="8"/>
    <x v="16"/>
    <x v="58"/>
    <x v="1"/>
    <e v="#N/A"/>
    <s v="I100099999"/>
    <s v="aws_nft_sbx_central@bluehole.net(768255055847)"/>
    <s v="OVERHEAD/OTHERS"/>
    <s v="이제우"/>
    <m/>
    <n v="18863214"/>
    <n v="17173427"/>
    <n v="14722787"/>
    <n v="16560861"/>
    <n v="153771001"/>
    <n v="15029004"/>
    <n v="15643639"/>
    <n v="15361494"/>
    <n v="14754268"/>
    <n v="13537216"/>
    <n v="10831839"/>
    <n v="0"/>
    <m/>
    <n v="-10831839"/>
    <n v="-1"/>
  </r>
  <r>
    <x v="1"/>
    <x v="8"/>
    <x v="16"/>
    <x v="59"/>
    <x v="1"/>
    <n v="460005"/>
    <s v="I100099999"/>
    <s v="aws_nft_sbx_dev@bluehole.net(833221979697)"/>
    <s v="OVERHEAD/OTHERS"/>
    <s v="이제우"/>
    <m/>
    <n v="8749844"/>
    <n v="5150060"/>
    <n v="4942369"/>
    <n v="6144990"/>
    <n v="6043126"/>
    <n v="6479336"/>
    <n v="6665285"/>
    <n v="6204265"/>
    <n v="6157569"/>
    <n v="6727043"/>
    <n v="4641130"/>
    <n v="0"/>
    <m/>
    <n v="-4641130"/>
    <n v="-1"/>
  </r>
  <r>
    <x v="1"/>
    <x v="8"/>
    <x v="16"/>
    <x v="59"/>
    <x v="1"/>
    <n v="460005"/>
    <s v="I100099999"/>
    <s v="ovdr-production@krafton.com(905461196704)"/>
    <s v="OVERHEAD/OTHERS"/>
    <s v="이제우"/>
    <m/>
    <n v="4061446"/>
    <n v="3659372"/>
    <n v="3182073"/>
    <n v="3552260"/>
    <n v="3058728"/>
    <n v="3066280"/>
    <n v="3638600"/>
    <n v="3812931"/>
    <n v="4250810"/>
    <n v="4121798"/>
    <n v="3486436"/>
    <n v="0"/>
    <m/>
    <n v="-3486436"/>
    <n v="-1"/>
  </r>
  <r>
    <x v="1"/>
    <x v="8"/>
    <x v="16"/>
    <x v="60"/>
    <x v="6"/>
    <e v="#N/A"/>
    <e v="#N/A"/>
    <s v="aws-ovdr-sandbox@krafton.com(650251727998)"/>
    <n v="0"/>
    <s v="이제우"/>
    <m/>
    <n v="5823"/>
    <n v="6573"/>
    <n v="14392"/>
    <n v="6229"/>
    <n v="27400"/>
    <n v="20064"/>
    <n v="10951"/>
    <n v="10492"/>
    <n v="9156"/>
    <n v="11221"/>
    <n v="9661"/>
    <n v="0"/>
    <m/>
    <n v="-9661"/>
    <n v="-1"/>
  </r>
  <r>
    <x v="1"/>
    <x v="0"/>
    <x v="0"/>
    <x v="61"/>
    <x v="1"/>
    <n v="101752"/>
    <s v="I100099999"/>
    <s v="AWS_WebTech@krafton.com(283281493187)"/>
    <s v="이준호"/>
    <s v="이준호"/>
    <m/>
    <n v="215124"/>
    <n v="229280"/>
    <n v="249887"/>
    <n v="255701"/>
    <n v="306663"/>
    <n v="302458"/>
    <n v="429850"/>
    <n v="825670"/>
    <n v="833770"/>
    <n v="1041636"/>
    <n v="958086"/>
    <n v="0"/>
    <m/>
    <n v="-958086"/>
    <n v="-1"/>
  </r>
  <r>
    <x v="1"/>
    <x v="3"/>
    <x v="6"/>
    <x v="32"/>
    <x v="18"/>
    <n v="110024"/>
    <s v="P100020001"/>
    <s v="BHAWS_SPDev@bluehole.net(959785605440)"/>
    <s v="이준호"/>
    <s v="이준호"/>
    <m/>
    <n v="195816"/>
    <n v="193329"/>
    <n v="198935"/>
    <n v="194189"/>
    <n v="206223"/>
    <n v="197728"/>
    <n v="227284"/>
    <n v="210024"/>
    <n v="209063"/>
    <n v="209174"/>
    <n v="191795"/>
    <n v="0"/>
    <m/>
    <n v="-191795"/>
    <n v="-1"/>
  </r>
  <r>
    <x v="1"/>
    <x v="0"/>
    <x v="18"/>
    <x v="62"/>
    <x v="1"/>
    <n v="102078"/>
    <s v="I100099999"/>
    <s v="aws-olivetree-project@krafton.com(831974769705)"/>
    <s v="이지운"/>
    <s v="이지운"/>
    <m/>
    <m/>
    <m/>
    <m/>
    <m/>
    <m/>
    <m/>
    <m/>
    <n v="19309"/>
    <n v="210145"/>
    <n v="250984"/>
    <n v="783529"/>
    <n v="0"/>
    <m/>
    <n v="-783529"/>
    <n v="-1"/>
  </r>
  <r>
    <x v="1"/>
    <x v="0"/>
    <x v="18"/>
    <x v="62"/>
    <x v="1"/>
    <n v="102078"/>
    <s v="I100099999"/>
    <s v="aws-olivetreewebsite-project@olivetreegames.com(429851271053)"/>
    <s v="이지운"/>
    <s v="이지운"/>
    <m/>
    <m/>
    <m/>
    <m/>
    <m/>
    <m/>
    <m/>
    <m/>
    <m/>
    <m/>
    <m/>
    <n v="12927"/>
    <n v="0"/>
    <m/>
    <n v="-12927"/>
    <n v="-1"/>
  </r>
  <r>
    <x v="1"/>
    <x v="0"/>
    <x v="0"/>
    <x v="63"/>
    <x v="1"/>
    <n v="101993"/>
    <s v="I100099999"/>
    <s v="aws-playtest-project@krafton.com(898940391531)"/>
    <s v="이채영"/>
    <s v="이채영"/>
    <m/>
    <m/>
    <m/>
    <m/>
    <m/>
    <m/>
    <m/>
    <m/>
    <m/>
    <m/>
    <n v="11752"/>
    <n v="3824"/>
    <n v="0"/>
    <m/>
    <n v="-3824"/>
    <n v="-1"/>
  </r>
  <r>
    <x v="1"/>
    <x v="0"/>
    <x v="0"/>
    <x v="64"/>
    <x v="1"/>
    <n v="105019"/>
    <s v="I100099999"/>
    <s v="aws-athena-stage@krafton.com(954894834042)"/>
    <s v="이태형"/>
    <s v="이태형"/>
    <m/>
    <m/>
    <m/>
    <m/>
    <m/>
    <m/>
    <m/>
    <m/>
    <n v="13381"/>
    <n v="144695"/>
    <n v="12158"/>
    <n v="11549"/>
    <n v="0"/>
    <m/>
    <n v="-11549"/>
    <n v="-1"/>
  </r>
  <r>
    <x v="1"/>
    <x v="0"/>
    <x v="0"/>
    <x v="64"/>
    <x v="1"/>
    <n v="105019"/>
    <s v="I100099999"/>
    <s v="aws-loonshot-prod@krafton.com(451978385977)"/>
    <s v="이태형"/>
    <s v="이태형"/>
    <m/>
    <m/>
    <m/>
    <m/>
    <m/>
    <m/>
    <m/>
    <m/>
    <m/>
    <n v="48039"/>
    <n v="548703"/>
    <n v="543831"/>
    <n v="0"/>
    <m/>
    <n v="-543831"/>
    <n v="-1"/>
  </r>
  <r>
    <x v="1"/>
    <x v="0"/>
    <x v="0"/>
    <x v="65"/>
    <x v="8"/>
    <n v="107001"/>
    <s v="I100090817"/>
    <s v="aws-dld-orak-competition@krafton.com(990060747832)"/>
    <s v="이호원"/>
    <s v="이호원"/>
    <m/>
    <m/>
    <m/>
    <m/>
    <m/>
    <m/>
    <n v="0"/>
    <n v="2502"/>
    <n v="21719"/>
    <n v="8581"/>
    <n v="10489"/>
    <n v="9039"/>
    <n v="0"/>
    <m/>
    <n v="-9039"/>
    <n v="-1"/>
  </r>
  <r>
    <x v="1"/>
    <x v="3"/>
    <x v="6"/>
    <x v="33"/>
    <x v="18"/>
    <n v="110119"/>
    <s v="P100020001"/>
    <s v="bhaws_trcs_self@bluehole.net(119070496812)"/>
    <s v="장은진"/>
    <s v="장은진"/>
    <m/>
    <n v="1018813"/>
    <n v="991461"/>
    <n v="1012156"/>
    <n v="1030814"/>
    <n v="1083186"/>
    <n v="1079183"/>
    <n v="1112293"/>
    <n v="1150312"/>
    <n v="1138815"/>
    <n v="1109295"/>
    <n v="1002180"/>
    <n v="0"/>
    <m/>
    <n v="-1002180"/>
    <n v="-1"/>
  </r>
  <r>
    <x v="1"/>
    <x v="9"/>
    <x v="19"/>
    <x v="66"/>
    <x v="6"/>
    <n v="480004"/>
    <e v="#N/A"/>
    <s v="aws-fwg-people@krafton.com(992382827900)"/>
    <n v="0"/>
    <s v="전민욱"/>
    <m/>
    <n v="63891"/>
    <n v="73417"/>
    <n v="77568"/>
    <n v="71862"/>
    <n v="74723"/>
    <n v="76231"/>
    <n v="79853"/>
    <n v="78996"/>
    <n v="102123"/>
    <n v="103142"/>
    <n v="95017"/>
    <n v="0"/>
    <m/>
    <n v="-95017"/>
    <n v="-1"/>
  </r>
  <r>
    <x v="1"/>
    <x v="0"/>
    <x v="0"/>
    <x v="67"/>
    <x v="30"/>
    <n v="102096"/>
    <s v="I100090801"/>
    <s v="aws-esports-project@krafton.com(731386536200)"/>
    <s v="정경훈"/>
    <s v="정경훈"/>
    <m/>
    <m/>
    <n v="125166"/>
    <n v="1430075"/>
    <n v="2525521"/>
    <n v="111563"/>
    <n v="109511"/>
    <n v="112268"/>
    <n v="113131"/>
    <n v="363946"/>
    <n v="283435"/>
    <n v="255859"/>
    <n v="0"/>
    <m/>
    <n v="-255859"/>
    <n v="-1"/>
  </r>
  <r>
    <x v="1"/>
    <x v="0"/>
    <x v="0"/>
    <x v="68"/>
    <x v="1"/>
    <n v="101968"/>
    <s v="I100099999"/>
    <s v="aws-agentville-deploy@krafton.com(093574267363)"/>
    <s v="정우성"/>
    <s v="정우성"/>
    <m/>
    <m/>
    <m/>
    <m/>
    <m/>
    <m/>
    <m/>
    <m/>
    <m/>
    <m/>
    <m/>
    <n v="23171"/>
    <n v="0"/>
    <m/>
    <n v="-23171"/>
    <n v="-1"/>
  </r>
  <r>
    <x v="1"/>
    <x v="0"/>
    <x v="0"/>
    <x v="69"/>
    <x v="1"/>
    <n v="101940"/>
    <s v="I100099999"/>
    <s v="aws-security-policy-test@krafton.com(604325177752)"/>
    <s v="조남원"/>
    <s v="조남원"/>
    <m/>
    <m/>
    <m/>
    <m/>
    <m/>
    <m/>
    <m/>
    <m/>
    <n v="13078"/>
    <n v="14670"/>
    <n v="16856"/>
    <n v="13249"/>
    <n v="0"/>
    <m/>
    <n v="-13249"/>
    <n v="-1"/>
  </r>
  <r>
    <x v="1"/>
    <x v="0"/>
    <x v="0"/>
    <x v="3"/>
    <x v="3"/>
    <n v="100553"/>
    <s v="P100130012"/>
    <s v="aws-bgmi-aws-lz@krafton.com(438465159102)"/>
    <s v="조동현"/>
    <s v="박형준"/>
    <m/>
    <n v="9713757"/>
    <n v="11131558"/>
    <n v="10585936"/>
    <n v="255938969"/>
    <n v="451957"/>
    <n v="6373700"/>
    <n v="104988074"/>
    <n v="198872741"/>
    <n v="206664973"/>
    <n v="179632019"/>
    <n v="50569318"/>
    <n v="0"/>
    <m/>
    <n v="-50569318"/>
    <n v="-1"/>
  </r>
  <r>
    <x v="1"/>
    <x v="0"/>
    <x v="7"/>
    <x v="70"/>
    <x v="26"/>
    <n v="100829"/>
    <s v="P100010048"/>
    <s v="aws_pbb_dev@bluehole.net(634885311994)"/>
    <s v="조원빈"/>
    <s v="조원빈"/>
    <m/>
    <n v="11444563"/>
    <n v="36341246"/>
    <n v="37748146"/>
    <n v="45437913"/>
    <n v="41810910"/>
    <n v="36774849"/>
    <n v="42905643"/>
    <n v="46810584"/>
    <n v="68389359"/>
    <n v="51534106"/>
    <n v="47075699"/>
    <n v="0"/>
    <m/>
    <n v="-47075699"/>
    <n v="-1"/>
  </r>
  <r>
    <x v="1"/>
    <x v="0"/>
    <x v="9"/>
    <x v="71"/>
    <x v="24"/>
    <n v="500018"/>
    <s v="P100010055"/>
    <s v="aws_blue@bluehole.net(611812385851)"/>
    <s v="조재욱"/>
    <s v="조재욱"/>
    <m/>
    <n v="847662"/>
    <n v="831954"/>
    <n v="819863"/>
    <n v="1055148"/>
    <n v="1457941"/>
    <n v="1458274"/>
    <n v="1496773"/>
    <n v="1510606"/>
    <n v="1884390"/>
    <n v="2078934"/>
    <n v="1849540"/>
    <n v="0"/>
    <m/>
    <n v="-1849540"/>
    <n v="-1"/>
  </r>
  <r>
    <x v="1"/>
    <x v="0"/>
    <x v="0"/>
    <x v="52"/>
    <x v="1"/>
    <n v="100774"/>
    <s v="I100099999"/>
    <s v="aws-majesta-pipeline@pubg.com(163742782003)"/>
    <s v="천궁원"/>
    <s v="배시은"/>
    <m/>
    <m/>
    <m/>
    <m/>
    <m/>
    <m/>
    <m/>
    <m/>
    <m/>
    <n v="276181"/>
    <n v="535436"/>
    <n v="697985"/>
    <n v="0"/>
    <m/>
    <n v="-697985"/>
    <n v="-1"/>
  </r>
  <r>
    <x v="1"/>
    <x v="0"/>
    <x v="0"/>
    <x v="52"/>
    <x v="1"/>
    <n v="100774"/>
    <s v="I100099999"/>
    <s v="aws-majesta@bluehole.net(533267412343)"/>
    <s v="천궁원"/>
    <s v="배시은"/>
    <m/>
    <n v="1453479"/>
    <n v="1826555"/>
    <n v="1561629"/>
    <n v="1629700"/>
    <n v="1858534"/>
    <n v="2714649"/>
    <n v="2596925"/>
    <n v="2752322"/>
    <n v="2884835"/>
    <n v="2959586"/>
    <n v="3512845"/>
    <n v="0"/>
    <m/>
    <n v="-3512845"/>
    <n v="-1"/>
  </r>
  <r>
    <x v="1"/>
    <x v="0"/>
    <x v="7"/>
    <x v="49"/>
    <x v="1"/>
    <n v="101509"/>
    <s v="I100099999"/>
    <s v="aws_pubg-arc-project@pubg.com(730335195506)"/>
    <s v="천궁원"/>
    <s v="최보성"/>
    <m/>
    <n v="18067142"/>
    <n v="18680493"/>
    <n v="16088647"/>
    <n v="15572834"/>
    <n v="38703979"/>
    <n v="13157917"/>
    <n v="11536552"/>
    <n v="11479617"/>
    <n v="14547767"/>
    <n v="13646510"/>
    <n v="6455869"/>
    <n v="0"/>
    <m/>
    <n v="-6455869"/>
    <n v="-1"/>
  </r>
  <r>
    <x v="1"/>
    <x v="0"/>
    <x v="7"/>
    <x v="49"/>
    <x v="1"/>
    <n v="101509"/>
    <s v="I100099999"/>
    <s v="aws-pubg-arc-manager@pubg.com(914194815949)"/>
    <s v="천궁원"/>
    <s v="최보성"/>
    <m/>
    <m/>
    <n v="2629"/>
    <n v="12687"/>
    <n v="153133"/>
    <n v="1931348"/>
    <n v="1015628"/>
    <n v="1051189"/>
    <n v="1004162"/>
    <n v="1757269"/>
    <n v="2648792"/>
    <n v="3648860"/>
    <n v="0"/>
    <m/>
    <n v="-3648860"/>
    <n v="-1"/>
  </r>
  <r>
    <x v="1"/>
    <x v="0"/>
    <x v="7"/>
    <x v="49"/>
    <x v="1"/>
    <n v="101509"/>
    <s v="I100099999"/>
    <s v="aws-pubg-arc-stg-01@pubg.com(629649838776)"/>
    <s v="천궁원"/>
    <s v="최보성"/>
    <m/>
    <n v="1144"/>
    <n v="3080"/>
    <n v="13352"/>
    <n v="5945"/>
    <n v="12206"/>
    <n v="9773"/>
    <n v="10272"/>
    <n v="10926"/>
    <n v="9838"/>
    <n v="8025937"/>
    <n v="10499812"/>
    <n v="0"/>
    <m/>
    <n v="-10499812"/>
    <n v="-1"/>
  </r>
  <r>
    <x v="1"/>
    <x v="0"/>
    <x v="7"/>
    <x v="50"/>
    <x v="1"/>
    <n v="101465"/>
    <s v="I100099999"/>
    <s v="aws-pubg-c3-manager@pubg.com(334143579308)"/>
    <s v="천궁원"/>
    <s v="이민기"/>
    <m/>
    <m/>
    <n v="2272"/>
    <n v="12277"/>
    <n v="57418"/>
    <n v="516365"/>
    <n v="740922"/>
    <n v="759211"/>
    <n v="939650"/>
    <n v="1306065"/>
    <n v="944945"/>
    <n v="534149"/>
    <n v="0"/>
    <m/>
    <n v="-534149"/>
    <n v="-1"/>
  </r>
  <r>
    <x v="1"/>
    <x v="0"/>
    <x v="7"/>
    <x v="50"/>
    <x v="1"/>
    <n v="101465"/>
    <s v="I100099999"/>
    <s v="aws-pubg-c3-stg-01@pubg.com(631069189736)"/>
    <s v="천궁원"/>
    <s v="이민기"/>
    <m/>
    <n v="1121"/>
    <n v="2732"/>
    <n v="12875"/>
    <n v="5807"/>
    <n v="10844"/>
    <n v="8419"/>
    <n v="8841"/>
    <n v="9560"/>
    <n v="9333"/>
    <n v="11430"/>
    <n v="9802"/>
    <n v="0"/>
    <m/>
    <n v="-9802"/>
    <n v="-1"/>
  </r>
  <r>
    <x v="1"/>
    <x v="0"/>
    <x v="7"/>
    <x v="52"/>
    <x v="1"/>
    <n v="100774"/>
    <s v="I100099999"/>
    <s v="aws-pubg-majesta-stg-01@pubg.com(842517499550)"/>
    <s v="천궁원"/>
    <s v="배시은"/>
    <m/>
    <n v="1121"/>
    <n v="2729"/>
    <n v="13443"/>
    <n v="5929"/>
    <n v="11187"/>
    <n v="8609"/>
    <n v="9016"/>
    <n v="9783"/>
    <n v="8730"/>
    <n v="10685"/>
    <n v="9295"/>
    <n v="0"/>
    <m/>
    <n v="-9295"/>
    <n v="-1"/>
  </r>
  <r>
    <x v="1"/>
    <x v="0"/>
    <x v="7"/>
    <x v="51"/>
    <x v="1"/>
    <n v="101758"/>
    <s v="I100099999"/>
    <s v="aws-pubg-np-project@krafton.com(273354649925)"/>
    <s v="천궁원"/>
    <s v="이민기"/>
    <m/>
    <n v="4119037"/>
    <n v="4199974"/>
    <n v="7050561"/>
    <n v="9407340"/>
    <n v="10077469"/>
    <n v="22315434"/>
    <n v="51770159"/>
    <n v="54319492"/>
    <n v="34118003"/>
    <n v="17664118"/>
    <n v="14840340"/>
    <n v="0"/>
    <m/>
    <n v="-14840340"/>
    <n v="-1"/>
  </r>
  <r>
    <x v="1"/>
    <x v="0"/>
    <x v="7"/>
    <x v="51"/>
    <x v="1"/>
    <n v="101758"/>
    <s v="I100099999"/>
    <s v="aws-pubg-palm-manager@pubg.com(568619625254)"/>
    <s v="천궁원"/>
    <s v="이민기"/>
    <m/>
    <m/>
    <n v="4699"/>
    <n v="591628"/>
    <n v="926853"/>
    <n v="1068993"/>
    <n v="1687907"/>
    <n v="2716587"/>
    <n v="2923758"/>
    <n v="2317672"/>
    <n v="1766080"/>
    <n v="1729355"/>
    <n v="0"/>
    <m/>
    <n v="-1729355"/>
    <n v="-1"/>
  </r>
  <r>
    <x v="1"/>
    <x v="0"/>
    <x v="7"/>
    <x v="51"/>
    <x v="1"/>
    <n v="101758"/>
    <s v="I100099999"/>
    <s v="aws-pubg-palm-stg-01@pubg.com(350755724755)"/>
    <s v="천궁원"/>
    <s v="이민기"/>
    <m/>
    <n v="1480"/>
    <n v="17697"/>
    <n v="14589"/>
    <n v="6018"/>
    <n v="12256"/>
    <n v="9754"/>
    <n v="10218"/>
    <n v="10980"/>
    <n v="9901"/>
    <n v="12135"/>
    <n v="10267"/>
    <n v="0"/>
    <m/>
    <n v="-10267"/>
    <n v="-1"/>
  </r>
  <r>
    <x v="1"/>
    <x v="0"/>
    <x v="7"/>
    <x v="52"/>
    <x v="28"/>
    <n v="100774"/>
    <s v="P100030092"/>
    <s v="aws-pubg-uropa-dev-01@pubg.com(854575156645)"/>
    <s v="천궁원"/>
    <s v="최보성"/>
    <m/>
    <m/>
    <m/>
    <n v="8135"/>
    <n v="1286"/>
    <n v="11236"/>
    <n v="8509"/>
    <n v="8972"/>
    <n v="9788"/>
    <n v="3953283"/>
    <n v="8174320"/>
    <n v="5856517"/>
    <n v="0"/>
    <m/>
    <n v="-5856517"/>
    <n v="-1"/>
  </r>
  <r>
    <x v="1"/>
    <x v="0"/>
    <x v="7"/>
    <x v="72"/>
    <x v="1"/>
    <n v="101466"/>
    <s v="I100099999"/>
    <s v="aws-pubg-uropa-manager@pubg.com(039287067346)"/>
    <s v="천궁원"/>
    <s v="최보성"/>
    <m/>
    <m/>
    <n v="2259"/>
    <n v="12304"/>
    <n v="122007"/>
    <n v="1861555"/>
    <n v="3909368"/>
    <n v="1495136"/>
    <n v="1116619"/>
    <n v="1708271"/>
    <n v="2543706"/>
    <n v="1798915"/>
    <n v="0"/>
    <m/>
    <n v="-1798915"/>
    <n v="-1"/>
  </r>
  <r>
    <x v="1"/>
    <x v="0"/>
    <x v="7"/>
    <x v="72"/>
    <x v="1"/>
    <n v="101466"/>
    <s v="I100099999"/>
    <s v="aws-pubg-uropa-stg-01@pubg.com(473833401781)"/>
    <s v="천궁원"/>
    <s v="최보성"/>
    <m/>
    <n v="1121"/>
    <n v="2728"/>
    <n v="13448"/>
    <n v="5891"/>
    <n v="11328"/>
    <n v="8822"/>
    <n v="9210"/>
    <n v="9988"/>
    <n v="9762"/>
    <n v="4179170"/>
    <n v="1468613"/>
    <n v="0"/>
    <m/>
    <n v="-1468613"/>
    <n v="-1"/>
  </r>
  <r>
    <x v="1"/>
    <x v="0"/>
    <x v="7"/>
    <x v="72"/>
    <x v="1"/>
    <n v="101466"/>
    <s v="I100099999"/>
    <s v="pubg-uropa-project@bluehole.net(724911849581)"/>
    <s v="천궁원"/>
    <s v="최보성"/>
    <m/>
    <n v="8974508"/>
    <n v="9066515"/>
    <n v="8907742"/>
    <n v="8603047"/>
    <n v="29391391"/>
    <n v="54888778"/>
    <n v="14476303"/>
    <n v="9167420"/>
    <n v="10689701"/>
    <n v="11802727"/>
    <n v="8215810"/>
    <n v="0"/>
    <m/>
    <n v="-8215810"/>
    <n v="-1"/>
  </r>
  <r>
    <x v="1"/>
    <x v="0"/>
    <x v="0"/>
    <x v="73"/>
    <x v="1"/>
    <n v="100156"/>
    <s v="I100099999"/>
    <s v="aws-ps-project@krafton.com(072152843459)"/>
    <s v="최병욱"/>
    <s v="최병욱"/>
    <m/>
    <m/>
    <m/>
    <n v="6795"/>
    <n v="2306"/>
    <n v="719896"/>
    <n v="2405786"/>
    <n v="1280932"/>
    <n v="327253"/>
    <n v="493898"/>
    <n v="639720"/>
    <n v="531238"/>
    <n v="0"/>
    <m/>
    <n v="-531238"/>
    <n v="-1"/>
  </r>
  <r>
    <x v="1"/>
    <x v="0"/>
    <x v="0"/>
    <x v="74"/>
    <x v="1"/>
    <n v="100038"/>
    <s v="I100099999"/>
    <s v="aws-krafton-security-analytics@krafton.com(391183348418)"/>
    <s v="최정헌"/>
    <s v="최정헌"/>
    <m/>
    <m/>
    <m/>
    <m/>
    <m/>
    <n v="142286"/>
    <n v="651452"/>
    <n v="841257"/>
    <n v="635940"/>
    <n v="336175"/>
    <n v="620383"/>
    <n v="634099"/>
    <n v="0"/>
    <m/>
    <n v="-634099"/>
    <n v="-1"/>
  </r>
  <r>
    <x v="1"/>
    <x v="0"/>
    <x v="1"/>
    <x v="29"/>
    <x v="2"/>
    <n v="100415"/>
    <s v="P100030014"/>
    <s v="AWS_XTRM-NewState@pubg.com(418047124903)"/>
    <s v="최진욱"/>
    <s v="김태완"/>
    <m/>
    <n v="98352653"/>
    <n v="93964046"/>
    <n v="85333927"/>
    <n v="87506340"/>
    <n v="84264551"/>
    <n v="78480152"/>
    <n v="86498395"/>
    <n v="87110704"/>
    <n v="88224716"/>
    <n v="80565952"/>
    <n v="66805185"/>
    <n v="0"/>
    <m/>
    <n v="-66805185"/>
    <n v="-1"/>
  </r>
  <r>
    <x v="1"/>
    <x v="0"/>
    <x v="1"/>
    <x v="5"/>
    <x v="2"/>
    <n v="100414"/>
    <s v="P100030014"/>
    <s v="AWS_Xtrm-playground@pubg.com(350993443303)"/>
    <s v="최진욱"/>
    <s v="김태완"/>
    <m/>
    <n v="5604660"/>
    <n v="5531667"/>
    <n v="5268829"/>
    <n v="5492735"/>
    <n v="5415507"/>
    <n v="5403269"/>
    <n v="5534176"/>
    <n v="5177185"/>
    <n v="5347055"/>
    <n v="4934684"/>
    <n v="4192813"/>
    <n v="0"/>
    <m/>
    <n v="-4192813"/>
    <n v="-1"/>
  </r>
  <r>
    <x v="1"/>
    <x v="0"/>
    <x v="1"/>
    <x v="1"/>
    <x v="2"/>
    <n v="100368"/>
    <s v="P100030014"/>
    <s v="pubg_aws_xtrm@bluehole.net(548322143865)"/>
    <s v="최진욱"/>
    <s v="김태완"/>
    <m/>
    <n v="34217988"/>
    <n v="32157196"/>
    <n v="30479964"/>
    <n v="32194519"/>
    <n v="32557913"/>
    <n v="31711178"/>
    <n v="33133151"/>
    <n v="32984856"/>
    <n v="31191029"/>
    <n v="24950305"/>
    <n v="22077854"/>
    <n v="0"/>
    <m/>
    <n v="-22077854"/>
    <n v="-1"/>
  </r>
  <r>
    <x v="1"/>
    <x v="0"/>
    <x v="7"/>
    <x v="5"/>
    <x v="5"/>
    <n v="100414"/>
    <s v="P100010012"/>
    <s v="bhaws_ginno@bluehole.net(477047828735)"/>
    <s v="한상근"/>
    <s v="최진광"/>
    <m/>
    <n v="24678804"/>
    <n v="20462935"/>
    <n v="24125481"/>
    <n v="29303096"/>
    <n v="32068584"/>
    <n v="37538230"/>
    <n v="47351548"/>
    <n v="39701920"/>
    <n v="38749746"/>
    <n v="41450087"/>
    <n v="33976422"/>
    <n v="0"/>
    <m/>
    <n v="-33976422"/>
    <n v="-1"/>
  </r>
  <r>
    <x v="1"/>
    <x v="3"/>
    <x v="6"/>
    <x v="75"/>
    <x v="31"/>
    <n v="110202"/>
    <s v="P110010137"/>
    <s v="aws-t2-dev@bluehole.net(349070093074)"/>
    <s v="한승환"/>
    <s v="한승환"/>
    <m/>
    <m/>
    <m/>
    <m/>
    <m/>
    <m/>
    <n v="7641"/>
    <n v="3605"/>
    <n v="12074"/>
    <n v="11654"/>
    <n v="14033"/>
    <n v="12128"/>
    <n v="0"/>
    <m/>
    <n v="-12128"/>
    <n v="-1"/>
  </r>
  <r>
    <x v="1"/>
    <x v="10"/>
    <x v="20"/>
    <x v="76"/>
    <x v="32"/>
    <e v="#N/A"/>
    <e v="#N/A"/>
    <s v="bhaws_pnix.realgolf@bluehole.net(026864049464)"/>
    <s v="Real golf"/>
    <s v="허지웅"/>
    <m/>
    <n v="9730258"/>
    <n v="9049275"/>
    <n v="8776586"/>
    <n v="10325290"/>
    <n v="9887917"/>
    <n v="9291345"/>
    <n v="10548345"/>
    <n v="10361783"/>
    <n v="10420552"/>
    <n v="9598463"/>
    <n v="7570294"/>
    <n v="0"/>
    <m/>
    <n v="-7570294"/>
    <n v="-1"/>
  </r>
  <r>
    <x v="1"/>
    <x v="10"/>
    <x v="20"/>
    <x v="76"/>
    <x v="6"/>
    <e v="#N/A"/>
    <e v="#N/A"/>
    <s v="AWS_defensederby@risingwings.com(183323689126)"/>
    <n v="0"/>
    <s v="허지웅"/>
    <m/>
    <n v="136752"/>
    <n v="105729"/>
    <n v="113452"/>
    <n v="105347"/>
    <n v="126266"/>
    <n v="5287"/>
    <m/>
    <m/>
    <n v="0"/>
    <n v="0"/>
    <n v="0"/>
    <n v="0"/>
    <m/>
    <n v="0"/>
    <s v=""/>
  </r>
  <r>
    <x v="1"/>
    <x v="10"/>
    <x v="20"/>
    <x v="76"/>
    <x v="6"/>
    <e v="#N/A"/>
    <e v="#N/A"/>
    <s v="AWS_RF-global@risingwings.com(260910532074)"/>
    <n v="0"/>
    <s v="허지웅"/>
    <m/>
    <n v="166209"/>
    <n v="58056"/>
    <n v="67117"/>
    <n v="57527"/>
    <n v="73685"/>
    <n v="71744"/>
    <n v="73193"/>
    <n v="71790"/>
    <n v="67361"/>
    <n v="69635"/>
    <n v="67109"/>
    <n v="0"/>
    <m/>
    <n v="-67109"/>
    <n v="-1"/>
  </r>
  <r>
    <x v="1"/>
    <x v="10"/>
    <x v="20"/>
    <x v="76"/>
    <x v="6"/>
    <e v="#N/A"/>
    <e v="#N/A"/>
    <s v="Bhaws_pnix.golf@bluehole.net(352332181309)"/>
    <n v="0"/>
    <s v="허지웅"/>
    <m/>
    <n v="7372523"/>
    <n v="6663145"/>
    <n v="6401510"/>
    <n v="7578300"/>
    <n v="6754683"/>
    <n v="6617121"/>
    <n v="7901566"/>
    <n v="7904281"/>
    <n v="7839956"/>
    <n v="7381642"/>
    <n v="6551862"/>
    <n v="0"/>
    <m/>
    <n v="-6551862"/>
    <n v="-1"/>
  </r>
  <r>
    <x v="1"/>
    <x v="10"/>
    <x v="20"/>
    <x v="76"/>
    <x v="33"/>
    <e v="#N/A"/>
    <e v="#N/A"/>
    <s v="aws-rw-projectel@bluehole.net(637423166880)"/>
    <s v="RW-ProjectEL"/>
    <s v="허지웅"/>
    <m/>
    <n v="4523868"/>
    <n v="2664221"/>
    <n v="3039734"/>
    <n v="3181496"/>
    <n v="5064425"/>
    <n v="3155203"/>
    <n v="2549114"/>
    <n v="505336"/>
    <n v="957591"/>
    <n v="928606"/>
    <n v="832256"/>
    <n v="0"/>
    <m/>
    <n v="-832256"/>
    <n v="-1"/>
  </r>
  <r>
    <x v="1"/>
    <x v="10"/>
    <x v="20"/>
    <x v="76"/>
    <x v="6"/>
    <e v="#N/A"/>
    <e v="#N/A"/>
    <s v="Bhaws_pnixgames@bluehole.net(864894785763)"/>
    <n v="0"/>
    <s v="허지웅"/>
    <m/>
    <n v="785182"/>
    <n v="747190"/>
    <n v="883136"/>
    <n v="967776"/>
    <n v="947372"/>
    <n v="1268958"/>
    <n v="1315444"/>
    <n v="1432400"/>
    <n v="1489322"/>
    <n v="1972443"/>
    <n v="1548904"/>
    <n v="0"/>
    <m/>
    <n v="-1548904"/>
    <n v="-1"/>
  </r>
  <r>
    <x v="1"/>
    <x v="10"/>
    <x v="20"/>
    <x v="77"/>
    <x v="34"/>
    <e v="#N/A"/>
    <e v="#N/A"/>
    <s v="aws-rw-projectA@risingwings.com(905020613622)"/>
    <s v="ProjectA"/>
    <s v="허지웅"/>
    <m/>
    <m/>
    <m/>
    <m/>
    <m/>
    <n v="59656"/>
    <n v="193748"/>
    <n v="248412"/>
    <n v="248954"/>
    <n v="244703"/>
    <n v="183479"/>
    <n v="0"/>
    <n v="0"/>
    <m/>
    <n v="0"/>
    <s v=""/>
  </r>
  <r>
    <x v="1"/>
    <x v="10"/>
    <x v="20"/>
    <x v="77"/>
    <x v="6"/>
    <e v="#N/A"/>
    <e v="#N/A"/>
    <s v="aws-rw-projectAegis@risingwings.com(035462351032)"/>
    <n v="0"/>
    <s v="허지웅"/>
    <m/>
    <m/>
    <m/>
    <m/>
    <m/>
    <m/>
    <n v="0"/>
    <n v="474239"/>
    <n v="879255"/>
    <n v="990756"/>
    <n v="1745791"/>
    <n v="1478207"/>
    <n v="0"/>
    <m/>
    <n v="-1478207"/>
    <n v="-1"/>
  </r>
  <r>
    <x v="1"/>
    <x v="9"/>
    <x v="19"/>
    <x v="6"/>
    <x v="6"/>
    <e v="#N/A"/>
    <e v="#N/A"/>
    <s v="aws-fwg-mementomori@krafton.com(288761730516)"/>
    <n v="0"/>
    <s v="허태욱"/>
    <m/>
    <n v="157897"/>
    <n v="155265"/>
    <n v="161371"/>
    <n v="168468"/>
    <n v="182441"/>
    <n v="175494"/>
    <n v="156126"/>
    <n v="152022"/>
    <n v="155400"/>
    <n v="143982"/>
    <n v="121095"/>
    <n v="0"/>
    <m/>
    <n v="-121095"/>
    <n v="-1"/>
  </r>
  <r>
    <x v="1"/>
    <x v="0"/>
    <x v="0"/>
    <x v="78"/>
    <x v="1"/>
    <n v="101451"/>
    <s v="I100099999"/>
    <s v="aws-security-policy-dac-prod@krafton.com(554000693744)"/>
    <s v="홍석범"/>
    <s v="홍석범"/>
    <m/>
    <m/>
    <m/>
    <m/>
    <m/>
    <n v="10718"/>
    <n v="42846"/>
    <n v="341953"/>
    <n v="1105908"/>
    <n v="5897440"/>
    <n v="7615001"/>
    <n v="6390473"/>
    <n v="0"/>
    <m/>
    <n v="-6390473"/>
    <n v="-1"/>
  </r>
  <r>
    <x v="1"/>
    <x v="0"/>
    <x v="0"/>
    <x v="2"/>
    <x v="1"/>
    <n v="100036"/>
    <s v="I100099999"/>
    <s v="bhaws_intradev@bluehole.net(052342468408)"/>
    <s v="홍성철"/>
    <s v="홍성철"/>
    <m/>
    <n v="2702626"/>
    <n v="2413144"/>
    <n v="2724369"/>
    <n v="2925096"/>
    <n v="6160042"/>
    <n v="4229761"/>
    <n v="5251411"/>
    <n v="5990606"/>
    <n v="5768000"/>
    <n v="5953764"/>
    <n v="5534626"/>
    <n v="0"/>
    <m/>
    <n v="-5534626"/>
    <n v="-1"/>
  </r>
  <r>
    <x v="1"/>
    <x v="0"/>
    <x v="0"/>
    <x v="2"/>
    <x v="1"/>
    <n v="100036"/>
    <s v="I100099999"/>
    <s v="bhaws_intraprod@krafton.com(851725237643)"/>
    <s v="홍성철"/>
    <s v="홍성철"/>
    <m/>
    <n v="441472"/>
    <n v="911247"/>
    <n v="3789379"/>
    <n v="7470943"/>
    <n v="20495839"/>
    <n v="6471825"/>
    <n v="7794808"/>
    <n v="7754440"/>
    <n v="7246481"/>
    <n v="8513695"/>
    <n v="7687465"/>
    <n v="0"/>
    <m/>
    <n v="-7687465"/>
    <n v="-1"/>
  </r>
  <r>
    <x v="1"/>
    <x v="0"/>
    <x v="0"/>
    <x v="2"/>
    <x v="1"/>
    <n v="100036"/>
    <s v="I100099999"/>
    <s v="bhaws_kissflow@bluehole.net(612237199640)"/>
    <s v="홍성철"/>
    <s v="홍성철"/>
    <m/>
    <n v="6080"/>
    <n v="6767"/>
    <n v="14914"/>
    <n v="6231"/>
    <n v="14026"/>
    <n v="11604"/>
    <n v="12148"/>
    <n v="12797"/>
    <n v="11344"/>
    <n v="13523"/>
    <n v="11722"/>
    <n v="0"/>
    <m/>
    <n v="-11722"/>
    <n v="-1"/>
  </r>
  <r>
    <x v="1"/>
    <x v="0"/>
    <x v="0"/>
    <x v="78"/>
    <x v="1"/>
    <n v="101451"/>
    <s v="I100099999"/>
    <s v="aws_engineering_security@bluehole.net(635942867251)"/>
    <s v="홍준화"/>
    <s v="홍준화"/>
    <m/>
    <n v="2311454"/>
    <n v="2555506"/>
    <n v="2534955"/>
    <n v="2522685"/>
    <n v="2604888"/>
    <n v="3294806"/>
    <n v="3017838"/>
    <n v="2282260"/>
    <n v="2303702"/>
    <n v="2848630"/>
    <n v="3687339"/>
    <n v="0"/>
    <m/>
    <n v="-3687339"/>
    <n v="-1"/>
  </r>
  <r>
    <x v="1"/>
    <x v="0"/>
    <x v="0"/>
    <x v="29"/>
    <x v="5"/>
    <n v="100415"/>
    <s v="P100010012"/>
    <s v="aws_pubg_anticheat_service@bluehole.net(843438412681)"/>
    <s v="황범석"/>
    <s v="황범석"/>
    <m/>
    <n v="60806977"/>
    <n v="58517804"/>
    <n v="58986691"/>
    <n v="66751810"/>
    <n v="69921937"/>
    <n v="64748446"/>
    <n v="68843344"/>
    <n v="68664593"/>
    <n v="71296717"/>
    <n v="73708695"/>
    <n v="63509523"/>
    <n v="0"/>
    <m/>
    <n v="-63509523"/>
    <n v="-1"/>
  </r>
  <r>
    <x v="1"/>
    <x v="0"/>
    <x v="0"/>
    <x v="29"/>
    <x v="1"/>
    <n v="100415"/>
    <s v="I100099999"/>
    <s v="aws_pubg-anticheat@bluehole.net(480544169436)"/>
    <s v="황범석"/>
    <s v="황범석"/>
    <m/>
    <n v="1418297"/>
    <n v="1377783"/>
    <n v="1342159"/>
    <n v="1540954"/>
    <n v="1580684"/>
    <n v="1592223"/>
    <n v="1654932"/>
    <n v="3777389"/>
    <n v="5182210"/>
    <n v="4797217"/>
    <n v="4049411"/>
    <n v="0"/>
    <m/>
    <n v="-4049411"/>
    <n v="-1"/>
  </r>
  <r>
    <x v="1"/>
    <x v="0"/>
    <x v="0"/>
    <x v="29"/>
    <x v="1"/>
    <n v="100415"/>
    <s v="I100099999"/>
    <s v="aws-arc-anticheat-service@pubg.com(577638352596)"/>
    <s v="황범석"/>
    <s v="황범석"/>
    <m/>
    <n v="1736489"/>
    <n v="2214667"/>
    <n v="3361773"/>
    <n v="3631588"/>
    <n v="4299778"/>
    <n v="4205431"/>
    <n v="4632646"/>
    <n v="4546730"/>
    <n v="4683676"/>
    <n v="4331868"/>
    <n v="3746835"/>
    <n v="0"/>
    <m/>
    <n v="-3746835"/>
    <n v="-1"/>
  </r>
  <r>
    <x v="1"/>
    <x v="0"/>
    <x v="0"/>
    <x v="29"/>
    <x v="26"/>
    <n v="100415"/>
    <s v="P100010048"/>
    <s v="aws-bb-acs@krafton.com(991613102752)"/>
    <s v="황범석"/>
    <s v="황범석"/>
    <m/>
    <m/>
    <m/>
    <m/>
    <n v="3400715"/>
    <n v="3856463"/>
    <n v="3767342"/>
    <n v="4126647"/>
    <n v="4181143"/>
    <n v="5487556"/>
    <n v="5222312"/>
    <n v="3594228"/>
    <n v="0"/>
    <m/>
    <n v="-3594228"/>
    <n v="-1"/>
  </r>
  <r>
    <x v="1"/>
    <x v="0"/>
    <x v="0"/>
    <x v="29"/>
    <x v="1"/>
    <n v="100415"/>
    <s v="I100099999"/>
    <s v="aws-gse-tech-build@krafton.com(597406702810)"/>
    <s v="황범석"/>
    <s v="황범석"/>
    <m/>
    <m/>
    <m/>
    <m/>
    <n v="116770"/>
    <n v="240623"/>
    <n v="228323"/>
    <n v="241109"/>
    <n v="239026"/>
    <n v="240104"/>
    <n v="241996"/>
    <n v="216849"/>
    <n v="0"/>
    <m/>
    <n v="-216849"/>
    <n v="-1"/>
  </r>
  <r>
    <x v="1"/>
    <x v="0"/>
    <x v="1"/>
    <x v="29"/>
    <x v="2"/>
    <n v="100415"/>
    <s v="P100030014"/>
    <s v="AWS_xtrm-acu@pubg.com(993382902515)"/>
    <s v="황범석"/>
    <s v="황범석"/>
    <m/>
    <n v="5770653"/>
    <n v="4269656"/>
    <n v="3055422"/>
    <n v="3254070"/>
    <n v="3298955"/>
    <n v="3302867"/>
    <n v="3632461"/>
    <n v="3635911"/>
    <n v="3717988"/>
    <n v="3517276"/>
    <n v="2914815"/>
    <n v="0"/>
    <m/>
    <n v="-2914815"/>
    <n v="-1"/>
  </r>
  <r>
    <x v="1"/>
    <x v="0"/>
    <x v="7"/>
    <x v="29"/>
    <x v="0"/>
    <n v="100415"/>
    <s v="P100030073"/>
    <s v="aws_ab-anticheat-service@bluehole.net(799954618127)"/>
    <s v="황범석"/>
    <s v="황범석"/>
    <m/>
    <n v="1482540"/>
    <n v="1671608"/>
    <n v="1845569"/>
    <n v="1915815"/>
    <n v="1909640"/>
    <n v="1842532"/>
    <n v="2014054"/>
    <n v="1980991"/>
    <n v="2014224"/>
    <n v="1331949"/>
    <n v="0"/>
    <n v="0"/>
    <m/>
    <n v="0"/>
    <s v=""/>
  </r>
  <r>
    <x v="1"/>
    <x v="0"/>
    <x v="7"/>
    <x v="29"/>
    <x v="28"/>
    <n v="100415"/>
    <s v="P100030092"/>
    <s v="aws-uropa-anticheat-service@pubg.com(954976311480)"/>
    <s v="황범석"/>
    <s v="황범석"/>
    <m/>
    <n v="1612628"/>
    <n v="1602672"/>
    <n v="1549619"/>
    <n v="1640930"/>
    <n v="1628099"/>
    <n v="1633951"/>
    <n v="1803956"/>
    <n v="1787305"/>
    <n v="1812102"/>
    <n v="1750939"/>
    <n v="1488547"/>
    <n v="0"/>
    <m/>
    <n v="-1488547"/>
    <n v="-1"/>
  </r>
  <r>
    <x v="1"/>
    <x v="0"/>
    <x v="0"/>
    <x v="29"/>
    <x v="35"/>
    <n v="100415"/>
    <s v=" I100090831"/>
    <s v="Aws-kss-hq-anticheat-service@krafton.com(901635709370)"/>
    <s v="황범석"/>
    <s v="황범석"/>
    <m/>
    <m/>
    <m/>
    <m/>
    <m/>
    <m/>
    <m/>
    <m/>
    <m/>
    <m/>
    <m/>
    <n v="646806"/>
    <n v="0"/>
    <m/>
    <n v="-646806"/>
    <n v="-1"/>
  </r>
  <r>
    <x v="1"/>
    <x v="7"/>
    <x v="15"/>
    <x v="48"/>
    <x v="27"/>
    <n v="102035"/>
    <s v="I100090134"/>
    <s v="aws-gpu-sp@krafton.com(690488447034)"/>
    <s v="황시연"/>
    <s v="김지윤"/>
    <m/>
    <m/>
    <m/>
    <m/>
    <m/>
    <m/>
    <n v="6998787602"/>
    <n v="598687232"/>
    <n v="596216106"/>
    <n v="603132784"/>
    <n v="599569136"/>
    <n v="539854405"/>
    <n v="0"/>
    <m/>
    <n v="-539854405"/>
    <n v="-1"/>
  </r>
  <r>
    <x v="1"/>
    <x v="0"/>
    <x v="0"/>
    <x v="79"/>
    <x v="1"/>
    <n v="101050"/>
    <s v="I100099999"/>
    <s v="aws-kdc-hackathon-project@krafton.com(720500601754)"/>
    <s v="황영욱"/>
    <s v="황영욱"/>
    <m/>
    <m/>
    <m/>
    <m/>
    <m/>
    <m/>
    <m/>
    <m/>
    <m/>
    <n v="13427"/>
    <n v="5427"/>
    <n v="6940"/>
    <n v="0"/>
    <m/>
    <n v="-6940"/>
    <n v="-1"/>
  </r>
  <r>
    <x v="1"/>
    <x v="0"/>
    <x v="21"/>
    <x v="80"/>
    <x v="1"/>
    <n v="290069"/>
    <s v="I100099999"/>
    <s v="aws-swagapp@nautilusmbile.com(259546193919)"/>
    <s v="Amit Hardi"/>
    <s v="Amit Hardi"/>
    <m/>
    <m/>
    <m/>
    <m/>
    <m/>
    <m/>
    <m/>
    <m/>
    <m/>
    <m/>
    <n v="13362"/>
    <n v="1435706"/>
    <n v="0"/>
    <m/>
    <n v="-1435706"/>
    <n v="-1"/>
  </r>
  <r>
    <x v="1"/>
    <x v="0"/>
    <x v="11"/>
    <x v="81"/>
    <x v="20"/>
    <n v="100762"/>
    <s v="P100020081"/>
    <s v="aws_na_devops@bluehole.net(367916776138)"/>
    <s v="Arthur Low (AJ)"/>
    <s v="Arthur Low (AJ)"/>
    <m/>
    <n v="7595237"/>
    <n v="7654818"/>
    <n v="6913775"/>
    <n v="10378012"/>
    <n v="16392501"/>
    <n v="19757718"/>
    <n v="19787353"/>
    <n v="14566944"/>
    <n v="17775376"/>
    <n v="18442442"/>
    <n v="16378922"/>
    <n v="0"/>
    <m/>
    <n v="-16378922"/>
    <n v="-1"/>
  </r>
  <r>
    <x v="1"/>
    <x v="0"/>
    <x v="22"/>
    <x v="82"/>
    <x v="1"/>
    <n v="131035"/>
    <s v="I100099999"/>
    <s v="sm_it_accounts@pubg.com(314135859452)"/>
    <s v="David Huh"/>
    <s v="David Huh"/>
    <m/>
    <m/>
    <m/>
    <m/>
    <n v="23164"/>
    <n v="145340"/>
    <n v="142739"/>
    <n v="145778"/>
    <n v="150607"/>
    <n v="146609"/>
    <n v="147869"/>
    <n v="146182"/>
    <n v="0"/>
    <m/>
    <n v="-146182"/>
    <n v="-1"/>
  </r>
  <r>
    <x v="1"/>
    <x v="0"/>
    <x v="23"/>
    <x v="83"/>
    <x v="1"/>
    <n v="290008"/>
    <s v="I100099999"/>
    <s v="aws-india-devtesting@krafton.com(822923364452)"/>
    <s v="Huzaifa Arab"/>
    <s v="Veligatla Vamsi Krishna"/>
    <m/>
    <m/>
    <m/>
    <m/>
    <m/>
    <m/>
    <n v="0"/>
    <n v="12032"/>
    <n v="184044"/>
    <n v="170022"/>
    <n v="50841"/>
    <n v="45164"/>
    <n v="0"/>
    <m/>
    <n v="-45164"/>
    <n v="-1"/>
  </r>
  <r>
    <x v="1"/>
    <x v="11"/>
    <x v="24"/>
    <x v="6"/>
    <x v="6"/>
    <e v="#N/A"/>
    <e v="#N/A"/>
    <s v="ted-aws@unknownworlds.com(221334622883)"/>
    <s v="Jack Smith"/>
    <s v="Jack Smith"/>
    <m/>
    <m/>
    <m/>
    <n v="1756556"/>
    <n v="1799670"/>
    <n v="1794443"/>
    <n v="1648704"/>
    <n v="1750195"/>
    <n v="1748828"/>
    <n v="1772253"/>
    <n v="1724926"/>
    <n v="1626021"/>
    <n v="0"/>
    <m/>
    <n v="-1626021"/>
    <n v="-1"/>
  </r>
  <r>
    <x v="1"/>
    <x v="0"/>
    <x v="0"/>
    <x v="41"/>
    <x v="1"/>
    <n v="101505"/>
    <s v="I100099999"/>
    <s v="aws-jirago-automation@krafton.com(836686979310)"/>
    <s v="Jonas Jawad"/>
    <s v="Jonas Jawad"/>
    <m/>
    <m/>
    <m/>
    <m/>
    <m/>
    <m/>
    <n v="0"/>
    <n v="11407"/>
    <n v="4156"/>
    <n v="9043"/>
    <n v="13862"/>
    <n v="11003"/>
    <n v="0"/>
    <m/>
    <n v="-11003"/>
    <n v="-1"/>
  </r>
  <r>
    <x v="1"/>
    <x v="0"/>
    <x v="25"/>
    <x v="84"/>
    <x v="36"/>
    <n v="101695"/>
    <s v="I100090821"/>
    <s v="aws_studio_m@bluehole.net(827588337044)"/>
    <s v="Julien Copin"/>
    <s v="Julien Copin"/>
    <m/>
    <n v="7943453"/>
    <n v="3335034"/>
    <n v="3265803"/>
    <n v="3354486"/>
    <n v="3340268"/>
    <n v="3307884"/>
    <n v="3427707"/>
    <n v="3507599"/>
    <n v="3449608"/>
    <n v="3603187"/>
    <n v="3771584"/>
    <n v="0"/>
    <m/>
    <n v="-3771584"/>
    <n v="-1"/>
  </r>
  <r>
    <x v="1"/>
    <x v="0"/>
    <x v="26"/>
    <x v="85"/>
    <x v="37"/>
    <n v="100561"/>
    <s v="P100010013"/>
    <s v="AWS_blackbox-dev@sds.com(659459735321)"/>
    <s v="Minkz Ngo"/>
    <s v="Jordan Yerkes"/>
    <m/>
    <n v="4041287"/>
    <n v="4067515"/>
    <n v="5393574"/>
    <m/>
    <m/>
    <m/>
    <m/>
    <m/>
    <n v="0"/>
    <n v="0"/>
    <n v="0"/>
    <n v="0"/>
    <m/>
    <n v="0"/>
    <s v=""/>
  </r>
  <r>
    <x v="1"/>
    <x v="0"/>
    <x v="26"/>
    <x v="85"/>
    <x v="37"/>
    <n v="100561"/>
    <s v="P100010013"/>
    <s v="AWS_Phoenix-Build@sds.com(245762466130)"/>
    <s v="Minkz Ngo"/>
    <s v="Jordan Yerkes"/>
    <m/>
    <n v="1799084"/>
    <n v="1749001"/>
    <n v="1676890"/>
    <n v="1741987"/>
    <n v="1688595"/>
    <n v="1640992"/>
    <n v="1704249"/>
    <n v="1724642"/>
    <n v="1276463"/>
    <n v="0"/>
    <n v="0"/>
    <n v="0"/>
    <m/>
    <n v="0"/>
    <s v=""/>
  </r>
  <r>
    <x v="1"/>
    <x v="0"/>
    <x v="26"/>
    <x v="85"/>
    <x v="37"/>
    <n v="100561"/>
    <s v="P100010013"/>
    <s v="AWS_Phoenix-Dev@sds.com(596361038250)"/>
    <s v="Minkz Ngo"/>
    <s v="Jordan Yerkes"/>
    <m/>
    <n v="429692"/>
    <n v="421074"/>
    <n v="403501"/>
    <n v="422217"/>
    <n v="433785"/>
    <n v="418167"/>
    <n v="438034"/>
    <n v="441884"/>
    <n v="241385"/>
    <n v="0"/>
    <n v="0"/>
    <n v="0"/>
    <m/>
    <n v="0"/>
    <s v=""/>
  </r>
  <r>
    <x v="1"/>
    <x v="0"/>
    <x v="26"/>
    <x v="85"/>
    <x v="37"/>
    <n v="100561"/>
    <s v="P100010013"/>
    <s v="AWS_Phoenix-Live@sds.com(452304306221)"/>
    <s v="Minkz Ngo"/>
    <s v="Jordan Yerkes"/>
    <m/>
    <n v="471213"/>
    <n v="464019"/>
    <n v="442939"/>
    <n v="462346"/>
    <n v="477250"/>
    <n v="459921"/>
    <n v="480817"/>
    <n v="485882"/>
    <n v="344447"/>
    <n v="0"/>
    <n v="0"/>
    <n v="0"/>
    <m/>
    <n v="0"/>
    <s v=""/>
  </r>
  <r>
    <x v="1"/>
    <x v="0"/>
    <x v="26"/>
    <x v="85"/>
    <x v="37"/>
    <n v="100561"/>
    <s v="P100010013"/>
    <s v="AWS_Phoenix-Prod@sds.com(878436247507)"/>
    <s v="Minkz Ngo"/>
    <s v="Jordan Yerkes"/>
    <m/>
    <n v="5806"/>
    <n v="17111"/>
    <n v="5497"/>
    <n v="5587"/>
    <n v="11651"/>
    <n v="8717"/>
    <n v="9143"/>
    <n v="9956"/>
    <n v="6891"/>
    <n v="0"/>
    <n v="0"/>
    <n v="0"/>
    <m/>
    <n v="0"/>
    <s v=""/>
  </r>
  <r>
    <x v="1"/>
    <x v="0"/>
    <x v="26"/>
    <x v="85"/>
    <x v="37"/>
    <n v="100561"/>
    <s v="P100010013"/>
    <s v="AWS_SDS-DevOps@sds.com(290246912864)"/>
    <s v="Minkz Ngo"/>
    <s v="Jordan Yerkes"/>
    <m/>
    <n v="12988743"/>
    <n v="13038481"/>
    <n v="12588478"/>
    <n v="13305868"/>
    <n v="9888008"/>
    <n v="9120766"/>
    <n v="10123189"/>
    <n v="9726249"/>
    <n v="9985811"/>
    <n v="11357403"/>
    <n v="9111993"/>
    <n v="0"/>
    <m/>
    <n v="-9111993"/>
    <n v="-1"/>
  </r>
  <r>
    <x v="1"/>
    <x v="0"/>
    <x v="26"/>
    <x v="85"/>
    <x v="37"/>
    <n v="100561"/>
    <s v="P100010013"/>
    <s v="AWS_SDS-Infra@sds.com(375608835244)"/>
    <s v="Minkz Ngo"/>
    <s v="Jordan Yerkes"/>
    <m/>
    <n v="7440"/>
    <n v="13893"/>
    <n v="7081"/>
    <n v="7161"/>
    <n v="13590"/>
    <n v="11093"/>
    <n v="11591"/>
    <n v="11711"/>
    <n v="10696"/>
    <n v="12673"/>
    <n v="10998"/>
    <n v="0"/>
    <m/>
    <n v="-10998"/>
    <n v="-1"/>
  </r>
  <r>
    <x v="1"/>
    <x v="0"/>
    <x v="26"/>
    <x v="85"/>
    <x v="37"/>
    <n v="100561"/>
    <s v="P100010013"/>
    <s v="aws_sds-security@bluehole.net(667131346962)"/>
    <s v="Minkz Ngo"/>
    <s v="Jordan Yerkes"/>
    <m/>
    <n v="5784"/>
    <n v="6643"/>
    <n v="5374"/>
    <n v="5561"/>
    <n v="17179"/>
    <n v="9089"/>
    <n v="9017"/>
    <n v="9846"/>
    <n v="8701"/>
    <n v="10665"/>
    <n v="9201"/>
    <n v="0"/>
    <m/>
    <n v="-9201"/>
    <n v="-1"/>
  </r>
  <r>
    <x v="1"/>
    <x v="0"/>
    <x v="26"/>
    <x v="85"/>
    <x v="37"/>
    <n v="100561"/>
    <s v="P100010013"/>
    <s v="AWS_SDS-VDI@sds.com(956486919325)"/>
    <s v="Minkz Ngo"/>
    <s v="Jordan Yerkes"/>
    <m/>
    <n v="5824"/>
    <n v="12405"/>
    <n v="5522"/>
    <n v="5587"/>
    <n v="3201"/>
    <m/>
    <m/>
    <m/>
    <n v="0"/>
    <n v="0"/>
    <n v="0"/>
    <n v="0"/>
    <m/>
    <n v="0"/>
    <s v=""/>
  </r>
  <r>
    <x v="1"/>
    <x v="0"/>
    <x v="26"/>
    <x v="85"/>
    <x v="37"/>
    <n v="100561"/>
    <s v="P100010013"/>
    <s v="AWS_SDS-WebHost@sds.com(137191863862)"/>
    <s v="Minkz Ngo"/>
    <s v="Jordan Yerkes"/>
    <m/>
    <n v="127645"/>
    <n v="134200"/>
    <n v="120638"/>
    <n v="125729"/>
    <n v="135435"/>
    <n v="129388"/>
    <n v="135730"/>
    <n v="136614"/>
    <n v="102900"/>
    <n v="0"/>
    <n v="0"/>
    <n v="0"/>
    <m/>
    <n v="0"/>
    <s v=""/>
  </r>
  <r>
    <x v="1"/>
    <x v="0"/>
    <x v="26"/>
    <x v="85"/>
    <x v="37"/>
    <n v="100561"/>
    <s v="P100010013"/>
    <s v="AWS_Titan-Build@sds.com(025476091557)"/>
    <s v="Minkz Ngo"/>
    <s v="Jordan Yerkes"/>
    <m/>
    <n v="554285"/>
    <n v="550617"/>
    <n v="524156"/>
    <n v="587536"/>
    <n v="347848"/>
    <m/>
    <m/>
    <m/>
    <n v="0"/>
    <n v="0"/>
    <n v="0"/>
    <n v="0"/>
    <m/>
    <n v="0"/>
    <s v=""/>
  </r>
  <r>
    <x v="1"/>
    <x v="0"/>
    <x v="26"/>
    <x v="85"/>
    <x v="37"/>
    <n v="100561"/>
    <s v="P100010013"/>
    <s v="AWS_Titan-Dev@sds.com(948684412557)"/>
    <s v="Minkz Ngo"/>
    <s v="Jordan Yerkes"/>
    <m/>
    <n v="4885693"/>
    <n v="4841717"/>
    <n v="4607294"/>
    <n v="5439464"/>
    <n v="1337526"/>
    <m/>
    <m/>
    <m/>
    <n v="0"/>
    <n v="0"/>
    <n v="0"/>
    <n v="0"/>
    <m/>
    <n v="0"/>
    <s v=""/>
  </r>
  <r>
    <x v="1"/>
    <x v="0"/>
    <x v="26"/>
    <x v="85"/>
    <x v="37"/>
    <n v="100561"/>
    <s v="P100010013"/>
    <s v="AWS_Titan-Live@sds.com(668355933448)"/>
    <s v="Minkz Ngo"/>
    <s v="Jordan Yerkes"/>
    <m/>
    <n v="5799"/>
    <n v="12501"/>
    <n v="5492"/>
    <n v="5577"/>
    <n v="3206"/>
    <m/>
    <m/>
    <m/>
    <n v="0"/>
    <n v="0"/>
    <n v="0"/>
    <n v="0"/>
    <m/>
    <n v="0"/>
    <s v=""/>
  </r>
  <r>
    <x v="1"/>
    <x v="0"/>
    <x v="26"/>
    <x v="85"/>
    <x v="37"/>
    <n v="100561"/>
    <s v="P100010013"/>
    <s v="AWS_Titan-Prod@sds.com(498442523516)"/>
    <s v="Minkz Ngo"/>
    <s v="Jordan Yerkes"/>
    <m/>
    <n v="18222"/>
    <n v="22913"/>
    <n v="17208"/>
    <n v="17469"/>
    <n v="10288"/>
    <m/>
    <m/>
    <m/>
    <n v="0"/>
    <n v="0"/>
    <n v="0"/>
    <n v="0"/>
    <m/>
    <n v="0"/>
    <s v=""/>
  </r>
  <r>
    <x v="1"/>
    <x v="0"/>
    <x v="26"/>
    <x v="85"/>
    <x v="37"/>
    <n v="100561"/>
    <s v="P100010013"/>
    <s v="pubg_accelbyte_ops@bluehole.net(845087158014)"/>
    <s v="Minkz Ngo"/>
    <s v="Jordan Yerkes"/>
    <m/>
    <n v="21047286"/>
    <n v="19874819"/>
    <n v="15535979"/>
    <m/>
    <m/>
    <m/>
    <m/>
    <m/>
    <n v="0"/>
    <n v="0"/>
    <n v="0"/>
    <n v="0"/>
    <m/>
    <n v="0"/>
    <s v=""/>
  </r>
  <r>
    <x v="1"/>
    <x v="0"/>
    <x v="26"/>
    <x v="85"/>
    <x v="37"/>
    <n v="100561"/>
    <s v="P100010013"/>
    <s v="pubg_sds_aws@bluehole.net(393410803323)"/>
    <s v="Minkz Ngo"/>
    <s v="Jordan Yerkes"/>
    <m/>
    <n v="35432447"/>
    <n v="34050926"/>
    <n v="33032112"/>
    <n v="34480560"/>
    <n v="34183772"/>
    <n v="33995301"/>
    <n v="36594013"/>
    <n v="34418443"/>
    <n v="29443215"/>
    <n v="29083916"/>
    <n v="17185097"/>
    <n v="0"/>
    <m/>
    <n v="-17185097"/>
    <n v="-1"/>
  </r>
  <r>
    <x v="1"/>
    <x v="0"/>
    <x v="26"/>
    <x v="85"/>
    <x v="37"/>
    <n v="100561"/>
    <s v="P100010013"/>
    <s v="pubg_sds_web@bluehole.net(080552085257)"/>
    <s v="Minkz Ngo"/>
    <s v="Jordan Yerkes"/>
    <m/>
    <n v="114730"/>
    <n v="122950"/>
    <n v="82043"/>
    <n v="123883"/>
    <n v="139376"/>
    <n v="127495"/>
    <n v="132303"/>
    <n v="132925"/>
    <n v="133271"/>
    <n v="135375"/>
    <n v="123553"/>
    <n v="0"/>
    <m/>
    <n v="-123553"/>
    <n v="-1"/>
  </r>
  <r>
    <x v="1"/>
    <x v="0"/>
    <x v="27"/>
    <x v="86"/>
    <x v="1"/>
    <n v="101214"/>
    <s v="I100099999"/>
    <s v="aws_vn_dev@bluehole.net(182073802933)"/>
    <s v="Petr Matoušek"/>
    <s v="Petr Matoušek"/>
    <m/>
    <n v="2336214"/>
    <n v="2615779"/>
    <n v="3700931"/>
    <n v="5504323"/>
    <n v="5175438"/>
    <n v="4171430"/>
    <n v="4336445"/>
    <n v="3641808"/>
    <n v="0"/>
    <n v="0"/>
    <n v="0"/>
    <n v="0"/>
    <m/>
    <n v="0"/>
    <s v=""/>
  </r>
  <r>
    <x v="1"/>
    <x v="0"/>
    <x v="23"/>
    <x v="87"/>
    <x v="1"/>
    <n v="290062"/>
    <s v="I100099999"/>
    <s v="aws-ignt-sports-fantasy-prod@krafton.com(029939913515)"/>
    <s v="Prashant Pandey"/>
    <s v="Prashant Pandey"/>
    <m/>
    <m/>
    <m/>
    <m/>
    <m/>
    <m/>
    <m/>
    <m/>
    <m/>
    <m/>
    <n v="12667"/>
    <n v="767196"/>
    <n v="0"/>
    <m/>
    <n v="-767196"/>
    <n v="-1"/>
  </r>
  <r>
    <x v="1"/>
    <x v="0"/>
    <x v="23"/>
    <x v="87"/>
    <x v="38"/>
    <n v="290062"/>
    <e v="#N/A"/>
    <s v="aws-ignt-sports-fantasy@krafton.com(496851883612)"/>
    <s v="Sudhamshu Mitra"/>
    <s v="Sudhamshu Mitra"/>
    <m/>
    <m/>
    <m/>
    <m/>
    <m/>
    <m/>
    <m/>
    <m/>
    <m/>
    <n v="53289"/>
    <n v="182233"/>
    <n v="808512"/>
    <n v="0"/>
    <m/>
    <n v="-808512"/>
    <n v="-1"/>
  </r>
  <r>
    <x v="2"/>
    <x v="0"/>
    <x v="0"/>
    <x v="88"/>
    <x v="24"/>
    <n v="101002"/>
    <s v="P100010055"/>
    <s v="DL-Service-SafeCanvas-inZOI-Publishing2"/>
    <s v="임형진"/>
    <s v="국용상"/>
    <m/>
    <n v="0"/>
    <n v="128546"/>
    <n v="72109"/>
    <n v="47250"/>
    <n v="113201"/>
    <n v="329653"/>
    <n v="33605.436800000003"/>
    <n v="0"/>
    <n v="0"/>
    <n v="0"/>
    <n v="40905"/>
    <n v="0"/>
    <m/>
    <n v="-40905"/>
    <n v="-1"/>
  </r>
  <r>
    <x v="2"/>
    <x v="12"/>
    <x v="28"/>
    <x v="88"/>
    <x v="24"/>
    <n v="101002"/>
    <s v="P100010012"/>
    <s v="DL-Service-SafeCanvas-inZOI-Publishing2"/>
    <s v="임형진"/>
    <s v="국용상"/>
    <m/>
    <n v="470504"/>
    <n v="210731"/>
    <n v="118211"/>
    <n v="77459"/>
    <n v="185575"/>
    <n v="540414"/>
    <n v="52972"/>
    <n v="0"/>
    <n v="0"/>
    <n v="0"/>
    <n v="64479"/>
    <n v="0"/>
    <m/>
    <n v="-64479"/>
    <n v="-1"/>
  </r>
  <r>
    <x v="2"/>
    <x v="0"/>
    <x v="0"/>
    <x v="18"/>
    <x v="3"/>
    <n v="101721"/>
    <s v="P100130012"/>
    <s v="BGMI-DB-Monitoring"/>
    <s v="김도현"/>
    <s v="김도현"/>
    <m/>
    <n v="0"/>
    <n v="361912"/>
    <n v="564614"/>
    <n v="376200"/>
    <n v="490439"/>
    <n v="355263"/>
    <n v="706628.97759999998"/>
    <n v="336976"/>
    <n v="379391"/>
    <n v="740866"/>
    <n v="797677"/>
    <n v="0"/>
    <m/>
    <n v="-797677"/>
    <n v="-1"/>
  </r>
  <r>
    <x v="2"/>
    <x v="0"/>
    <x v="0"/>
    <x v="18"/>
    <x v="1"/>
    <n v="101721"/>
    <s v="I100099999"/>
    <s v="DB-Tech_BHS"/>
    <s v="김도현"/>
    <s v="김도현"/>
    <m/>
    <n v="0"/>
    <n v="323937"/>
    <n v="389658"/>
    <n v="595835"/>
    <n v="856721"/>
    <n v="923465"/>
    <n v="1165130.7927999999"/>
    <n v="2104265"/>
    <n v="2179241"/>
    <n v="1280283"/>
    <n v="2126445"/>
    <n v="0"/>
    <m/>
    <n v="-2126445"/>
    <n v="-1"/>
  </r>
  <r>
    <x v="2"/>
    <x v="12"/>
    <x v="28"/>
    <x v="18"/>
    <x v="3"/>
    <n v="101721"/>
    <e v="#N/A"/>
    <s v="BGMI-DB-Monitoring"/>
    <s v="김도현"/>
    <s v="김도현"/>
    <m/>
    <n v="565325"/>
    <n v="593298"/>
    <n v="925596"/>
    <n v="616722"/>
    <n v="803998"/>
    <n v="582399"/>
    <n v="1113854"/>
    <n v="531173"/>
    <n v="598031"/>
    <n v="1167821"/>
    <n v="1257373"/>
    <n v="0"/>
    <m/>
    <n v="-1257373"/>
    <n v="-1"/>
  </r>
  <r>
    <x v="2"/>
    <x v="12"/>
    <x v="28"/>
    <x v="18"/>
    <x v="1"/>
    <n v="101721"/>
    <s v="P100010048"/>
    <s v="DB-Tech_BHS"/>
    <s v="김도현"/>
    <s v="김도현"/>
    <m/>
    <n v="511956"/>
    <n v="531044"/>
    <n v="638783"/>
    <n v="976778"/>
    <n v="1404460"/>
    <n v="1513877"/>
    <n v="1836587"/>
    <n v="3316937"/>
    <n v="3435122"/>
    <n v="2018100"/>
    <n v="3351899"/>
    <n v="0"/>
    <m/>
    <n v="-3351899"/>
    <n v="-1"/>
  </r>
  <r>
    <x v="2"/>
    <x v="0"/>
    <x v="0"/>
    <x v="43"/>
    <x v="1"/>
    <n v="100212"/>
    <s v="I100099999"/>
    <s v="data-accounting"/>
    <s v="염화음"/>
    <s v="김시훈"/>
    <m/>
    <n v="0"/>
    <n v="15317371"/>
    <n v="14594182"/>
    <n v="14556277"/>
    <n v="13828244"/>
    <n v="13629480"/>
    <n v="14008017.0152"/>
    <n v="13397822"/>
    <n v="13090452"/>
    <n v="17211313"/>
    <n v="21263698"/>
    <n v="0"/>
    <m/>
    <n v="-21263698"/>
    <n v="-1"/>
  </r>
  <r>
    <x v="2"/>
    <x v="0"/>
    <x v="0"/>
    <x v="43"/>
    <x v="1"/>
    <n v="100212"/>
    <s v="I100099999"/>
    <s v="data-platform"/>
    <s v="염화음"/>
    <s v="김시훈"/>
    <m/>
    <n v="0"/>
    <n v="126728664"/>
    <n v="127628160"/>
    <n v="149218418"/>
    <n v="172934433"/>
    <n v="141380470"/>
    <n v="136497312.41119999"/>
    <n v="159184683"/>
    <n v="149900669"/>
    <n v="156504733"/>
    <n v="357963114"/>
    <n v="0"/>
    <m/>
    <n v="-357963114"/>
    <n v="-1"/>
  </r>
  <r>
    <x v="2"/>
    <x v="0"/>
    <x v="0"/>
    <x v="43"/>
    <x v="1"/>
    <n v="100212"/>
    <s v="I100099999"/>
    <s v="data-tech"/>
    <s v="염화음"/>
    <s v="김시훈"/>
    <m/>
    <n v="0"/>
    <n v="65443626"/>
    <n v="83196799"/>
    <n v="88226201"/>
    <n v="97461072"/>
    <n v="91968279"/>
    <n v="99677091.6752"/>
    <n v="119954546"/>
    <n v="123162553"/>
    <n v="104060185"/>
    <n v="119579697"/>
    <n v="0"/>
    <m/>
    <n v="-119579697"/>
    <n v="-1"/>
  </r>
  <r>
    <x v="2"/>
    <x v="0"/>
    <x v="0"/>
    <x v="43"/>
    <x v="3"/>
    <n v="100212"/>
    <s v="P100130012"/>
    <s v="ded-engineering"/>
    <s v="염화음"/>
    <s v="김시훈"/>
    <m/>
    <n v="0"/>
    <n v="41084654"/>
    <n v="34897936"/>
    <n v="30461387"/>
    <n v="40749550"/>
    <n v="82303641"/>
    <n v="84995686.9736"/>
    <n v="105864456"/>
    <n v="110659586"/>
    <n v="108055470"/>
    <n v="101452552"/>
    <n v="0"/>
    <m/>
    <n v="-101452552"/>
    <n v="-1"/>
  </r>
  <r>
    <x v="2"/>
    <x v="12"/>
    <x v="28"/>
    <x v="43"/>
    <x v="1"/>
    <n v="100212"/>
    <s v="P100010048"/>
    <s v="data-accounting"/>
    <s v="염화음"/>
    <s v="김시훈"/>
    <m/>
    <n v="23957587"/>
    <n v="25110445"/>
    <n v="23924888"/>
    <n v="23862749"/>
    <n v="22669253"/>
    <n v="22343410"/>
    <n v="22080733"/>
    <n v="21118887"/>
    <n v="20634632"/>
    <n v="27130065"/>
    <n v="33517809"/>
    <n v="0"/>
    <m/>
    <n v="-33517809"/>
    <n v="-1"/>
  </r>
  <r>
    <x v="2"/>
    <x v="12"/>
    <x v="28"/>
    <x v="43"/>
    <x v="1"/>
    <n v="100212"/>
    <s v="P100010048"/>
    <s v="data-platform"/>
    <s v="염화음"/>
    <s v="김시훈"/>
    <m/>
    <n v="199081588"/>
    <n v="207751908"/>
    <n v="209226492"/>
    <n v="244620357"/>
    <n v="283499070"/>
    <n v="231771262"/>
    <n v="215159698"/>
    <n v="250921631"/>
    <n v="236292378"/>
    <n v="246697246"/>
    <n v="564254593"/>
    <n v="0"/>
    <m/>
    <n v="-564254593"/>
    <n v="-1"/>
  </r>
  <r>
    <x v="2"/>
    <x v="12"/>
    <x v="28"/>
    <x v="43"/>
    <x v="1"/>
    <n v="100212"/>
    <s v="P100010048"/>
    <s v="data-tech"/>
    <s v="염화음"/>
    <s v="김시훈"/>
    <m/>
    <n v="101244451"/>
    <n v="107284632"/>
    <n v="136388195"/>
    <n v="144633116"/>
    <n v="159772249"/>
    <n v="150767671"/>
    <n v="157120258"/>
    <n v="189083458"/>
    <n v="194140226"/>
    <n v="164029296"/>
    <n v="188492587"/>
    <n v="0"/>
    <m/>
    <n v="-188492587"/>
    <n v="-1"/>
  </r>
  <r>
    <x v="2"/>
    <x v="12"/>
    <x v="28"/>
    <x v="43"/>
    <x v="3"/>
    <n v="100212"/>
    <e v="#N/A"/>
    <s v="ded-engineering"/>
    <s v="염화음"/>
    <s v="김시훈"/>
    <m/>
    <n v="58544910"/>
    <n v="67351891"/>
    <n v="57209731"/>
    <n v="49936700"/>
    <n v="66802541"/>
    <n v="134924001"/>
    <n v="133978069"/>
    <n v="166873355"/>
    <n v="174484781"/>
    <n v="170327034"/>
    <n v="159918903"/>
    <n v="0"/>
    <m/>
    <n v="-159918903"/>
    <n v="-1"/>
  </r>
  <r>
    <x v="2"/>
    <x v="12"/>
    <x v="28"/>
    <x v="1"/>
    <x v="2"/>
    <n v="100368"/>
    <s v="AI Tools"/>
    <s v="XTRM-data"/>
    <s v="염화음"/>
    <s v="김시훈"/>
    <m/>
    <n v="90761"/>
    <n v="94506"/>
    <n v="94326"/>
    <n v="96820"/>
    <n v="96833"/>
    <n v="93578"/>
    <n v="96915"/>
    <n v="93590"/>
    <n v="96786"/>
    <n v="96351"/>
    <n v="88188"/>
    <n v="0"/>
    <m/>
    <n v="-88188"/>
    <n v="-1"/>
  </r>
  <r>
    <x v="2"/>
    <x v="0"/>
    <x v="1"/>
    <x v="1"/>
    <x v="2"/>
    <n v="100368"/>
    <s v="P100030014"/>
    <s v="XTRM-data"/>
    <s v="염화음"/>
    <s v="김시훈"/>
    <m/>
    <n v="0"/>
    <n v="57649"/>
    <n v="57539"/>
    <n v="59060"/>
    <n v="59068"/>
    <n v="57083"/>
    <n v="61482.875999999997"/>
    <n v="59373"/>
    <n v="61401"/>
    <n v="61125"/>
    <n v="55946"/>
    <n v="0"/>
    <m/>
    <n v="-55946"/>
    <n v="-1"/>
  </r>
  <r>
    <x v="2"/>
    <x v="0"/>
    <x v="0"/>
    <x v="0"/>
    <x v="1"/>
    <n v="101269"/>
    <s v="I100099999"/>
    <s v="EME-SUNSET-BACKUP"/>
    <s v="김정언"/>
    <s v="김정언"/>
    <m/>
    <n v="0"/>
    <n v="104600"/>
    <n v="104600"/>
    <n v="104600"/>
    <n v="104600"/>
    <n v="104600"/>
    <n v="108784.3744"/>
    <n v="108784"/>
    <n v="108784"/>
    <n v="108784"/>
    <n v="108784"/>
    <n v="0"/>
    <m/>
    <n v="-108784"/>
    <n v="-1"/>
  </r>
  <r>
    <x v="2"/>
    <x v="0"/>
    <x v="0"/>
    <x v="89"/>
    <x v="39"/>
    <n v="101835"/>
    <s v="P100130145"/>
    <s v="SRC-India-DEV"/>
    <s v="김정언"/>
    <s v="김정언"/>
    <m/>
    <m/>
    <m/>
    <m/>
    <m/>
    <m/>
    <m/>
    <m/>
    <m/>
    <n v="0"/>
    <n v="31079"/>
    <n v="1127183"/>
    <n v="0"/>
    <m/>
    <n v="-1127183"/>
    <n v="-1"/>
  </r>
  <r>
    <x v="2"/>
    <x v="12"/>
    <x v="28"/>
    <x v="0"/>
    <x v="1"/>
    <n v="101269"/>
    <s v="P100010048"/>
    <s v="EME-SUNSET-BACKUP"/>
    <s v="김정언"/>
    <s v="김정언"/>
    <m/>
    <n v="171809"/>
    <n v="171475"/>
    <n v="171476"/>
    <n v="171476"/>
    <n v="171476"/>
    <n v="171476"/>
    <n v="171476"/>
    <n v="171476"/>
    <n v="171476"/>
    <n v="171476"/>
    <n v="171476"/>
    <n v="0"/>
    <m/>
    <n v="-171476"/>
    <n v="-1"/>
  </r>
  <r>
    <x v="2"/>
    <x v="12"/>
    <x v="28"/>
    <x v="89"/>
    <x v="39"/>
    <n v="101835"/>
    <s v="P100010012"/>
    <s v="SRC-India-DEV"/>
    <s v="김정언"/>
    <s v="김정언"/>
    <m/>
    <m/>
    <m/>
    <m/>
    <m/>
    <m/>
    <m/>
    <m/>
    <m/>
    <m/>
    <n v="48989"/>
    <n v="1776770"/>
    <n v="0"/>
    <m/>
    <n v="-1776770"/>
    <n v="-1"/>
  </r>
  <r>
    <x v="2"/>
    <x v="2"/>
    <x v="5"/>
    <x v="10"/>
    <x v="8"/>
    <n v="100810"/>
    <s v="I100090817"/>
    <s v="AI-Research-Deep-Learning"/>
    <s v="이동기"/>
    <s v="김지윤"/>
    <m/>
    <n v="0"/>
    <n v="165375722"/>
    <n v="155770189"/>
    <n v="159503263"/>
    <n v="157978039"/>
    <n v="153176321"/>
    <n v="157596351.55520001"/>
    <n v="157720002"/>
    <n v="167333904"/>
    <n v="159722511"/>
    <n v="153928898"/>
    <n v="0"/>
    <m/>
    <n v="-153928898"/>
    <n v="-1"/>
  </r>
  <r>
    <x v="2"/>
    <x v="12"/>
    <x v="28"/>
    <x v="10"/>
    <x v="8"/>
    <n v="100810"/>
    <s v="P100010012"/>
    <s v="AI-Research-Deep-Learning"/>
    <s v="이동기"/>
    <s v="김지윤"/>
    <m/>
    <n v="276540607"/>
    <n v="271107741"/>
    <n v="255360965"/>
    <n v="261480759"/>
    <n v="258980391"/>
    <n v="251108723"/>
    <n v="249788803"/>
    <n v="248612867"/>
    <n v="263767189"/>
    <n v="251769405"/>
    <n v="242636977"/>
    <n v="0"/>
    <m/>
    <n v="-242636977"/>
    <n v="-1"/>
  </r>
  <r>
    <x v="2"/>
    <x v="12"/>
    <x v="28"/>
    <x v="1"/>
    <x v="2"/>
    <n v="100368"/>
    <s v="AI Tools"/>
    <s v="xtrm-newstate"/>
    <s v="김태완"/>
    <s v="김태완"/>
    <m/>
    <n v="681483"/>
    <n v="820495"/>
    <n v="791655"/>
    <n v="813289"/>
    <n v="807419"/>
    <n v="781646"/>
    <n v="804231"/>
    <n v="708422"/>
    <n v="693447"/>
    <n v="693954"/>
    <n v="629965"/>
    <n v="0"/>
    <m/>
    <n v="-629965"/>
    <n v="-1"/>
  </r>
  <r>
    <x v="2"/>
    <x v="0"/>
    <x v="1"/>
    <x v="1"/>
    <x v="2"/>
    <n v="100368"/>
    <s v="P100030014"/>
    <s v="xtrm-newstate"/>
    <s v="김태완"/>
    <s v="김태완"/>
    <m/>
    <n v="0"/>
    <n v="500502"/>
    <n v="482910"/>
    <n v="496106"/>
    <n v="492526"/>
    <n v="476804"/>
    <n v="510204.14640000003"/>
    <n v="449423"/>
    <n v="439923"/>
    <n v="440244"/>
    <n v="399650"/>
    <n v="0"/>
    <m/>
    <n v="-399650"/>
    <n v="-1"/>
  </r>
  <r>
    <x v="2"/>
    <x v="0"/>
    <x v="0"/>
    <x v="89"/>
    <x v="1"/>
    <n v="101835"/>
    <s v="I100099999"/>
    <s v="Battlin Project"/>
    <s v="김형진"/>
    <s v="김형진"/>
    <m/>
    <m/>
    <m/>
    <m/>
    <m/>
    <m/>
    <m/>
    <m/>
    <m/>
    <m/>
    <m/>
    <n v="4037"/>
    <n v="0"/>
    <m/>
    <n v="-4037"/>
    <n v="-1"/>
  </r>
  <r>
    <x v="2"/>
    <x v="12"/>
    <x v="28"/>
    <x v="89"/>
    <x v="1"/>
    <n v="101835"/>
    <s v="I100099999"/>
    <s v="Battlin Project"/>
    <s v="김형진"/>
    <s v="김형진"/>
    <m/>
    <m/>
    <m/>
    <m/>
    <m/>
    <m/>
    <m/>
    <m/>
    <m/>
    <m/>
    <m/>
    <n v="6364"/>
    <n v="0"/>
    <m/>
    <n v="-6364"/>
    <n v="-1"/>
  </r>
  <r>
    <x v="2"/>
    <x v="0"/>
    <x v="0"/>
    <x v="89"/>
    <x v="1"/>
    <n v="101835"/>
    <s v="I100099999"/>
    <s v="Battlin Project_old"/>
    <s v="김형진"/>
    <s v="김형진"/>
    <m/>
    <m/>
    <m/>
    <m/>
    <m/>
    <m/>
    <m/>
    <m/>
    <m/>
    <m/>
    <n v="3753754"/>
    <n v="8778135"/>
    <n v="0"/>
    <m/>
    <n v="-8778135"/>
    <n v="-1"/>
  </r>
  <r>
    <x v="2"/>
    <x v="8"/>
    <x v="16"/>
    <x v="90"/>
    <x v="1"/>
    <n v="460013"/>
    <s v="P100010048"/>
    <s v="overdare_visualstudio"/>
    <s v="나윤호"/>
    <s v="나윤호"/>
    <m/>
    <n v="1066442"/>
    <n v="650530"/>
    <n v="650530"/>
    <n v="639230"/>
    <n v="650530"/>
    <n v="650530"/>
    <n v="625509.25"/>
    <n v="625509"/>
    <n v="625509"/>
    <n v="625509"/>
    <n v="625509"/>
    <n v="0"/>
    <m/>
    <n v="-625509"/>
    <n v="-1"/>
  </r>
  <r>
    <x v="2"/>
    <x v="12"/>
    <x v="28"/>
    <x v="90"/>
    <x v="1"/>
    <n v="460013"/>
    <s v="P100010048"/>
    <s v="overdare_visualstudio"/>
    <s v="나윤호"/>
    <s v="나윤호"/>
    <m/>
    <n v="0"/>
    <n v="1066442"/>
    <n v="1066442"/>
    <n v="1047918"/>
    <n v="1066442"/>
    <n v="1066442"/>
    <n v="1025425"/>
    <n v="1025425"/>
    <n v="1025425"/>
    <n v="1025425"/>
    <n v="1025425"/>
    <n v="0"/>
    <m/>
    <n v="-1025425"/>
    <n v="-1"/>
  </r>
  <r>
    <x v="2"/>
    <x v="0"/>
    <x v="0"/>
    <x v="43"/>
    <x v="1"/>
    <n v="100212"/>
    <s v="I100099999"/>
    <s v="data-service"/>
    <s v="염화음"/>
    <s v="문중현"/>
    <m/>
    <n v="0"/>
    <n v="2189"/>
    <n v="0"/>
    <m/>
    <m/>
    <m/>
    <m/>
    <m/>
    <n v="0"/>
    <n v="0"/>
    <n v="0"/>
    <n v="0"/>
    <m/>
    <n v="0"/>
    <s v=""/>
  </r>
  <r>
    <x v="2"/>
    <x v="0"/>
    <x v="0"/>
    <x v="43"/>
    <x v="1"/>
    <n v="100212"/>
    <s v="I100099999"/>
    <s v="ded-data-intelligence"/>
    <s v="염화음"/>
    <s v="문중현"/>
    <m/>
    <n v="0"/>
    <n v="7475391"/>
    <n v="14338676"/>
    <n v="497669"/>
    <n v="567236"/>
    <n v="2818292"/>
    <n v="1435164.4216"/>
    <n v="1555487"/>
    <n v="5437463"/>
    <n v="4623765"/>
    <n v="4114446"/>
    <n v="0"/>
    <m/>
    <n v="-4114446"/>
    <n v="-1"/>
  </r>
  <r>
    <x v="2"/>
    <x v="12"/>
    <x v="28"/>
    <x v="43"/>
    <x v="1"/>
    <n v="100212"/>
    <s v="P100010048"/>
    <s v="data-service"/>
    <s v="염화음"/>
    <s v="문중현"/>
    <m/>
    <n v="3471486"/>
    <n v="3589"/>
    <n v="0"/>
    <m/>
    <m/>
    <m/>
    <m/>
    <m/>
    <n v="0"/>
    <n v="0"/>
    <n v="0"/>
    <n v="0"/>
    <m/>
    <n v="0"/>
    <s v=""/>
  </r>
  <r>
    <x v="2"/>
    <x v="12"/>
    <x v="28"/>
    <x v="43"/>
    <x v="1"/>
    <n v="100212"/>
    <s v="P100010048"/>
    <s v="ded-data-intelligence"/>
    <s v="염화음"/>
    <s v="문중현"/>
    <m/>
    <n v="3072171"/>
    <n v="12254739"/>
    <n v="23506026"/>
    <n v="815850"/>
    <n v="929895"/>
    <n v="4620150"/>
    <n v="2262239"/>
    <n v="2451903"/>
    <n v="8571032"/>
    <n v="7288407"/>
    <n v="6485571"/>
    <n v="0"/>
    <m/>
    <n v="-6485571"/>
    <n v="-1"/>
  </r>
  <r>
    <x v="2"/>
    <x v="0"/>
    <x v="0"/>
    <x v="91"/>
    <x v="1"/>
    <n v="100974"/>
    <s v="I100099999"/>
    <s v="Strategic Alignment Office"/>
    <s v="박승아"/>
    <s v="박승아"/>
    <m/>
    <m/>
    <m/>
    <m/>
    <m/>
    <m/>
    <m/>
    <m/>
    <m/>
    <n v="0"/>
    <n v="13313"/>
    <n v="17695"/>
    <n v="0"/>
    <m/>
    <n v="-17695"/>
    <n v="-1"/>
  </r>
  <r>
    <x v="2"/>
    <x v="12"/>
    <x v="28"/>
    <x v="91"/>
    <x v="1"/>
    <n v="100974"/>
    <s v="P100010048"/>
    <s v="Strategic Alignment Office"/>
    <s v="박승아"/>
    <s v="박승아"/>
    <m/>
    <m/>
    <m/>
    <m/>
    <m/>
    <m/>
    <m/>
    <m/>
    <m/>
    <m/>
    <n v="20985"/>
    <n v="27892"/>
    <n v="0"/>
    <m/>
    <n v="-27892"/>
    <n v="-1"/>
  </r>
  <r>
    <x v="2"/>
    <x v="0"/>
    <x v="0"/>
    <x v="3"/>
    <x v="3"/>
    <n v="100553"/>
    <s v="P100130012"/>
    <s v="bgmiops"/>
    <s v="조동현"/>
    <s v="박형준"/>
    <m/>
    <n v="0"/>
    <n v="194459"/>
    <n v="509492"/>
    <n v="594998"/>
    <n v="581019"/>
    <n v="563025"/>
    <n v="596672.23199999996"/>
    <n v="580624"/>
    <n v="603812"/>
    <n v="588850"/>
    <n v="832785"/>
    <n v="0"/>
    <m/>
    <n v="-832785"/>
    <n v="-1"/>
  </r>
  <r>
    <x v="2"/>
    <x v="0"/>
    <x v="0"/>
    <x v="3"/>
    <x v="3"/>
    <n v="100553"/>
    <s v="P100130012"/>
    <s v="pubg_mobile"/>
    <s v="조동현"/>
    <s v="박형준"/>
    <m/>
    <n v="0"/>
    <n v="2868169594"/>
    <n v="2635352434"/>
    <n v="2853663210"/>
    <n v="2918228070"/>
    <n v="2712037527"/>
    <n v="2788638480.5584002"/>
    <n v="2638062712"/>
    <n v="2719853599"/>
    <n v="2681886330"/>
    <n v="2590022339"/>
    <n v="0"/>
    <m/>
    <n v="-2590022339"/>
    <n v="-1"/>
  </r>
  <r>
    <x v="2"/>
    <x v="0"/>
    <x v="0"/>
    <x v="3"/>
    <x v="3"/>
    <n v="100553"/>
    <s v="P100130012"/>
    <s v="pubg_mobile_Test"/>
    <s v="조동현"/>
    <s v="박형준"/>
    <m/>
    <n v="0"/>
    <n v="5918183"/>
    <n v="10063622"/>
    <n v="7652918"/>
    <n v="6458424"/>
    <n v="5882031"/>
    <n v="7633905.2192000002"/>
    <n v="8523777"/>
    <n v="8947618"/>
    <n v="9256166"/>
    <n v="8813779"/>
    <n v="0"/>
    <m/>
    <n v="-8813779"/>
    <n v="-1"/>
  </r>
  <r>
    <x v="2"/>
    <x v="12"/>
    <x v="28"/>
    <x v="3"/>
    <x v="3"/>
    <n v="100553"/>
    <e v="#N/A"/>
    <s v="bgmiops"/>
    <s v="조동현"/>
    <s v="박형준"/>
    <m/>
    <n v="272523"/>
    <n v="318785"/>
    <n v="835233"/>
    <n v="975406"/>
    <n v="952490"/>
    <n v="922992"/>
    <n v="940530"/>
    <n v="915233"/>
    <n v="951785"/>
    <n v="928200"/>
    <n v="1312713"/>
    <n v="0"/>
    <m/>
    <n v="-1312713"/>
    <n v="-1"/>
  </r>
  <r>
    <x v="2"/>
    <x v="12"/>
    <x v="28"/>
    <x v="3"/>
    <x v="3"/>
    <n v="100553"/>
    <e v="#N/A"/>
    <s v="pubg_mobile"/>
    <s v="조동현"/>
    <s v="박형준"/>
    <m/>
    <n v="4428010767"/>
    <n v="4701917367"/>
    <n v="4320249892"/>
    <n v="4678136410"/>
    <n v="4783980440"/>
    <n v="4445963159"/>
    <n v="4395710086"/>
    <n v="4158358621"/>
    <n v="4287447886"/>
    <n v="4227437468"/>
    <n v="4082632942"/>
    <n v="0"/>
    <m/>
    <n v="-4082632942"/>
    <n v="-1"/>
  </r>
  <r>
    <x v="2"/>
    <x v="12"/>
    <x v="28"/>
    <x v="3"/>
    <x v="3"/>
    <n v="100553"/>
    <e v="#N/A"/>
    <s v="pubg_mobile_Test"/>
    <s v="조동현"/>
    <s v="박형준"/>
    <m/>
    <n v="5229135"/>
    <n v="9701940"/>
    <n v="16497741"/>
    <n v="12545767"/>
    <n v="10587581"/>
    <n v="9642674"/>
    <n v="12033268"/>
    <n v="13435967"/>
    <n v="14104063"/>
    <n v="14590426"/>
    <n v="13893094"/>
    <n v="0"/>
    <m/>
    <n v="-13893094"/>
    <n v="-1"/>
  </r>
  <r>
    <x v="2"/>
    <x v="0"/>
    <x v="0"/>
    <x v="92"/>
    <x v="1"/>
    <n v="101799"/>
    <s v="I100099999"/>
    <s v="ART_ALI_Vision"/>
    <s v="배준석"/>
    <s v="배준석"/>
    <m/>
    <m/>
    <m/>
    <m/>
    <m/>
    <m/>
    <m/>
    <n v="1.9032"/>
    <n v="12"/>
    <n v="0"/>
    <n v="0"/>
    <n v="0"/>
    <n v="0"/>
    <m/>
    <n v="0"/>
    <s v=""/>
  </r>
  <r>
    <x v="2"/>
    <x v="0"/>
    <x v="0"/>
    <x v="92"/>
    <x v="1"/>
    <n v="101799"/>
    <s v="I100099999"/>
    <s v="ART_ALI_CustomVision"/>
    <s v="배준석"/>
    <s v="배준석"/>
    <m/>
    <m/>
    <m/>
    <m/>
    <m/>
    <m/>
    <m/>
    <n v="1.9032"/>
    <n v="4"/>
    <n v="521"/>
    <n v="258"/>
    <n v="226"/>
    <n v="0"/>
    <m/>
    <n v="-226"/>
    <n v="-1"/>
  </r>
  <r>
    <x v="2"/>
    <x v="12"/>
    <x v="28"/>
    <x v="92"/>
    <x v="1"/>
    <n v="101799"/>
    <s v="P100010048"/>
    <s v="ART_ALI_CustomVision"/>
    <s v="배준석"/>
    <s v="배준석"/>
    <m/>
    <m/>
    <m/>
    <m/>
    <m/>
    <m/>
    <m/>
    <n v="3"/>
    <n v="6"/>
    <n v="822"/>
    <n v="406"/>
    <n v="356"/>
    <n v="0"/>
    <m/>
    <n v="-356"/>
    <n v="-1"/>
  </r>
  <r>
    <x v="2"/>
    <x v="12"/>
    <x v="28"/>
    <x v="92"/>
    <x v="1"/>
    <n v="101799"/>
    <s v="P100010048"/>
    <s v="ART_ALI_Vision"/>
    <s v="배준석"/>
    <s v="배준석"/>
    <m/>
    <m/>
    <m/>
    <m/>
    <m/>
    <m/>
    <m/>
    <n v="3"/>
    <n v="19"/>
    <n v="0"/>
    <n v="0"/>
    <n v="0"/>
    <n v="0"/>
    <m/>
    <n v="0"/>
    <s v=""/>
  </r>
  <r>
    <x v="2"/>
    <x v="0"/>
    <x v="0"/>
    <x v="2"/>
    <x v="1"/>
    <n v="100036"/>
    <s v="I100099999"/>
    <s v="ERP_SystemCell"/>
    <s v="백용원"/>
    <s v="백용원"/>
    <m/>
    <n v="0"/>
    <n v="3097273"/>
    <n v="20956469"/>
    <n v="3031878"/>
    <n v="2943603"/>
    <n v="2968924"/>
    <n v="3311401.7872000001"/>
    <n v="3570659"/>
    <n v="3642868"/>
    <n v="3769614"/>
    <n v="3888371"/>
    <n v="0"/>
    <m/>
    <n v="-3888371"/>
    <n v="-1"/>
  </r>
  <r>
    <x v="2"/>
    <x v="0"/>
    <x v="0"/>
    <x v="21"/>
    <x v="1"/>
    <n v="100037"/>
    <s v="I100099999"/>
    <s v="GitHub-Cloud-Azure-Enterprise"/>
    <s v="백용원"/>
    <s v="백용원"/>
    <m/>
    <n v="0"/>
    <n v="4285978"/>
    <n v="4535689"/>
    <n v="4700283"/>
    <n v="4819475"/>
    <n v="4998676"/>
    <n v="5333632.9903999995"/>
    <n v="6047147"/>
    <n v="6555691"/>
    <n v="6958431"/>
    <n v="7257705"/>
    <n v="0"/>
    <m/>
    <n v="-7257705"/>
    <n v="-1"/>
  </r>
  <r>
    <x v="2"/>
    <x v="12"/>
    <x v="28"/>
    <x v="2"/>
    <x v="1"/>
    <n v="100036"/>
    <s v="P100010048"/>
    <s v="ERP_SystemCell"/>
    <s v="백용원"/>
    <s v="백용원"/>
    <m/>
    <n v="5076819"/>
    <n v="5077496"/>
    <n v="4846670"/>
    <n v="4970292"/>
    <n v="4825578"/>
    <n v="4867089"/>
    <n v="5219738"/>
    <n v="5628404"/>
    <n v="5742684"/>
    <n v="5942015"/>
    <n v="6129211"/>
    <n v="0"/>
    <m/>
    <n v="-6129211"/>
    <n v="-1"/>
  </r>
  <r>
    <x v="2"/>
    <x v="12"/>
    <x v="28"/>
    <x v="21"/>
    <x v="1"/>
    <n v="100037"/>
    <s v="P100010048"/>
    <s v="GitHub-Cloud-Azure-Enterprise"/>
    <s v="백용원"/>
    <s v="백용원"/>
    <m/>
    <n v="6928615"/>
    <n v="7026194"/>
    <n v="7435555"/>
    <n v="7705382"/>
    <n v="7900779"/>
    <n v="8194550"/>
    <n v="8407366"/>
    <n v="9532073"/>
    <n v="10333687"/>
    <n v="10968523"/>
    <n v="11440266"/>
    <n v="0"/>
    <m/>
    <n v="-11440266"/>
    <n v="-1"/>
  </r>
  <r>
    <x v="2"/>
    <x v="12"/>
    <x v="28"/>
    <x v="93"/>
    <x v="20"/>
    <n v="100459"/>
    <s v="AI Tools"/>
    <s v="PUBG-Madison"/>
    <s v="송영재"/>
    <s v="송영재"/>
    <m/>
    <n v="0"/>
    <n v="0"/>
    <n v="0"/>
    <m/>
    <m/>
    <m/>
    <m/>
    <m/>
    <n v="0"/>
    <n v="0"/>
    <n v="0"/>
    <n v="0"/>
    <m/>
    <n v="0"/>
    <s v=""/>
  </r>
  <r>
    <x v="2"/>
    <x v="0"/>
    <x v="7"/>
    <x v="93"/>
    <x v="20"/>
    <n v="100459"/>
    <s v="P100020081"/>
    <s v="PUBG-Madison"/>
    <s v="송영재"/>
    <s v="송영재"/>
    <m/>
    <n v="0"/>
    <n v="0"/>
    <n v="0"/>
    <m/>
    <m/>
    <m/>
    <m/>
    <m/>
    <n v="0"/>
    <n v="0"/>
    <n v="0"/>
    <n v="0"/>
    <m/>
    <n v="0"/>
    <s v=""/>
  </r>
  <r>
    <x v="2"/>
    <x v="0"/>
    <x v="0"/>
    <x v="94"/>
    <x v="1"/>
    <n v="100090"/>
    <s v="I100099999"/>
    <s v="MRSO"/>
    <s v="송진나"/>
    <s v="송진나"/>
    <m/>
    <m/>
    <m/>
    <m/>
    <m/>
    <m/>
    <m/>
    <m/>
    <m/>
    <m/>
    <n v="17552"/>
    <n v="6021"/>
    <n v="0"/>
    <m/>
    <n v="-6021"/>
    <n v="-1"/>
  </r>
  <r>
    <x v="2"/>
    <x v="12"/>
    <x v="28"/>
    <x v="94"/>
    <x v="1"/>
    <n v="100090"/>
    <s v="P100010048"/>
    <s v="MRSO"/>
    <s v="송진나"/>
    <s v="송진나"/>
    <m/>
    <m/>
    <m/>
    <m/>
    <m/>
    <m/>
    <m/>
    <m/>
    <m/>
    <m/>
    <n v="0"/>
    <n v="9491"/>
    <n v="0"/>
    <m/>
    <n v="-9491"/>
    <n v="-1"/>
  </r>
  <r>
    <x v="2"/>
    <x v="0"/>
    <x v="0"/>
    <x v="94"/>
    <x v="1"/>
    <n v="100090"/>
    <s v="I100099999"/>
    <s v="MRSO_old"/>
    <s v="송진나"/>
    <s v="송진나"/>
    <m/>
    <m/>
    <m/>
    <m/>
    <m/>
    <m/>
    <m/>
    <m/>
    <m/>
    <m/>
    <m/>
    <n v="68850"/>
    <n v="0"/>
    <m/>
    <n v="-68850"/>
    <n v="-1"/>
  </r>
  <r>
    <x v="2"/>
    <x v="0"/>
    <x v="0"/>
    <x v="4"/>
    <x v="1"/>
    <n v="100025"/>
    <s v="I100099999"/>
    <s v="PPE-KCN"/>
    <s v="조국환"/>
    <s v="신근우"/>
    <m/>
    <n v="0"/>
    <n v="27264"/>
    <n v="153677"/>
    <n v="155119"/>
    <n v="148833"/>
    <n v="89015"/>
    <n v="88956.202399999995"/>
    <n v="86061"/>
    <n v="88809"/>
    <n v="86604"/>
    <n v="84916"/>
    <n v="0"/>
    <m/>
    <n v="-84916"/>
    <n v="-1"/>
  </r>
  <r>
    <x v="2"/>
    <x v="12"/>
    <x v="28"/>
    <x v="4"/>
    <x v="1"/>
    <n v="100025"/>
    <s v="P100010048"/>
    <s v="PPE-KCN"/>
    <s v="조국환"/>
    <s v="신근우"/>
    <m/>
    <n v="2955"/>
    <n v="44695"/>
    <n v="251929"/>
    <n v="254294"/>
    <n v="243989"/>
    <n v="145927"/>
    <n v="140221"/>
    <n v="135657"/>
    <n v="139989"/>
    <n v="136513"/>
    <n v="133853"/>
    <n v="0"/>
    <m/>
    <n v="-133853"/>
    <n v="-1"/>
  </r>
  <r>
    <x v="2"/>
    <x v="12"/>
    <x v="28"/>
    <x v="11"/>
    <x v="1"/>
    <n v="100677"/>
    <s v="P100010048"/>
    <s v="Research"/>
    <s v="심재한"/>
    <s v="심재한"/>
    <m/>
    <n v="29889"/>
    <n v="58705"/>
    <n v="51794"/>
    <n v="54218"/>
    <n v="58561"/>
    <n v="76466"/>
    <n v="53111"/>
    <n v="40466"/>
    <n v="22490"/>
    <n v="22489"/>
    <n v="22254"/>
    <n v="0"/>
    <m/>
    <n v="-22254"/>
    <n v="-1"/>
  </r>
  <r>
    <x v="2"/>
    <x v="2"/>
    <x v="5"/>
    <x v="11"/>
    <x v="1"/>
    <n v="100677"/>
    <s v="I100099999"/>
    <s v="Research"/>
    <s v="심재한"/>
    <s v="심재한"/>
    <m/>
    <n v="0"/>
    <n v="35810"/>
    <n v="31594"/>
    <n v="33073"/>
    <n v="35722"/>
    <n v="46644"/>
    <n v="33693.618399999999"/>
    <n v="25672"/>
    <n v="14268"/>
    <n v="14267"/>
    <n v="14118"/>
    <n v="0"/>
    <m/>
    <n v="-14118"/>
    <n v="-1"/>
  </r>
  <r>
    <x v="2"/>
    <x v="0"/>
    <x v="0"/>
    <x v="40"/>
    <x v="1"/>
    <n v="100033"/>
    <s v="I100099999"/>
    <s v="GameDevTest2304"/>
    <s v="엄기성"/>
    <s v="엄기성"/>
    <m/>
    <n v="0"/>
    <n v="0"/>
    <n v="0"/>
    <m/>
    <m/>
    <m/>
    <m/>
    <m/>
    <n v="0"/>
    <n v="0"/>
    <n v="0"/>
    <n v="0"/>
    <m/>
    <n v="0"/>
    <s v=""/>
  </r>
  <r>
    <x v="2"/>
    <x v="0"/>
    <x v="0"/>
    <x v="40"/>
    <x v="1"/>
    <n v="100033"/>
    <s v="I100099999"/>
    <s v="AzureOpsLAB-DevTest-20181205"/>
    <s v="엄기성"/>
    <s v="엄기성"/>
    <m/>
    <n v="0"/>
    <n v="112497"/>
    <n v="106296"/>
    <n v="107796"/>
    <n v="104288"/>
    <n v="100935"/>
    <n v="106409.8152"/>
    <n v="110056"/>
    <n v="129325"/>
    <n v="135808"/>
    <n v="152069"/>
    <n v="0"/>
    <m/>
    <n v="-152069"/>
    <n v="-1"/>
  </r>
  <r>
    <x v="2"/>
    <x v="0"/>
    <x v="0"/>
    <x v="40"/>
    <x v="1"/>
    <n v="100033"/>
    <s v="I100099999"/>
    <s v="AzureOpsLAB-Enterprise-20171102"/>
    <s v="엄기성"/>
    <s v="엄기성"/>
    <m/>
    <n v="0"/>
    <n v="147830"/>
    <n v="142215"/>
    <n v="146660"/>
    <n v="188011"/>
    <n v="130036"/>
    <n v="158426.17439999999"/>
    <n v="261857"/>
    <n v="159260"/>
    <n v="182613"/>
    <n v="175566"/>
    <n v="0"/>
    <m/>
    <n v="-175566"/>
    <n v="-1"/>
  </r>
  <r>
    <x v="2"/>
    <x v="0"/>
    <x v="0"/>
    <x v="40"/>
    <x v="1"/>
    <n v="100033"/>
    <s v="I100099999"/>
    <s v="giseongeom-DevTest"/>
    <s v="엄기성"/>
    <s v="엄기성"/>
    <m/>
    <n v="0"/>
    <n v="240056"/>
    <n v="221064"/>
    <n v="222559"/>
    <n v="214214"/>
    <n v="199449"/>
    <n v="207198.212"/>
    <n v="200526"/>
    <n v="207295"/>
    <n v="200727"/>
    <n v="198608"/>
    <n v="0"/>
    <m/>
    <n v="-198608"/>
    <n v="-1"/>
  </r>
  <r>
    <x v="2"/>
    <x v="12"/>
    <x v="28"/>
    <x v="40"/>
    <x v="1"/>
    <n v="100033"/>
    <s v="P100010048"/>
    <s v="AzureOpsLAB-DevTest-20181205"/>
    <s v="엄기성"/>
    <s v="엄기성"/>
    <m/>
    <n v="68527"/>
    <n v="184421"/>
    <n v="174255"/>
    <n v="176715"/>
    <n v="170964"/>
    <n v="165467"/>
    <n v="167733"/>
    <n v="173480"/>
    <n v="203854"/>
    <n v="214074"/>
    <n v="239706"/>
    <n v="0"/>
    <m/>
    <n v="-239706"/>
    <n v="-1"/>
  </r>
  <r>
    <x v="2"/>
    <x v="12"/>
    <x v="28"/>
    <x v="40"/>
    <x v="1"/>
    <n v="100033"/>
    <s v="P100010048"/>
    <s v="AzureOpsLAB-Enterprise-20171102"/>
    <s v="엄기성"/>
    <s v="엄기성"/>
    <m/>
    <n v="457449"/>
    <n v="242344"/>
    <n v="233139"/>
    <n v="240426"/>
    <n v="308215"/>
    <n v="213173"/>
    <n v="249726"/>
    <n v="412764"/>
    <n v="251040"/>
    <n v="287851"/>
    <n v="276743"/>
    <n v="0"/>
    <m/>
    <n v="-276743"/>
    <n v="-1"/>
  </r>
  <r>
    <x v="2"/>
    <x v="12"/>
    <x v="28"/>
    <x v="1"/>
    <x v="2"/>
    <n v="100368"/>
    <s v="AI Tools"/>
    <s v="AzureOpsLAB-Platform-20231227"/>
    <s v="엄기성"/>
    <s v="엄기성"/>
    <m/>
    <n v="749092"/>
    <n v="904833"/>
    <n v="887653"/>
    <n v="891407"/>
    <n v="881620"/>
    <n v="871469"/>
    <n v="873687"/>
    <n v="861881"/>
    <n v="873690"/>
    <n v="864262"/>
    <n v="856467"/>
    <n v="0"/>
    <m/>
    <n v="-856467"/>
    <n v="-1"/>
  </r>
  <r>
    <x v="2"/>
    <x v="12"/>
    <x v="28"/>
    <x v="40"/>
    <x v="1"/>
    <n v="100033"/>
    <s v="P100010048"/>
    <s v="GameDevTest2304"/>
    <s v="엄기성"/>
    <s v="엄기성"/>
    <m/>
    <n v="0"/>
    <n v="0"/>
    <n v="0"/>
    <m/>
    <m/>
    <m/>
    <m/>
    <m/>
    <n v="0"/>
    <n v="0"/>
    <n v="0"/>
    <n v="0"/>
    <m/>
    <n v="0"/>
    <s v=""/>
  </r>
  <r>
    <x v="2"/>
    <x v="12"/>
    <x v="28"/>
    <x v="40"/>
    <x v="1"/>
    <n v="100033"/>
    <s v="P100010048"/>
    <s v="giseongeom-DevTest"/>
    <s v="엄기성"/>
    <s v="엄기성"/>
    <m/>
    <n v="389854"/>
    <n v="393534"/>
    <n v="362400"/>
    <n v="364850"/>
    <n v="351171"/>
    <n v="326965"/>
    <n v="326605"/>
    <n v="316088"/>
    <n v="326758"/>
    <n v="316405"/>
    <n v="313064"/>
    <n v="0"/>
    <m/>
    <n v="-313064"/>
    <n v="-1"/>
  </r>
  <r>
    <x v="2"/>
    <x v="9"/>
    <x v="19"/>
    <x v="40"/>
    <x v="40"/>
    <n v="100033"/>
    <s v="P100010091"/>
    <s v="Project-MC"/>
    <s v="엄기성"/>
    <s v="엄기성"/>
    <m/>
    <n v="0"/>
    <n v="0"/>
    <m/>
    <m/>
    <m/>
    <m/>
    <m/>
    <m/>
    <n v="0"/>
    <n v="0"/>
    <n v="0"/>
    <n v="0"/>
    <m/>
    <n v="0"/>
    <s v=""/>
  </r>
  <r>
    <x v="2"/>
    <x v="12"/>
    <x v="28"/>
    <x v="40"/>
    <x v="40"/>
    <n v="100033"/>
    <s v="P100010091"/>
    <s v="Project-MC"/>
    <s v="엄기성"/>
    <s v="엄기성"/>
    <m/>
    <n v="0"/>
    <n v="0"/>
    <n v="0"/>
    <m/>
    <m/>
    <m/>
    <m/>
    <m/>
    <n v="0"/>
    <n v="0"/>
    <n v="0"/>
    <n v="0"/>
    <m/>
    <n v="0"/>
    <s v=""/>
  </r>
  <r>
    <x v="2"/>
    <x v="12"/>
    <x v="28"/>
    <x v="40"/>
    <x v="2"/>
    <n v="100033"/>
    <s v="AI Tools"/>
    <s v="XTRM-Web"/>
    <s v="엄기성"/>
    <s v="엄기성"/>
    <m/>
    <n v="0"/>
    <n v="0"/>
    <n v="0"/>
    <m/>
    <m/>
    <m/>
    <m/>
    <m/>
    <n v="0"/>
    <n v="0"/>
    <n v="0"/>
    <n v="0"/>
    <m/>
    <n v="0"/>
    <s v=""/>
  </r>
  <r>
    <x v="2"/>
    <x v="0"/>
    <x v="1"/>
    <x v="1"/>
    <x v="2"/>
    <n v="100368"/>
    <s v="P100030014"/>
    <s v="AzureOpsLAB-Platform-20231227"/>
    <s v="엄기성"/>
    <s v="엄기성"/>
    <m/>
    <n v="0"/>
    <n v="551948"/>
    <n v="541468"/>
    <n v="543758"/>
    <n v="537788"/>
    <n v="531596"/>
    <n v="554267.03280000004"/>
    <n v="546777"/>
    <n v="554269"/>
    <n v="548288"/>
    <n v="543343"/>
    <n v="0"/>
    <m/>
    <n v="-543343"/>
    <n v="-1"/>
  </r>
  <r>
    <x v="2"/>
    <x v="0"/>
    <x v="1"/>
    <x v="40"/>
    <x v="2"/>
    <n v="100033"/>
    <s v="P100030014"/>
    <s v="XTRM-Web"/>
    <s v="엄기성"/>
    <s v="엄기성"/>
    <m/>
    <n v="0"/>
    <n v="0"/>
    <n v="0"/>
    <m/>
    <m/>
    <m/>
    <m/>
    <m/>
    <n v="0"/>
    <n v="0"/>
    <n v="0"/>
    <n v="0"/>
    <m/>
    <n v="0"/>
    <s v=""/>
  </r>
  <r>
    <x v="2"/>
    <x v="12"/>
    <x v="28"/>
    <x v="52"/>
    <x v="1"/>
    <n v="100774"/>
    <s v="P100010048"/>
    <s v="majesta"/>
    <s v="천궁원"/>
    <s v="엄희영"/>
    <m/>
    <n v="3346784"/>
    <n v="3546603"/>
    <n v="0"/>
    <n v="3850441"/>
    <n v="3103765"/>
    <n v="4380720"/>
    <n v="4221852"/>
    <n v="4016100"/>
    <n v="4334192"/>
    <n v="4442182"/>
    <n v="3603352"/>
    <n v="0"/>
    <m/>
    <n v="-3603352"/>
    <n v="-1"/>
  </r>
  <r>
    <x v="2"/>
    <x v="0"/>
    <x v="7"/>
    <x v="52"/>
    <x v="1"/>
    <n v="100774"/>
    <s v="I100099999"/>
    <s v="majesta"/>
    <s v="천궁원"/>
    <s v="엄희영"/>
    <m/>
    <n v="0"/>
    <n v="0"/>
    <n v="0"/>
    <n v="0"/>
    <n v="0"/>
    <n v="0"/>
    <n v="41443.687248793998"/>
    <n v="2547814"/>
    <n v="2749611"/>
    <n v="2818120"/>
    <n v="2285967"/>
    <n v="0"/>
    <m/>
    <n v="-2285967"/>
    <n v="-1"/>
  </r>
  <r>
    <x v="2"/>
    <x v="0"/>
    <x v="0"/>
    <x v="95"/>
    <x v="0"/>
    <n v="101537"/>
    <s v="P100030073"/>
    <s v="DL-Service-Toxic-Filter-DnDM"/>
    <s v="오명석"/>
    <s v="오명석"/>
    <m/>
    <n v="0"/>
    <n v="0"/>
    <n v="0"/>
    <m/>
    <m/>
    <m/>
    <m/>
    <m/>
    <n v="0"/>
    <n v="0"/>
    <n v="0"/>
    <n v="0"/>
    <m/>
    <n v="0"/>
    <s v=""/>
  </r>
  <r>
    <x v="2"/>
    <x v="0"/>
    <x v="0"/>
    <x v="95"/>
    <x v="24"/>
    <n v="101537"/>
    <s v="P100010055"/>
    <s v="DL-Service-Toxic-Filter-inZOI"/>
    <s v="오명석"/>
    <s v="오명석"/>
    <m/>
    <n v="0"/>
    <n v="4585"/>
    <n v="1"/>
    <n v="0"/>
    <n v="0"/>
    <n v="0"/>
    <n v="0"/>
    <n v="0"/>
    <n v="0"/>
    <n v="0"/>
    <n v="0"/>
    <n v="0"/>
    <m/>
    <n v="0"/>
    <s v=""/>
  </r>
  <r>
    <x v="2"/>
    <x v="12"/>
    <x v="28"/>
    <x v="95"/>
    <x v="0"/>
    <n v="101537"/>
    <s v="P100010012"/>
    <s v="DL-Service-Toxic-Filter-DnDM"/>
    <s v="오명석"/>
    <s v="오명석"/>
    <m/>
    <n v="0"/>
    <n v="0"/>
    <n v="0"/>
    <m/>
    <m/>
    <m/>
    <m/>
    <m/>
    <n v="0"/>
    <n v="0"/>
    <n v="0"/>
    <n v="0"/>
    <m/>
    <n v="0"/>
    <s v=""/>
  </r>
  <r>
    <x v="2"/>
    <x v="12"/>
    <x v="28"/>
    <x v="95"/>
    <x v="24"/>
    <n v="101537"/>
    <s v="P100010012"/>
    <s v="DL-Service-Toxic-Filter-inZOI"/>
    <s v="오명석"/>
    <s v="오명석"/>
    <m/>
    <n v="29"/>
    <n v="7516"/>
    <n v="2"/>
    <n v="0"/>
    <n v="0"/>
    <n v="0"/>
    <n v="0"/>
    <n v="0"/>
    <n v="0"/>
    <n v="0"/>
    <n v="0"/>
    <n v="0"/>
    <m/>
    <n v="0"/>
    <s v=""/>
  </r>
  <r>
    <x v="2"/>
    <x v="13"/>
    <x v="13"/>
    <x v="44"/>
    <x v="41"/>
    <e v="#N/A"/>
    <s v="AI Tools"/>
    <s v="ReLu_deep learning"/>
    <s v="이기문"/>
    <s v="이기문"/>
    <m/>
    <n v="0"/>
    <n v="266516"/>
    <n v="267004"/>
    <n v="268067"/>
    <n v="266011"/>
    <n v="254683"/>
    <n v="274734.53279999999"/>
    <n v="264295"/>
    <n v="295483"/>
    <n v="274631"/>
    <n v="228092"/>
    <n v="0"/>
    <m/>
    <n v="-228092"/>
    <n v="-1"/>
  </r>
  <r>
    <x v="2"/>
    <x v="12"/>
    <x v="28"/>
    <x v="44"/>
    <x v="41"/>
    <e v="#N/A"/>
    <s v="AI Tools"/>
    <s v="ReLu_deep learning"/>
    <s v="이기문"/>
    <s v="이기문"/>
    <m/>
    <n v="389251"/>
    <n v="436911"/>
    <n v="437712"/>
    <n v="439454"/>
    <n v="436084"/>
    <n v="417513"/>
    <n v="433062"/>
    <n v="416606"/>
    <n v="465768"/>
    <n v="432899"/>
    <n v="359540"/>
    <n v="0"/>
    <m/>
    <n v="-359540"/>
    <n v="-1"/>
  </r>
  <r>
    <x v="2"/>
    <x v="13"/>
    <x v="29"/>
    <x v="44"/>
    <x v="41"/>
    <e v="#N/A"/>
    <s v="AI Tools"/>
    <s v="relu_deeplearning_prod"/>
    <s v="이기문"/>
    <s v="이기문"/>
    <m/>
    <n v="0"/>
    <n v="15894"/>
    <n v="15459"/>
    <n v="15780"/>
    <n v="15939"/>
    <n v="16747"/>
    <n v="17477.085599999999"/>
    <n v="20013"/>
    <n v="22876"/>
    <n v="20348"/>
    <n v="17139"/>
    <n v="0"/>
    <m/>
    <n v="-17139"/>
    <n v="-1"/>
  </r>
  <r>
    <x v="2"/>
    <x v="12"/>
    <x v="28"/>
    <x v="44"/>
    <x v="41"/>
    <e v="#N/A"/>
    <s v="AI Tools"/>
    <s v="relu_deeplearning_prod"/>
    <s v="이기문"/>
    <s v="이기문"/>
    <m/>
    <n v="24488"/>
    <n v="26056"/>
    <n v="25343"/>
    <n v="25869"/>
    <n v="26130"/>
    <n v="27454"/>
    <n v="27549"/>
    <n v="31547"/>
    <n v="36060"/>
    <n v="32075"/>
    <n v="27016"/>
    <n v="0"/>
    <m/>
    <n v="-27016"/>
    <n v="-1"/>
  </r>
  <r>
    <x v="2"/>
    <x v="13"/>
    <x v="29"/>
    <x v="44"/>
    <x v="41"/>
    <e v="#N/A"/>
    <s v="AI Tools"/>
    <s v="relu_deeplearning_prod_secondary"/>
    <s v="이기문"/>
    <s v="이기문"/>
    <m/>
    <n v="0"/>
    <n v="15909"/>
    <n v="15588"/>
    <n v="16045"/>
    <n v="16076"/>
    <n v="16840"/>
    <n v="17496.117600000001"/>
    <n v="19999"/>
    <n v="22882"/>
    <n v="20348"/>
    <n v="17143"/>
    <n v="0"/>
    <m/>
    <n v="-17143"/>
    <n v="-1"/>
  </r>
  <r>
    <x v="2"/>
    <x v="12"/>
    <x v="28"/>
    <x v="44"/>
    <x v="41"/>
    <e v="#N/A"/>
    <s v="AI Tools"/>
    <s v="relu_deeplearning_prod_secondary"/>
    <s v="이기문"/>
    <s v="이기문"/>
    <m/>
    <n v="24484"/>
    <n v="26080"/>
    <n v="25554"/>
    <n v="26303"/>
    <n v="26354"/>
    <n v="27607"/>
    <n v="27579"/>
    <n v="31525"/>
    <n v="36068"/>
    <n v="32075"/>
    <n v="27022"/>
    <n v="0"/>
    <m/>
    <n v="-27022"/>
    <n v="-1"/>
  </r>
  <r>
    <x v="2"/>
    <x v="0"/>
    <x v="0"/>
    <x v="18"/>
    <x v="1"/>
    <n v="101721"/>
    <s v="I100099999"/>
    <s v="DB-Monitoring"/>
    <s v="이동준"/>
    <s v="이동준"/>
    <m/>
    <n v="0"/>
    <n v="91530"/>
    <n v="96451"/>
    <n v="96546"/>
    <n v="93628"/>
    <n v="90750"/>
    <n v="1221306.2784"/>
    <n v="1179310"/>
    <n v="115770"/>
    <n v="119820"/>
    <n v="108288"/>
    <n v="0"/>
    <m/>
    <n v="-108288"/>
    <n v="-1"/>
  </r>
  <r>
    <x v="2"/>
    <x v="12"/>
    <x v="28"/>
    <x v="18"/>
    <x v="1"/>
    <n v="101721"/>
    <s v="P100010048"/>
    <s v="DB-Monitoring"/>
    <s v="이동준"/>
    <s v="이동준"/>
    <m/>
    <n v="138544"/>
    <n v="150049"/>
    <n v="158117"/>
    <n v="158272"/>
    <n v="153489"/>
    <n v="148770"/>
    <n v="1925136"/>
    <n v="1858938"/>
    <n v="182487"/>
    <n v="188871"/>
    <n v="170693"/>
    <n v="0"/>
    <m/>
    <n v="-170693"/>
    <n v="-1"/>
  </r>
  <r>
    <x v="2"/>
    <x v="0"/>
    <x v="0"/>
    <x v="89"/>
    <x v="1"/>
    <n v="101835"/>
    <s v="I100099999"/>
    <s v="MCA"/>
    <s v="이승우"/>
    <s v="이승우"/>
    <m/>
    <m/>
    <m/>
    <m/>
    <m/>
    <m/>
    <m/>
    <m/>
    <m/>
    <m/>
    <n v="9406566"/>
    <n v="0"/>
    <n v="0"/>
    <m/>
    <n v="0"/>
    <s v=""/>
  </r>
  <r>
    <x v="2"/>
    <x v="12"/>
    <x v="28"/>
    <x v="89"/>
    <x v="1"/>
    <n v="101835"/>
    <s v="P100010048"/>
    <s v="MCA"/>
    <s v="이승우"/>
    <s v="이승우"/>
    <m/>
    <m/>
    <m/>
    <m/>
    <m/>
    <m/>
    <m/>
    <m/>
    <m/>
    <m/>
    <n v="0"/>
    <n v="0"/>
    <n v="0"/>
    <m/>
    <n v="0"/>
    <s v=""/>
  </r>
  <r>
    <x v="2"/>
    <x v="0"/>
    <x v="0"/>
    <x v="89"/>
    <x v="1"/>
    <n v="101835"/>
    <s v="I100099999"/>
    <s v="SUNZO"/>
    <s v="이승우"/>
    <s v="이승우"/>
    <m/>
    <m/>
    <m/>
    <m/>
    <m/>
    <m/>
    <m/>
    <m/>
    <m/>
    <m/>
    <m/>
    <n v="1731437"/>
    <n v="0"/>
    <m/>
    <n v="-1731437"/>
    <n v="-1"/>
  </r>
  <r>
    <x v="2"/>
    <x v="12"/>
    <x v="28"/>
    <x v="89"/>
    <x v="1"/>
    <n v="101835"/>
    <s v="I100099999"/>
    <s v="SUNZO"/>
    <s v="이승우"/>
    <s v="이승우"/>
    <m/>
    <m/>
    <m/>
    <m/>
    <m/>
    <m/>
    <m/>
    <m/>
    <m/>
    <m/>
    <m/>
    <n v="2729251"/>
    <n v="0"/>
    <m/>
    <n v="-2729251"/>
    <n v="-1"/>
  </r>
  <r>
    <x v="2"/>
    <x v="0"/>
    <x v="0"/>
    <x v="89"/>
    <x v="1"/>
    <n v="101835"/>
    <s v="I100099999"/>
    <s v="SUNZO_old"/>
    <s v="이승우"/>
    <s v="이승우"/>
    <m/>
    <m/>
    <m/>
    <m/>
    <m/>
    <m/>
    <m/>
    <m/>
    <m/>
    <m/>
    <m/>
    <n v="31836944"/>
    <n v="0"/>
    <m/>
    <n v="-31836944"/>
    <n v="-1"/>
  </r>
  <r>
    <x v="2"/>
    <x v="0"/>
    <x v="0"/>
    <x v="56"/>
    <x v="1"/>
    <n v="101651"/>
    <s v="I100099999"/>
    <s v="azure-ait-genai-api-project"/>
    <s v="이재준"/>
    <s v="이재준"/>
    <m/>
    <n v="0"/>
    <n v="27264"/>
    <n v="153677"/>
    <n v="155119"/>
    <n v="148833"/>
    <n v="89015"/>
    <n v="88956.202399999995"/>
    <n v="3057"/>
    <n v="35"/>
    <n v="0"/>
    <n v="3095"/>
    <n v="0"/>
    <m/>
    <n v="-3095"/>
    <n v="-1"/>
  </r>
  <r>
    <x v="2"/>
    <x v="12"/>
    <x v="28"/>
    <x v="56"/>
    <x v="1"/>
    <n v="101651"/>
    <s v="P100010048"/>
    <s v="azure-ait-genai-api-project"/>
    <s v="이재준"/>
    <s v="이재준"/>
    <m/>
    <n v="2955"/>
    <n v="44695"/>
    <n v="251929"/>
    <n v="254294"/>
    <n v="243989"/>
    <n v="145927"/>
    <n v="140221"/>
    <n v="4819"/>
    <n v="55"/>
    <n v="0"/>
    <n v="4878"/>
    <n v="0"/>
    <m/>
    <n v="-4878"/>
    <n v="-1"/>
  </r>
  <r>
    <x v="2"/>
    <x v="0"/>
    <x v="0"/>
    <x v="61"/>
    <x v="1"/>
    <n v="101752"/>
    <s v="I100099999"/>
    <s v="xe_git_bee"/>
    <s v="허지호"/>
    <s v="이준호"/>
    <m/>
    <m/>
    <m/>
    <m/>
    <m/>
    <n v="261"/>
    <n v="1490"/>
    <n v="5186.22"/>
    <n v="7841"/>
    <n v="3395"/>
    <n v="0"/>
    <n v="0"/>
    <n v="0"/>
    <m/>
    <n v="0"/>
    <s v=""/>
  </r>
  <r>
    <x v="2"/>
    <x v="12"/>
    <x v="28"/>
    <x v="61"/>
    <x v="1"/>
    <n v="101752"/>
    <s v="P100010048"/>
    <s v="xe_git_bee"/>
    <s v="허지호"/>
    <s v="이준호"/>
    <m/>
    <m/>
    <m/>
    <m/>
    <m/>
    <n v="261"/>
    <n v="2442"/>
    <n v="8175"/>
    <n v="12359"/>
    <n v="5352"/>
    <n v="0"/>
    <n v="0"/>
    <n v="0"/>
    <m/>
    <n v="0"/>
    <s v=""/>
  </r>
  <r>
    <x v="2"/>
    <x v="0"/>
    <x v="0"/>
    <x v="95"/>
    <x v="24"/>
    <n v="101537"/>
    <s v="P100010055"/>
    <s v="DL-Service-SafeCanvas-inZOI-LiveOps"/>
    <s v="임형진"/>
    <s v="임형진"/>
    <m/>
    <n v="0"/>
    <n v="184"/>
    <n v="99"/>
    <n v="0"/>
    <n v="159"/>
    <n v="85"/>
    <n v="19.032"/>
    <n v="27"/>
    <n v="29"/>
    <n v="65"/>
    <n v="0"/>
    <n v="0"/>
    <m/>
    <n v="0"/>
    <s v=""/>
  </r>
  <r>
    <x v="2"/>
    <x v="12"/>
    <x v="28"/>
    <x v="95"/>
    <x v="24"/>
    <n v="101537"/>
    <s v="P100010012"/>
    <s v="DL-Service-SafeCanvas-inZOI-LiveOps"/>
    <s v="임형진"/>
    <s v="임형진"/>
    <m/>
    <n v="345"/>
    <n v="302"/>
    <n v="163"/>
    <n v="0"/>
    <n v="261"/>
    <n v="139"/>
    <n v="30"/>
    <n v="43"/>
    <n v="46"/>
    <n v="103"/>
    <n v="0"/>
    <n v="0"/>
    <m/>
    <n v="0"/>
    <s v=""/>
  </r>
  <r>
    <x v="2"/>
    <x v="0"/>
    <x v="0"/>
    <x v="40"/>
    <x v="1"/>
    <n v="100033"/>
    <s v="I100099999"/>
    <s v="EME-SUNSET-API"/>
    <s v="장은진"/>
    <s v="장은진"/>
    <m/>
    <n v="0"/>
    <n v="142797"/>
    <n v="142696"/>
    <n v="142797"/>
    <n v="142797"/>
    <n v="142696"/>
    <n v="148503.524"/>
    <n v="148404"/>
    <n v="148509"/>
    <n v="148509"/>
    <n v="148117"/>
    <n v="0"/>
    <m/>
    <n v="-148117"/>
    <n v="-1"/>
  </r>
  <r>
    <x v="2"/>
    <x v="12"/>
    <x v="28"/>
    <x v="40"/>
    <x v="1"/>
    <n v="100033"/>
    <s v="P100010048"/>
    <s v="EME-SUNSET-API"/>
    <s v="장은진"/>
    <s v="장은진"/>
    <m/>
    <n v="233928"/>
    <n v="234093"/>
    <n v="233928"/>
    <n v="234093"/>
    <n v="234093"/>
    <n v="233928"/>
    <n v="234085"/>
    <n v="233928"/>
    <n v="234093"/>
    <n v="234093"/>
    <n v="233475"/>
    <n v="0"/>
    <m/>
    <n v="-233475"/>
    <n v="-1"/>
  </r>
  <r>
    <x v="2"/>
    <x v="12"/>
    <x v="28"/>
    <x v="33"/>
    <x v="18"/>
    <n v="110119"/>
    <s v="AI Tools"/>
    <s v="TRCS-AP-Azure-Enterprise"/>
    <s v="장은진"/>
    <s v="장은진"/>
    <m/>
    <n v="5491183"/>
    <n v="6322424"/>
    <n v="6038272"/>
    <n v="6136355"/>
    <n v="5989533"/>
    <n v="6431081"/>
    <n v="6210811"/>
    <n v="5954144"/>
    <n v="6278857"/>
    <n v="6135941"/>
    <n v="5859348"/>
    <n v="0"/>
    <m/>
    <n v="-5859348"/>
    <n v="-1"/>
  </r>
  <r>
    <x v="2"/>
    <x v="12"/>
    <x v="28"/>
    <x v="33"/>
    <x v="18"/>
    <n v="110119"/>
    <s v="AI Tools"/>
    <s v="TRCS-AP-Azure-Enterprise-DevTest"/>
    <s v="장은진"/>
    <s v="장은진"/>
    <m/>
    <n v="6038949"/>
    <n v="6074744"/>
    <n v="5837145"/>
    <n v="5787956"/>
    <n v="5420617"/>
    <n v="5921413"/>
    <n v="5904855"/>
    <n v="5738941"/>
    <n v="5910135"/>
    <n v="5809438"/>
    <n v="5509357"/>
    <n v="0"/>
    <m/>
    <n v="-5509357"/>
    <n v="-1"/>
  </r>
  <r>
    <x v="2"/>
    <x v="12"/>
    <x v="28"/>
    <x v="33"/>
    <x v="18"/>
    <n v="110119"/>
    <s v="AI Tools"/>
    <s v="TRCS-Azure-Enterprise"/>
    <s v="장은진"/>
    <s v="장은진"/>
    <m/>
    <n v="25668476"/>
    <n v="25623246"/>
    <n v="24261089"/>
    <n v="24534670"/>
    <n v="23731068"/>
    <n v="22989310"/>
    <n v="23203609"/>
    <n v="22369777"/>
    <n v="23241386"/>
    <n v="22718349"/>
    <n v="21783211"/>
    <n v="0"/>
    <m/>
    <n v="-21783211"/>
    <n v="-1"/>
  </r>
  <r>
    <x v="2"/>
    <x v="12"/>
    <x v="28"/>
    <x v="33"/>
    <x v="18"/>
    <n v="110119"/>
    <s v="AI Tools"/>
    <s v="TRCS-Azure-Enterprise-DevTest"/>
    <s v="장은진"/>
    <s v="장은진"/>
    <m/>
    <n v="5113778"/>
    <n v="5139616"/>
    <n v="5313131"/>
    <n v="5385616"/>
    <n v="4931926"/>
    <n v="4942290"/>
    <n v="4977500"/>
    <n v="5165330"/>
    <n v="5968191"/>
    <n v="5683360"/>
    <n v="5369537"/>
    <n v="0"/>
    <m/>
    <n v="-5369537"/>
    <n v="-1"/>
  </r>
  <r>
    <x v="2"/>
    <x v="3"/>
    <x v="6"/>
    <x v="33"/>
    <x v="18"/>
    <n v="110119"/>
    <s v="P100020001"/>
    <s v="TRCS-AP-Azure-Enterprise"/>
    <s v="장은진"/>
    <s v="장은진"/>
    <m/>
    <n v="0"/>
    <n v="3856679"/>
    <n v="3683346"/>
    <n v="3743177"/>
    <n v="3653615"/>
    <n v="3922959"/>
    <n v="3940138.4983999999"/>
    <n v="3777309"/>
    <n v="3983307"/>
    <n v="3892641"/>
    <n v="3717170"/>
    <n v="0"/>
    <m/>
    <n v="-3717170"/>
    <n v="-1"/>
  </r>
  <r>
    <x v="2"/>
    <x v="3"/>
    <x v="6"/>
    <x v="33"/>
    <x v="18"/>
    <n v="110119"/>
    <s v="P100020001"/>
    <s v="TRCS-AP-Azure-Enterprise-DevTest"/>
    <s v="장은진"/>
    <s v="장은진"/>
    <m/>
    <n v="0"/>
    <n v="3705594"/>
    <n v="3560658"/>
    <n v="3530653"/>
    <n v="3306576"/>
    <n v="3612062"/>
    <n v="3746040.0120000001"/>
    <n v="3640784"/>
    <n v="3749390"/>
    <n v="3685507"/>
    <n v="3495136"/>
    <n v="0"/>
    <m/>
    <n v="-3495136"/>
    <n v="-1"/>
  </r>
  <r>
    <x v="2"/>
    <x v="3"/>
    <x v="6"/>
    <x v="33"/>
    <x v="18"/>
    <n v="110119"/>
    <s v="P100020001"/>
    <s v="TRCS-Azure-Enterprise"/>
    <s v="장은진"/>
    <s v="장은진"/>
    <m/>
    <n v="0"/>
    <n v="15630180"/>
    <n v="14799265"/>
    <n v="14966148"/>
    <n v="14475951"/>
    <n v="14023479"/>
    <n v="14720369.5496"/>
    <n v="14191387"/>
    <n v="14744226"/>
    <n v="14412521"/>
    <n v="13819269"/>
    <n v="0"/>
    <m/>
    <n v="-13819269"/>
    <n v="-1"/>
  </r>
  <r>
    <x v="2"/>
    <x v="3"/>
    <x v="6"/>
    <x v="33"/>
    <x v="18"/>
    <n v="110119"/>
    <s v="P100020001"/>
    <s v="TRCS-Azure-Enterprise-DevTest"/>
    <s v="장은진"/>
    <s v="장은진"/>
    <m/>
    <n v="0"/>
    <n v="3135165"/>
    <n v="3241010"/>
    <n v="3285226"/>
    <n v="3008475"/>
    <n v="3014797"/>
    <n v="3157726"/>
    <n v="3276885"/>
    <n v="3786220"/>
    <n v="3605524"/>
    <n v="3406434"/>
    <n v="0"/>
    <m/>
    <n v="-3406434"/>
    <n v="-1"/>
  </r>
  <r>
    <x v="2"/>
    <x v="9"/>
    <x v="19"/>
    <x v="96"/>
    <x v="42"/>
    <n v="480001"/>
    <s v="P100010012"/>
    <s v="Flyway-visualstudio"/>
    <s v="전민욱"/>
    <s v="전민욱"/>
    <m/>
    <n v="164068"/>
    <n v="100081"/>
    <n v="100081"/>
    <n v="100081"/>
    <n v="120260"/>
    <n v="150122"/>
    <n v="186442.23"/>
    <n v="225183"/>
    <n v="250204"/>
    <n v="250204"/>
    <n v="250204"/>
    <n v="0"/>
    <m/>
    <n v="-250204"/>
    <n v="-1"/>
  </r>
  <r>
    <x v="2"/>
    <x v="12"/>
    <x v="28"/>
    <x v="96"/>
    <x v="42"/>
    <n v="480001"/>
    <s v="P100010012"/>
    <s v="Flyway-visualstudio"/>
    <s v="전민욱"/>
    <s v="전민욱"/>
    <m/>
    <n v="0"/>
    <n v="164068"/>
    <n v="164068"/>
    <n v="164068"/>
    <n v="265949"/>
    <n v="246102"/>
    <n v="305643"/>
    <n v="369153"/>
    <n v="410170"/>
    <n v="410170"/>
    <n v="410170"/>
    <n v="0"/>
    <m/>
    <n v="-410170"/>
    <n v="-1"/>
  </r>
  <r>
    <x v="2"/>
    <x v="0"/>
    <x v="0"/>
    <x v="25"/>
    <x v="1"/>
    <n v="100092"/>
    <s v="I100099999"/>
    <s v="L10N"/>
    <s v="김재헌"/>
    <s v="전평준"/>
    <m/>
    <n v="0"/>
    <n v="3729345"/>
    <n v="4503851"/>
    <n v="4752644"/>
    <n v="4729282"/>
    <n v="4570596"/>
    <n v="4875433.784"/>
    <n v="6098403"/>
    <n v="5160618"/>
    <n v="4907736"/>
    <n v="4627068"/>
    <n v="0"/>
    <m/>
    <n v="-4627068"/>
    <n v="-1"/>
  </r>
  <r>
    <x v="2"/>
    <x v="12"/>
    <x v="28"/>
    <x v="25"/>
    <x v="1"/>
    <n v="100092"/>
    <s v="P100010048"/>
    <s v="L10N"/>
    <s v="김재헌"/>
    <s v="전평준"/>
    <m/>
    <n v="6739152"/>
    <n v="6113680"/>
    <n v="7383363"/>
    <n v="7791220"/>
    <n v="7752921"/>
    <n v="7492781"/>
    <n v="7685110"/>
    <n v="9612868"/>
    <n v="8134643"/>
    <n v="7736028"/>
    <n v="7293613"/>
    <n v="0"/>
    <m/>
    <n v="-7293613"/>
    <n v="-1"/>
  </r>
  <r>
    <x v="2"/>
    <x v="0"/>
    <x v="0"/>
    <x v="21"/>
    <x v="1"/>
    <n v="100037"/>
    <s v="I100099999"/>
    <s v="Teams Room Pro"/>
    <s v="정윤환"/>
    <s v="정윤환"/>
    <m/>
    <m/>
    <m/>
    <m/>
    <m/>
    <m/>
    <m/>
    <m/>
    <m/>
    <n v="0"/>
    <n v="68735"/>
    <n v="0"/>
    <n v="0"/>
    <m/>
    <n v="0"/>
    <s v=""/>
  </r>
  <r>
    <x v="2"/>
    <x v="0"/>
    <x v="0"/>
    <x v="69"/>
    <x v="1"/>
    <n v="101940"/>
    <s v="I100099999"/>
    <s v="security_policy_prod"/>
    <s v="조남원"/>
    <s v="조남원"/>
    <m/>
    <m/>
    <m/>
    <m/>
    <m/>
    <m/>
    <m/>
    <m/>
    <m/>
    <n v="4"/>
    <n v="18"/>
    <n v="6"/>
    <n v="0"/>
    <m/>
    <n v="-6"/>
    <n v="-1"/>
  </r>
  <r>
    <x v="2"/>
    <x v="12"/>
    <x v="28"/>
    <x v="69"/>
    <x v="1"/>
    <n v="101940"/>
    <s v="P100010048"/>
    <s v="security_policy_prod"/>
    <s v="조남원"/>
    <s v="조남원"/>
    <m/>
    <m/>
    <m/>
    <m/>
    <m/>
    <m/>
    <m/>
    <m/>
    <m/>
    <m/>
    <n v="29"/>
    <n v="9"/>
    <n v="0"/>
    <m/>
    <n v="-9"/>
    <n v="-1"/>
  </r>
  <r>
    <x v="2"/>
    <x v="12"/>
    <x v="28"/>
    <x v="70"/>
    <x v="26"/>
    <n v="100829"/>
    <s v="P100010012"/>
    <s v="PBB Dev"/>
    <s v="조원빈"/>
    <s v="조원빈"/>
    <m/>
    <n v="58472583"/>
    <n v="106431840"/>
    <n v="53114884"/>
    <n v="109861894"/>
    <n v="152596850"/>
    <n v="142385864"/>
    <n v="155887310"/>
    <n v="136408141"/>
    <n v="305005468"/>
    <n v="158104150"/>
    <n v="156227007"/>
    <n v="0"/>
    <m/>
    <n v="-156227007"/>
    <n v="-1"/>
  </r>
  <r>
    <x v="2"/>
    <x v="0"/>
    <x v="7"/>
    <x v="70"/>
    <x v="26"/>
    <n v="100829"/>
    <s v="P100010048"/>
    <s v="PBB Dev"/>
    <s v="조원빈"/>
    <s v="조원빈"/>
    <m/>
    <n v="0"/>
    <n v="64923422"/>
    <n v="32400079"/>
    <n v="67015755"/>
    <n v="93084079"/>
    <n v="86855377"/>
    <n v="98894909.464000002"/>
    <n v="86537325"/>
    <n v="193495469"/>
    <n v="100301273"/>
    <n v="99110413"/>
    <n v="0"/>
    <m/>
    <n v="-99110413"/>
    <n v="-1"/>
  </r>
  <r>
    <x v="2"/>
    <x v="12"/>
    <x v="28"/>
    <x v="5"/>
    <x v="5"/>
    <n v="100414"/>
    <s v="P100010012"/>
    <s v="PUBG Console"/>
    <s v="김정헌"/>
    <s v="최준석"/>
    <m/>
    <n v="71663951"/>
    <n v="71063971"/>
    <n v="65940291"/>
    <n v="56456807"/>
    <n v="48666677"/>
    <n v="46923856"/>
    <n v="46565679"/>
    <n v="63257706"/>
    <n v="87792373"/>
    <n v="91347696"/>
    <n v="103001788"/>
    <n v="0"/>
    <m/>
    <n v="-103001788"/>
    <n v="-1"/>
  </r>
  <r>
    <x v="2"/>
    <x v="12"/>
    <x v="28"/>
    <x v="5"/>
    <x v="5"/>
    <n v="100414"/>
    <s v="P100010012"/>
    <s v="PUBG DevOps"/>
    <s v="김정헌"/>
    <s v="최준석"/>
    <m/>
    <n v="50497745"/>
    <n v="52282887"/>
    <n v="47594192"/>
    <n v="44715062"/>
    <n v="47436420"/>
    <n v="77036712"/>
    <n v="58708182"/>
    <n v="62344885"/>
    <n v="67203806"/>
    <n v="69382006"/>
    <n v="67995349"/>
    <n v="0"/>
    <m/>
    <n v="-67995349"/>
    <n v="-1"/>
  </r>
  <r>
    <x v="2"/>
    <x v="12"/>
    <x v="28"/>
    <x v="5"/>
    <x v="5"/>
    <n v="100414"/>
    <s v="P100010012"/>
    <s v="PUBG PC"/>
    <s v="김정헌"/>
    <s v="최준석"/>
    <m/>
    <n v="1107321813"/>
    <n v="1072331238"/>
    <n v="1037172581"/>
    <n v="1054350379"/>
    <n v="1004989795"/>
    <n v="956519110"/>
    <n v="992305254"/>
    <n v="893507704"/>
    <n v="959368174"/>
    <n v="968037670"/>
    <n v="859964972"/>
    <n v="0"/>
    <m/>
    <n v="-859964972"/>
    <n v="-1"/>
  </r>
  <r>
    <x v="2"/>
    <x v="0"/>
    <x v="7"/>
    <x v="5"/>
    <x v="5"/>
    <n v="100414"/>
    <s v="P100010012"/>
    <s v="PUBG Console"/>
    <s v="김정헌"/>
    <s v="최준석"/>
    <m/>
    <n v="0"/>
    <n v="43349022"/>
    <n v="40223578"/>
    <n v="34438652"/>
    <n v="29686673"/>
    <n v="28623552"/>
    <n v="29541266.757599998"/>
    <n v="40130689"/>
    <n v="55695481"/>
    <n v="57950978"/>
    <n v="65344334"/>
    <n v="0"/>
    <m/>
    <n v="-65344334"/>
    <n v="-1"/>
  </r>
  <r>
    <x v="2"/>
    <x v="0"/>
    <x v="7"/>
    <x v="5"/>
    <x v="5"/>
    <n v="100414"/>
    <s v="P100010012"/>
    <s v="PUBG DevOps"/>
    <s v="김정헌"/>
    <s v="최준석"/>
    <m/>
    <n v="0"/>
    <n v="31892561"/>
    <n v="29032457"/>
    <n v="27276188"/>
    <n v="28936216"/>
    <n v="46992394"/>
    <n v="37244470.660800003"/>
    <n v="39551595"/>
    <n v="42634095"/>
    <n v="44015945"/>
    <n v="43136249"/>
    <n v="0"/>
    <m/>
    <n v="-43136249"/>
    <n v="-1"/>
  </r>
  <r>
    <x v="2"/>
    <x v="0"/>
    <x v="7"/>
    <x v="5"/>
    <x v="5"/>
    <n v="100414"/>
    <s v="P100010012"/>
    <s v="PUBG PC"/>
    <s v="김정헌"/>
    <s v="최준석"/>
    <m/>
    <n v="0"/>
    <n v="654122055"/>
    <n v="632675274"/>
    <n v="643153731"/>
    <n v="613043775"/>
    <n v="583476656"/>
    <n v="629518453.13759995"/>
    <n v="566841287"/>
    <n v="608623170"/>
    <n v="614123098"/>
    <n v="545561778"/>
    <n v="0"/>
    <m/>
    <n v="-545561778"/>
    <n v="-1"/>
  </r>
  <r>
    <x v="2"/>
    <x v="0"/>
    <x v="0"/>
    <x v="78"/>
    <x v="1"/>
    <n v="101451"/>
    <s v="I100099999"/>
    <s v="Security_VDI"/>
    <s v="홍준화"/>
    <s v="홍준화"/>
    <m/>
    <n v="0"/>
    <n v="3750159"/>
    <n v="5263924"/>
    <n v="9174285"/>
    <n v="9778425"/>
    <n v="10102923"/>
    <n v="10306813.223200001"/>
    <n v="10732462"/>
    <n v="11368561"/>
    <n v="12220988"/>
    <n v="12729421"/>
    <n v="0"/>
    <m/>
    <n v="-12729421"/>
    <n v="-1"/>
  </r>
  <r>
    <x v="2"/>
    <x v="12"/>
    <x v="28"/>
    <x v="78"/>
    <x v="1"/>
    <n v="101451"/>
    <s v="P100010048"/>
    <s v="Security_VDI"/>
    <s v="홍준화"/>
    <s v="홍준화"/>
    <m/>
    <n v="2571411"/>
    <n v="6147802"/>
    <n v="8629384"/>
    <n v="15039812"/>
    <n v="16030205"/>
    <n v="16562169"/>
    <n v="16246553"/>
    <n v="16917500"/>
    <n v="17920178"/>
    <n v="19263852"/>
    <n v="20065291"/>
    <n v="0"/>
    <m/>
    <n v="-20065291"/>
    <n v="-1"/>
  </r>
  <r>
    <x v="2"/>
    <x v="14"/>
    <x v="30"/>
    <x v="97"/>
    <x v="26"/>
    <e v="#N/A"/>
    <s v="P100010012"/>
    <s v="EMEA_VisualStudio"/>
    <s v="Ben Moore"/>
    <s v="Ben Moore"/>
    <m/>
    <n v="1640680"/>
    <n v="1000815"/>
    <n v="1000815"/>
    <n v="1000815"/>
    <n v="1000815"/>
    <n v="1000815"/>
    <n v="1000814.8"/>
    <n v="1000815"/>
    <n v="1000815"/>
    <n v="1000815"/>
    <n v="1000815"/>
    <n v="0"/>
    <m/>
    <n v="-1000815"/>
    <n v="-1"/>
  </r>
  <r>
    <x v="2"/>
    <x v="12"/>
    <x v="28"/>
    <x v="97"/>
    <x v="26"/>
    <e v="#N/A"/>
    <s v="P100010012"/>
    <s v="EMEA_VisualStudio"/>
    <s v="Ben Moore"/>
    <s v="Ben Moore"/>
    <m/>
    <m/>
    <m/>
    <m/>
    <n v="1640680"/>
    <n v="1640680"/>
    <n v="1640680"/>
    <n v="1640680"/>
    <n v="1640680"/>
    <n v="1640680"/>
    <n v="1640680"/>
    <n v="1640680"/>
    <n v="0"/>
    <m/>
    <n v="-1640680"/>
    <n v="-1"/>
  </r>
  <r>
    <x v="2"/>
    <x v="12"/>
    <x v="28"/>
    <x v="85"/>
    <x v="37"/>
    <n v="100561"/>
    <s v="AI Tools"/>
    <s v="SDS-Azure subscription"/>
    <s v="Jordan Yerkes"/>
    <s v="Jordan Yerkes"/>
    <m/>
    <n v="2"/>
    <n v="0"/>
    <n v="1"/>
    <n v="1"/>
    <n v="1"/>
    <n v="0"/>
    <n v="1"/>
    <n v="0"/>
    <n v="1"/>
    <n v="0"/>
    <n v="1"/>
    <n v="0"/>
    <m/>
    <n v="-1"/>
    <n v="-1"/>
  </r>
  <r>
    <x v="2"/>
    <x v="0"/>
    <x v="26"/>
    <x v="85"/>
    <x v="37"/>
    <n v="100561"/>
    <s v="AI Tools"/>
    <s v="SDS-Azure subscription"/>
    <s v="Jordan Yerkes"/>
    <s v="Jordan Yerkes"/>
    <m/>
    <n v="0"/>
    <n v="0"/>
    <n v="0"/>
    <n v="1"/>
    <m/>
    <n v="0"/>
    <m/>
    <n v="0"/>
    <n v="0"/>
    <n v="0"/>
    <n v="0"/>
    <n v="0"/>
    <m/>
    <n v="0"/>
    <s v=""/>
  </r>
  <r>
    <x v="2"/>
    <x v="0"/>
    <x v="30"/>
    <x v="98"/>
    <x v="1"/>
    <e v="#N/A"/>
    <s v="P100010048"/>
    <s v="WPS AI Ops Team (wps_ai_ops_team)"/>
    <s v="Love Hedman"/>
    <s v="Love Hedman"/>
    <m/>
    <n v="0"/>
    <n v="5"/>
    <n v="5"/>
    <n v="6"/>
    <n v="6"/>
    <n v="54"/>
    <n v="1370.9384"/>
    <n v="738"/>
    <n v="247"/>
    <n v="211"/>
    <n v="246"/>
    <n v="0"/>
    <m/>
    <n v="-246"/>
    <n v="-1"/>
  </r>
  <r>
    <x v="2"/>
    <x v="12"/>
    <x v="28"/>
    <x v="98"/>
    <x v="1"/>
    <e v="#N/A"/>
    <s v="P100010048"/>
    <s v="WPS AI Ops Team (wps_ai_ops_team)"/>
    <s v="Love Hedman"/>
    <s v="Love Hedman"/>
    <m/>
    <m/>
    <n v="9"/>
    <n v="9"/>
    <n v="10"/>
    <n v="10"/>
    <n v="89"/>
    <n v="2161"/>
    <n v="1164"/>
    <n v="389"/>
    <n v="332"/>
    <n v="387"/>
    <n v="0"/>
    <m/>
    <n v="-387"/>
    <n v="-1"/>
  </r>
  <r>
    <x v="2"/>
    <x v="15"/>
    <x v="21"/>
    <x v="99"/>
    <x v="43"/>
    <e v="#N/A"/>
    <s v="P100010048"/>
    <s v="Nautilus_azure_sce_krafton_general"/>
    <s v="Mithil Bhatia"/>
    <s v="Mithil Bhatia"/>
    <m/>
    <m/>
    <m/>
    <m/>
    <m/>
    <n v="0"/>
    <n v="9427554"/>
    <n v="605447.25280000002"/>
    <n v="18349095"/>
    <n v="24970152"/>
    <n v="26039966"/>
    <n v="26065314"/>
    <n v="0"/>
    <m/>
    <n v="-26065314"/>
    <n v="-1"/>
  </r>
  <r>
    <x v="2"/>
    <x v="12"/>
    <x v="28"/>
    <x v="100"/>
    <x v="1"/>
    <e v="#N/A"/>
    <s v="P100010048"/>
    <s v="KraftonMontrealStudio"/>
    <m/>
    <m/>
    <m/>
    <m/>
    <m/>
    <m/>
    <m/>
    <m/>
    <m/>
    <m/>
    <m/>
    <m/>
    <n v="28611"/>
    <n v="32047"/>
    <n v="0"/>
    <m/>
    <n v="-32047"/>
    <n v="-1"/>
  </r>
  <r>
    <x v="2"/>
    <x v="12"/>
    <x v="28"/>
    <x v="99"/>
    <x v="43"/>
    <e v="#N/A"/>
    <s v="P100010048"/>
    <s v="Nautilus_azure_sce_krafton_general"/>
    <m/>
    <m/>
    <m/>
    <m/>
    <m/>
    <m/>
    <n v="4488659"/>
    <n v="22485885"/>
    <n v="20099067"/>
    <n v="27584638"/>
    <n v="29425293"/>
    <n v="39360265"/>
    <n v="41046604"/>
    <n v="41086560"/>
    <n v="0"/>
    <m/>
    <n v="-41086560"/>
    <n v="-1"/>
  </r>
  <r>
    <x v="2"/>
    <x v="0"/>
    <x v="31"/>
    <x v="100"/>
    <x v="1"/>
    <e v="#N/A"/>
    <s v="P100010048"/>
    <s v="KraftonMontrealStudio"/>
    <m/>
    <m/>
    <m/>
    <m/>
    <m/>
    <m/>
    <m/>
    <m/>
    <m/>
    <m/>
    <m/>
    <n v="7065"/>
    <n v="18151"/>
    <n v="20331"/>
    <n v="0"/>
    <m/>
    <n v="-20331"/>
    <n v="-1"/>
  </r>
  <r>
    <x v="3"/>
    <x v="0"/>
    <x v="0"/>
    <x v="43"/>
    <x v="1"/>
    <n v="100212"/>
    <s v="I100099999"/>
    <s v="KRAFTON_DE"/>
    <s v="연화음"/>
    <s v="김시훈"/>
    <m/>
    <n v="29631218"/>
    <n v="16435660"/>
    <n v="12622100"/>
    <n v="5799012"/>
    <n v="5774792"/>
    <n v="5023995"/>
    <n v="6369213"/>
    <n v="6558196"/>
    <n v="7158754"/>
    <n v="7338662"/>
    <n v="8178742"/>
    <n v="0"/>
    <m/>
    <n v="-8178742"/>
    <n v="-1"/>
  </r>
  <r>
    <x v="3"/>
    <x v="0"/>
    <x v="1"/>
    <x v="43"/>
    <x v="2"/>
    <n v="100212"/>
    <s v="P100030014"/>
    <s v="PUBGNS_DE"/>
    <s v="염화음"/>
    <s v="김시훈"/>
    <m/>
    <n v="111262"/>
    <n v="106849"/>
    <n v="137782"/>
    <n v="140478"/>
    <n v="107409"/>
    <n v="15660"/>
    <n v="6611"/>
    <n v="6804"/>
    <n v="6665"/>
    <n v="6628"/>
    <n v="6617"/>
    <n v="0"/>
    <m/>
    <n v="-6617"/>
    <n v="-1"/>
  </r>
  <r>
    <x v="3"/>
    <x v="0"/>
    <x v="0"/>
    <x v="21"/>
    <x v="1"/>
    <n v="100037"/>
    <s v="I100099999"/>
    <s v="datadog-website"/>
    <s v="김재윤"/>
    <s v="김재윤"/>
    <m/>
    <m/>
    <m/>
    <m/>
    <m/>
    <m/>
    <m/>
    <n v="46562"/>
    <n v="485012"/>
    <n v="594035"/>
    <n v="536000"/>
    <n v="69043"/>
    <n v="0"/>
    <m/>
    <n v="-69043"/>
    <n v="-1"/>
  </r>
  <r>
    <x v="3"/>
    <x v="0"/>
    <x v="0"/>
    <x v="0"/>
    <x v="0"/>
    <n v="101269"/>
    <s v="P100030073"/>
    <s v="Dark&amp;Darker Mobile"/>
    <s v="김정언"/>
    <s v="김정언"/>
    <m/>
    <n v="2689827"/>
    <n v="3184361"/>
    <n v="5892601"/>
    <n v="4558269"/>
    <n v="4227030"/>
    <n v="3653319"/>
    <n v="4398431"/>
    <n v="3009806"/>
    <n v="2728134"/>
    <n v="2507872"/>
    <n v="136806"/>
    <n v="0"/>
    <m/>
    <n v="-136806"/>
    <n v="-1"/>
  </r>
  <r>
    <x v="3"/>
    <x v="0"/>
    <x v="0"/>
    <x v="0"/>
    <x v="1"/>
    <n v="101269"/>
    <s v="I100099999"/>
    <s v="KRAFTON PUBG eSports"/>
    <s v="김정언"/>
    <s v="김정언"/>
    <m/>
    <n v="471540"/>
    <n v="624036"/>
    <n v="756337"/>
    <n v="503779"/>
    <n v="1055450"/>
    <n v="606572"/>
    <n v="380602"/>
    <n v="406679"/>
    <n v="422688"/>
    <n v="349678"/>
    <n v="391245"/>
    <n v="0"/>
    <m/>
    <n v="-391245"/>
    <n v="-1"/>
  </r>
  <r>
    <x v="3"/>
    <x v="0"/>
    <x v="0"/>
    <x v="0"/>
    <x v="44"/>
    <n v="101269"/>
    <s v="P100030099"/>
    <s v="KRAFTON-cookierun-india"/>
    <s v="김정언"/>
    <s v="김정언"/>
    <m/>
    <n v="1365568"/>
    <n v="1392626"/>
    <n v="1433357"/>
    <n v="1397615"/>
    <n v="1513198"/>
    <n v="1321573"/>
    <n v="1187979"/>
    <n v="1885335"/>
    <n v="2013913"/>
    <n v="1899827"/>
    <n v="1205408"/>
    <n v="0"/>
    <m/>
    <n v="-1205408"/>
    <n v="-1"/>
  </r>
  <r>
    <x v="3"/>
    <x v="0"/>
    <x v="0"/>
    <x v="2"/>
    <x v="1"/>
    <n v="100036"/>
    <s v="I100099999"/>
    <s v="krafton-system"/>
    <s v="백용원"/>
    <s v="백용원"/>
    <m/>
    <n v="14553120"/>
    <n v="15178479"/>
    <n v="15750629"/>
    <n v="16518476"/>
    <n v="16594140"/>
    <n v="16436574"/>
    <n v="20458900"/>
    <n v="17700612"/>
    <n v="16317729"/>
    <n v="16156624"/>
    <n v="15367189"/>
    <n v="0"/>
    <m/>
    <n v="-15367189"/>
    <n v="-1"/>
  </r>
  <r>
    <x v="3"/>
    <x v="0"/>
    <x v="11"/>
    <x v="37"/>
    <x v="20"/>
    <n v="150107"/>
    <s v="AI Tools"/>
    <s v="MadGlory_Valor"/>
    <s v="송영재"/>
    <s v="송영재"/>
    <m/>
    <m/>
    <m/>
    <m/>
    <m/>
    <m/>
    <m/>
    <n v="591194"/>
    <n v="651070"/>
    <n v="777813"/>
    <n v="805333"/>
    <n v="892829"/>
    <n v="0"/>
    <m/>
    <n v="-892829"/>
    <n v="-1"/>
  </r>
  <r>
    <x v="3"/>
    <x v="0"/>
    <x v="0"/>
    <x v="4"/>
    <x v="4"/>
    <n v="100025"/>
    <s v="I100090813"/>
    <s v="KRAFTON-KCN"/>
    <s v="신근우"/>
    <s v="신근우"/>
    <m/>
    <n v="1089302"/>
    <n v="1050583"/>
    <n v="1023318"/>
    <n v="1185222"/>
    <n v="1085177"/>
    <n v="1847424"/>
    <n v="3575964"/>
    <n v="1222609"/>
    <n v="1188837"/>
    <n v="2112071"/>
    <n v="2132083"/>
    <n v="0"/>
    <m/>
    <n v="-2132083"/>
    <n v="-1"/>
  </r>
  <r>
    <x v="3"/>
    <x v="0"/>
    <x v="0"/>
    <x v="4"/>
    <x v="4"/>
    <n v="100025"/>
    <s v="I100090813"/>
    <s v="KRAFTON-KOS"/>
    <s v="신근우"/>
    <s v="신근우"/>
    <m/>
    <n v="67167275"/>
    <n v="56518098"/>
    <n v="50517732"/>
    <n v="51972765"/>
    <n v="50346257"/>
    <n v="51169607"/>
    <n v="50164562"/>
    <n v="65419558"/>
    <n v="89476602"/>
    <n v="82241572"/>
    <n v="75537936"/>
    <n v="0"/>
    <m/>
    <n v="-75537936"/>
    <n v="-1"/>
  </r>
  <r>
    <x v="3"/>
    <x v="0"/>
    <x v="0"/>
    <x v="40"/>
    <x v="1"/>
    <n v="100033"/>
    <s v="I100099999"/>
    <s v="BLUEHOLE-TechSupport"/>
    <s v="엄기성"/>
    <s v="엄기성"/>
    <m/>
    <n v="47903"/>
    <n v="45641"/>
    <n v="10915"/>
    <n v="11171"/>
    <n v="11218"/>
    <n v="11327"/>
    <n v="11497"/>
    <n v="11833"/>
    <n v="11591"/>
    <n v="11527"/>
    <n v="11507"/>
    <n v="0"/>
    <m/>
    <n v="-11507"/>
    <n v="-1"/>
  </r>
  <r>
    <x v="3"/>
    <x v="3"/>
    <x v="6"/>
    <x v="33"/>
    <x v="18"/>
    <n v="110119"/>
    <s v="P100020001"/>
    <s v="BLUEHOLE-TRCS"/>
    <s v="엄기성"/>
    <s v="엄기성"/>
    <m/>
    <n v="420993"/>
    <n v="409026"/>
    <n v="420399"/>
    <n v="419953"/>
    <n v="413481"/>
    <n v="454461"/>
    <n v="428658"/>
    <n v="473312"/>
    <n v="452056"/>
    <n v="449561"/>
    <n v="460288"/>
    <n v="0"/>
    <m/>
    <n v="-460288"/>
    <n v="-1"/>
  </r>
  <r>
    <x v="3"/>
    <x v="3"/>
    <x v="6"/>
    <x v="33"/>
    <x v="18"/>
    <n v="110119"/>
    <s v="P100020001"/>
    <s v="Krafton-TRCS-AP"/>
    <s v="엄기성"/>
    <s v="엄기성"/>
    <m/>
    <n v="162680"/>
    <n v="156229"/>
    <n v="153395"/>
    <n v="167568"/>
    <n v="168264"/>
    <n v="181235"/>
    <n v="160955"/>
    <n v="153826"/>
    <n v="150686"/>
    <n v="149853"/>
    <n v="172608"/>
    <n v="0"/>
    <m/>
    <n v="-172608"/>
    <n v="-1"/>
  </r>
  <r>
    <x v="3"/>
    <x v="0"/>
    <x v="0"/>
    <x v="61"/>
    <x v="1"/>
    <n v="101752"/>
    <s v="I100099999"/>
    <s v="Krafton-WebService"/>
    <s v="이준호"/>
    <s v="이준호"/>
    <m/>
    <n v="1054820"/>
    <n v="785677"/>
    <n v="503986"/>
    <n v="586879"/>
    <n v="643848"/>
    <n v="852074"/>
    <n v="1097154"/>
    <n v="1083722"/>
    <n v="1050148"/>
    <n v="579127"/>
    <n v="604761"/>
    <n v="0"/>
    <m/>
    <n v="-604761"/>
    <n v="-1"/>
  </r>
  <r>
    <x v="3"/>
    <x v="0"/>
    <x v="0"/>
    <x v="61"/>
    <x v="3"/>
    <n v="101752"/>
    <s v="P100130012"/>
    <s v="KTAFTON_bgmi_event"/>
    <s v="이준호"/>
    <s v="이준호"/>
    <m/>
    <n v="517381"/>
    <n v="1342787"/>
    <n v="1038929"/>
    <n v="977410"/>
    <n v="600254"/>
    <m/>
    <n v="1590482"/>
    <n v="1693540"/>
    <n v="609813"/>
    <n v="560510"/>
    <n v="1256241"/>
    <n v="0"/>
    <m/>
    <n v="-1256241"/>
    <n v="-1"/>
  </r>
  <r>
    <x v="3"/>
    <x v="0"/>
    <x v="0"/>
    <x v="0"/>
    <x v="11"/>
    <n v="101269"/>
    <s v="P100030042"/>
    <s v="datadog_RW_defensederby"/>
    <s v="김정언"/>
    <s v="이진호"/>
    <m/>
    <n v="758771"/>
    <n v="910479"/>
    <n v="937108"/>
    <n v="223368"/>
    <n v="221309"/>
    <n v="242770"/>
    <n v="41446"/>
    <m/>
    <n v="0"/>
    <n v="0"/>
    <n v="0"/>
    <n v="0"/>
    <m/>
    <n v="0"/>
    <s v=""/>
  </r>
  <r>
    <x v="3"/>
    <x v="0"/>
    <x v="0"/>
    <x v="5"/>
    <x v="26"/>
    <n v="100414"/>
    <s v="P100010048"/>
    <s v="PUBG Black Budget"/>
    <s v="김정헌"/>
    <s v="최준석"/>
    <m/>
    <n v="2306643"/>
    <n v="2657940"/>
    <n v="3028643"/>
    <n v="3559382"/>
    <n v="4107254"/>
    <n v="2824890"/>
    <n v="3713495"/>
    <n v="4534300"/>
    <n v="12285441"/>
    <n v="9406051"/>
    <n v="12194870"/>
    <n v="0"/>
    <m/>
    <n v="-12194870"/>
    <n v="-1"/>
  </r>
  <r>
    <x v="3"/>
    <x v="0"/>
    <x v="0"/>
    <x v="5"/>
    <x v="5"/>
    <n v="100414"/>
    <s v="P100010012"/>
    <s v="PUBG DevOps"/>
    <s v="김정헌"/>
    <s v="최준석"/>
    <m/>
    <n v="2003535"/>
    <n v="2167270"/>
    <n v="1888448"/>
    <n v="2608405"/>
    <n v="3207434"/>
    <n v="11003525"/>
    <n v="9408522"/>
    <n v="9919806"/>
    <n v="28890298"/>
    <n v="11730208"/>
    <n v="11344632"/>
    <n v="0"/>
    <m/>
    <n v="-11344632"/>
    <n v="-1"/>
  </r>
  <r>
    <x v="3"/>
    <x v="0"/>
    <x v="7"/>
    <x v="5"/>
    <x v="5"/>
    <n v="100414"/>
    <s v="P100010012"/>
    <s v="PUBG Corporation"/>
    <s v="김정헌"/>
    <s v="최준석"/>
    <m/>
    <n v="131889003"/>
    <n v="130685365"/>
    <n v="207044614"/>
    <n v="133943638"/>
    <n v="121251557"/>
    <n v="116987123"/>
    <n v="133443688"/>
    <n v="127189745"/>
    <n v="120181299"/>
    <n v="142534492"/>
    <n v="144426998"/>
    <n v="0"/>
    <m/>
    <n v="-144426998"/>
    <n v="-1"/>
  </r>
  <r>
    <x v="3"/>
    <x v="0"/>
    <x v="7"/>
    <x v="5"/>
    <x v="5"/>
    <n v="100414"/>
    <s v="P100010012"/>
    <s v="PUBG Intelligent Services"/>
    <s v="김정헌"/>
    <s v="최준석"/>
    <m/>
    <n v="662805"/>
    <n v="657626"/>
    <n v="527725"/>
    <n v="621454"/>
    <n v="624035"/>
    <n v="568909"/>
    <n v="623615"/>
    <n v="628011"/>
    <n v="621752"/>
    <n v="629659"/>
    <n v="583084"/>
    <n v="0"/>
    <m/>
    <n v="-583084"/>
    <n v="-1"/>
  </r>
  <r>
    <x v="3"/>
    <x v="0"/>
    <x v="0"/>
    <x v="2"/>
    <x v="1"/>
    <n v="100036"/>
    <s v="I100099999"/>
    <s v="Krafton-infra-platform"/>
    <s v="홍성철"/>
    <s v="홍성철"/>
    <m/>
    <n v="1355764"/>
    <n v="1633358"/>
    <n v="2079209"/>
    <n v="3191360"/>
    <n v="2789621"/>
    <n v="3043562"/>
    <n v="3299639"/>
    <n v="2948201"/>
    <n v="2661847"/>
    <n v="3198078"/>
    <n v="2791158"/>
    <n v="0"/>
    <m/>
    <n v="-2791158"/>
    <n v="-1"/>
  </r>
  <r>
    <x v="3"/>
    <x v="11"/>
    <x v="24"/>
    <x v="101"/>
    <x v="22"/>
    <e v="#N/A"/>
    <s v="AI Tools"/>
    <s v="Unknown Worlds"/>
    <s v="Jack Smith"/>
    <s v="Jack Smith"/>
    <m/>
    <n v="497002"/>
    <n v="510045"/>
    <n v="840058"/>
    <n v="823583"/>
    <n v="758885"/>
    <n v="777386"/>
    <n v="856698"/>
    <n v="1009870"/>
    <n v="918936"/>
    <n v="961354"/>
    <n v="1052362"/>
    <n v="0"/>
    <m/>
    <n v="-1052362"/>
    <n v="-1"/>
  </r>
  <r>
    <x v="3"/>
    <x v="0"/>
    <x v="26"/>
    <x v="85"/>
    <x v="37"/>
    <n v="100561"/>
    <s v="AI Tools"/>
    <s v="KRAFTON - SDS DevOps"/>
    <s v="Jordan Yerkes"/>
    <s v="Jordan Yerkes"/>
    <m/>
    <n v="2495032"/>
    <n v="2442121"/>
    <n v="1968251"/>
    <n v="2149297"/>
    <n v="1368155"/>
    <n v="868060"/>
    <n v="990737"/>
    <n v="1423811"/>
    <n v="1298214"/>
    <n v="1437874"/>
    <n v="2467877"/>
    <n v="0"/>
    <m/>
    <n v="-2467877"/>
    <n v="-1"/>
  </r>
  <r>
    <x v="3"/>
    <x v="0"/>
    <x v="26"/>
    <x v="85"/>
    <x v="37"/>
    <n v="100561"/>
    <s v="AI Tools"/>
    <s v="KRAFTON - SDS ITSEC"/>
    <s v="Jordan Yerkes"/>
    <s v="Jordan Yerkes"/>
    <m/>
    <n v="685580"/>
    <n v="658867"/>
    <n v="585785"/>
    <n v="504366"/>
    <n v="562296"/>
    <n v="606203"/>
    <n v="616200"/>
    <n v="219084"/>
    <n v="215669"/>
    <n v="214478"/>
    <n v="211229"/>
    <n v="0"/>
    <m/>
    <n v="-211229"/>
    <n v="-1"/>
  </r>
  <r>
    <x v="4"/>
    <x v="0"/>
    <x v="14"/>
    <x v="6"/>
    <x v="1"/>
    <e v="#N/A"/>
    <s v="P100010048"/>
    <s v="backpackarena"/>
    <n v="0"/>
    <n v="0"/>
    <m/>
    <m/>
    <m/>
    <m/>
    <m/>
    <n v="3601"/>
    <n v="4989"/>
    <n v="8927.6190289999904"/>
    <n v="53039"/>
    <n v="166144"/>
    <n v="115509"/>
    <n v="128823"/>
    <n v="0"/>
    <m/>
    <n v="-128823"/>
    <n v="-1"/>
  </r>
  <r>
    <x v="4"/>
    <x v="0"/>
    <x v="14"/>
    <x v="6"/>
    <x v="1"/>
    <e v="#N/A"/>
    <s v="P100010048"/>
    <s v="smash-dungeon"/>
    <n v="0"/>
    <n v="0"/>
    <m/>
    <m/>
    <m/>
    <m/>
    <m/>
    <n v="1043"/>
    <n v="1014"/>
    <n v="989.49082299999998"/>
    <n v="870"/>
    <n v="2064"/>
    <n v="1092"/>
    <n v="1091"/>
    <n v="0"/>
    <m/>
    <n v="-1091"/>
    <n v="-1"/>
  </r>
  <r>
    <x v="4"/>
    <x v="0"/>
    <x v="14"/>
    <x v="6"/>
    <x v="1"/>
    <e v="#N/A"/>
    <s v="P100010048"/>
    <s v="sys-63523688918007462271555783"/>
    <n v="0"/>
    <n v="0"/>
    <m/>
    <m/>
    <m/>
    <m/>
    <m/>
    <m/>
    <m/>
    <m/>
    <m/>
    <n v="17821"/>
    <n v="152110"/>
    <n v="0"/>
    <n v="0"/>
    <m/>
    <n v="0"/>
    <s v=""/>
  </r>
  <r>
    <x v="4"/>
    <x v="0"/>
    <x v="0"/>
    <x v="15"/>
    <x v="1"/>
    <n v="100009"/>
    <s v="I100099999"/>
    <s v="hc-coupon"/>
    <n v="0"/>
    <n v="0"/>
    <m/>
    <m/>
    <m/>
    <m/>
    <m/>
    <m/>
    <m/>
    <m/>
    <m/>
    <m/>
    <n v="1"/>
    <n v="5"/>
    <n v="0"/>
    <m/>
    <n v="-5"/>
    <n v="-1"/>
  </r>
  <r>
    <x v="4"/>
    <x v="0"/>
    <x v="0"/>
    <x v="15"/>
    <x v="1"/>
    <n v="100009"/>
    <s v="I100099999"/>
    <s v="pubg-primer"/>
    <n v="0"/>
    <n v="0"/>
    <m/>
    <m/>
    <m/>
    <m/>
    <m/>
    <m/>
    <m/>
    <m/>
    <m/>
    <n v="0"/>
    <n v="1"/>
    <n v="0"/>
    <n v="0"/>
    <m/>
    <n v="0"/>
    <s v=""/>
  </r>
  <r>
    <x v="4"/>
    <x v="0"/>
    <x v="0"/>
    <x v="56"/>
    <x v="1"/>
    <n v="101651"/>
    <s v="I100099999"/>
    <s v="ai-transformation-467006"/>
    <s v="김도균"/>
    <s v="김도균"/>
    <m/>
    <m/>
    <m/>
    <m/>
    <m/>
    <m/>
    <m/>
    <n v="256977.01901900599"/>
    <n v="132833"/>
    <n v="497634"/>
    <n v="803045"/>
    <n v="342429"/>
    <n v="0"/>
    <m/>
    <n v="-342429"/>
    <n v="-1"/>
  </r>
  <r>
    <x v="4"/>
    <x v="0"/>
    <x v="0"/>
    <x v="10"/>
    <x v="1"/>
    <n v="100810"/>
    <s v="I100099999"/>
    <s v="dld-tpu-llm-training"/>
    <s v="김동원"/>
    <s v="김동원"/>
    <m/>
    <m/>
    <m/>
    <m/>
    <m/>
    <n v="3834504"/>
    <n v="898636"/>
    <n v="713354.59964023496"/>
    <n v="693356"/>
    <n v="1673187"/>
    <n v="9840181"/>
    <n v="8828663"/>
    <n v="0"/>
    <m/>
    <n v="-8828663"/>
    <n v="-1"/>
  </r>
  <r>
    <x v="4"/>
    <x v="0"/>
    <x v="19"/>
    <x v="102"/>
    <x v="6"/>
    <n v="480027"/>
    <e v="#N/A"/>
    <s v="prototype-485602"/>
    <s v="김무갑"/>
    <s v="김무갑"/>
    <m/>
    <m/>
    <m/>
    <m/>
    <m/>
    <m/>
    <m/>
    <m/>
    <m/>
    <m/>
    <n v="149904"/>
    <n v="0"/>
    <n v="0"/>
    <m/>
    <n v="0"/>
    <s v=""/>
  </r>
  <r>
    <x v="4"/>
    <x v="0"/>
    <x v="0"/>
    <x v="103"/>
    <x v="19"/>
    <n v="100987"/>
    <s v="I100090820"/>
    <s v="kraftonjunglelms"/>
    <s v="김성민"/>
    <s v="김성민"/>
    <m/>
    <m/>
    <m/>
    <m/>
    <m/>
    <m/>
    <m/>
    <m/>
    <m/>
    <n v="16445"/>
    <n v="0"/>
    <n v="0"/>
    <n v="0"/>
    <m/>
    <n v="0"/>
    <s v=""/>
  </r>
  <r>
    <x v="4"/>
    <x v="0"/>
    <x v="0"/>
    <x v="104"/>
    <x v="1"/>
    <n v="101883"/>
    <s v="I100099999"/>
    <s v="it-cost-summary"/>
    <s v="김승태"/>
    <s v="김승태"/>
    <m/>
    <m/>
    <m/>
    <m/>
    <m/>
    <m/>
    <m/>
    <m/>
    <m/>
    <m/>
    <n v="0"/>
    <n v="0"/>
    <n v="0"/>
    <m/>
    <n v="0"/>
    <s v=""/>
  </r>
  <r>
    <x v="4"/>
    <x v="0"/>
    <x v="0"/>
    <x v="43"/>
    <x v="1"/>
    <n v="100212"/>
    <s v="I100099999"/>
    <s v="krafton-ded-infra"/>
    <s v="염화음"/>
    <s v="김시훈"/>
    <m/>
    <n v="901"/>
    <n v="599"/>
    <n v="1299"/>
    <n v="1997"/>
    <n v="2590"/>
    <n v="2943"/>
    <n v="4534.8052599422999"/>
    <n v="4189"/>
    <n v="5712"/>
    <n v="5331"/>
    <n v="0"/>
    <n v="0"/>
    <m/>
    <n v="0"/>
    <s v=""/>
  </r>
  <r>
    <x v="4"/>
    <x v="0"/>
    <x v="0"/>
    <x v="19"/>
    <x v="8"/>
    <n v="102043"/>
    <s v="I100090817"/>
    <s v="atoz-dev-470901"/>
    <s v="김재욱"/>
    <s v="김재욱"/>
    <m/>
    <m/>
    <m/>
    <m/>
    <m/>
    <m/>
    <n v="4455803"/>
    <n v="1593198.4656271101"/>
    <n v="2110719"/>
    <n v="13277874"/>
    <n v="9986820"/>
    <n v="20057738"/>
    <n v="0"/>
    <m/>
    <n v="-20057738"/>
    <n v="-1"/>
  </r>
  <r>
    <x v="4"/>
    <x v="0"/>
    <x v="0"/>
    <x v="105"/>
    <x v="3"/>
    <n v="100203"/>
    <s v="P100130012"/>
    <s v="logdescriptor"/>
    <s v="김준형"/>
    <s v="김준형"/>
    <m/>
    <n v="49474"/>
    <m/>
    <m/>
    <n v="52279"/>
    <m/>
    <m/>
    <m/>
    <m/>
    <n v="0"/>
    <n v="0"/>
    <n v="0"/>
    <n v="0"/>
    <m/>
    <n v="0"/>
    <s v=""/>
  </r>
  <r>
    <x v="4"/>
    <x v="0"/>
    <x v="0"/>
    <x v="105"/>
    <x v="1"/>
    <n v="100203"/>
    <s v="I100099999"/>
    <s v="tableau-tf"/>
    <s v="김태혁"/>
    <s v="김태혁"/>
    <m/>
    <m/>
    <m/>
    <m/>
    <m/>
    <m/>
    <n v="24"/>
    <n v="0"/>
    <n v="2"/>
    <n v="0"/>
    <n v="0"/>
    <n v="0"/>
    <n v="0"/>
    <m/>
    <n v="0"/>
    <s v=""/>
  </r>
  <r>
    <x v="4"/>
    <x v="0"/>
    <x v="0"/>
    <x v="34"/>
    <x v="19"/>
    <n v="101145"/>
    <s v="I100090820"/>
    <s v="kraftonjungle"/>
    <s v="김현수"/>
    <s v="김현수"/>
    <m/>
    <n v="79635"/>
    <n v="55454"/>
    <n v="27196"/>
    <n v="31442"/>
    <n v="31917"/>
    <n v="30756"/>
    <n v="31847.9496317054"/>
    <n v="20477"/>
    <n v="33337"/>
    <n v="32771"/>
    <n v="1"/>
    <n v="0"/>
    <m/>
    <n v="-1"/>
    <n v="-1"/>
  </r>
  <r>
    <x v="4"/>
    <x v="0"/>
    <x v="0"/>
    <x v="106"/>
    <x v="1"/>
    <n v="107002"/>
    <s v="I100099999"/>
    <s v="krafton-dld-tgw"/>
    <s v="나민주"/>
    <s v="나민주"/>
    <m/>
    <m/>
    <m/>
    <m/>
    <m/>
    <m/>
    <m/>
    <m/>
    <m/>
    <m/>
    <n v="613287"/>
    <n v="1"/>
    <n v="0"/>
    <m/>
    <n v="-1"/>
    <n v="-1"/>
  </r>
  <r>
    <x v="4"/>
    <x v="0"/>
    <x v="16"/>
    <x v="107"/>
    <x v="1"/>
    <e v="#N/A"/>
    <s v="P100010048"/>
    <s v="migaloo-web3"/>
    <s v="당정현"/>
    <s v="당정현"/>
    <m/>
    <m/>
    <m/>
    <m/>
    <m/>
    <m/>
    <m/>
    <m/>
    <m/>
    <n v="0"/>
    <n v="0"/>
    <n v="0"/>
    <n v="0"/>
    <m/>
    <n v="0"/>
    <s v=""/>
  </r>
  <r>
    <x v="4"/>
    <x v="0"/>
    <x v="16"/>
    <x v="6"/>
    <x v="1"/>
    <e v="#N/A"/>
    <s v="P100010048"/>
    <s v="migaloo-web3-369008"/>
    <s v="당정현"/>
    <s v="당정현"/>
    <m/>
    <m/>
    <m/>
    <m/>
    <n v="15458"/>
    <n v="56760"/>
    <n v="35549"/>
    <n v="211502.07494605999"/>
    <n v="221353"/>
    <n v="1257249"/>
    <n v="642356"/>
    <n v="18"/>
    <n v="0"/>
    <m/>
    <n v="-18"/>
    <n v="-1"/>
  </r>
  <r>
    <x v="4"/>
    <x v="0"/>
    <x v="0"/>
    <x v="108"/>
    <x v="45"/>
    <n v="105027"/>
    <s v="P100010105"/>
    <s v="dinkum-automation"/>
    <s v="라샛별"/>
    <s v="라샛별"/>
    <m/>
    <m/>
    <m/>
    <m/>
    <m/>
    <m/>
    <m/>
    <m/>
    <n v="276"/>
    <n v="542"/>
    <n v="586"/>
    <n v="0"/>
    <n v="0"/>
    <m/>
    <n v="0"/>
    <s v=""/>
  </r>
  <r>
    <x v="4"/>
    <x v="0"/>
    <x v="0"/>
    <x v="43"/>
    <x v="1"/>
    <n v="100212"/>
    <s v="I100099999"/>
    <s v="krafton-ded-ai"/>
    <s v="염화음"/>
    <s v="문중현"/>
    <m/>
    <n v="32216750"/>
    <n v="24733486"/>
    <n v="29149119"/>
    <n v="5952482"/>
    <n v="6976333"/>
    <n v="6614497"/>
    <n v="6047131.0123658199"/>
    <n v="5896039"/>
    <n v="6569267"/>
    <n v="10132977"/>
    <n v="3789167"/>
    <n v="0"/>
    <m/>
    <n v="-3789167"/>
    <n v="-1"/>
  </r>
  <r>
    <x v="4"/>
    <x v="0"/>
    <x v="0"/>
    <x v="109"/>
    <x v="1"/>
    <n v="101001"/>
    <s v="I100099999"/>
    <s v="gamebench-456108"/>
    <s v="박동민"/>
    <s v="박동민"/>
    <m/>
    <n v="390685"/>
    <n v="2907699"/>
    <n v="584876"/>
    <n v="85482"/>
    <n v="527489"/>
    <n v="1284729"/>
    <n v="222180.384419571"/>
    <n v="1552534"/>
    <n v="917512"/>
    <n v="718592"/>
    <n v="3"/>
    <n v="0"/>
    <m/>
    <n v="-3"/>
    <n v="-1"/>
  </r>
  <r>
    <x v="4"/>
    <x v="0"/>
    <x v="0"/>
    <x v="110"/>
    <x v="1"/>
    <n v="101967"/>
    <s v="I100099999"/>
    <s v="nonverbal-tagging"/>
    <s v="박선영"/>
    <s v="박선영"/>
    <m/>
    <m/>
    <m/>
    <m/>
    <m/>
    <m/>
    <m/>
    <m/>
    <m/>
    <m/>
    <n v="756015"/>
    <n v="6"/>
    <n v="0"/>
    <m/>
    <n v="-6"/>
    <n v="-1"/>
  </r>
  <r>
    <x v="4"/>
    <x v="0"/>
    <x v="7"/>
    <x v="52"/>
    <x v="1"/>
    <n v="100774"/>
    <s v="I100099999"/>
    <s v="gcp-msu-devops"/>
    <s v="천궁원"/>
    <s v="배시은"/>
    <m/>
    <m/>
    <m/>
    <m/>
    <m/>
    <m/>
    <m/>
    <n v="178521.32227758801"/>
    <n v="543362"/>
    <n v="0"/>
    <n v="0"/>
    <n v="0"/>
    <n v="0"/>
    <m/>
    <n v="0"/>
    <s v=""/>
  </r>
  <r>
    <x v="4"/>
    <x v="0"/>
    <x v="0"/>
    <x v="2"/>
    <x v="1"/>
    <n v="100036"/>
    <s v="I100099999"/>
    <s v="dataplatform-api"/>
    <s v="백용원"/>
    <s v="백용원"/>
    <m/>
    <n v="0"/>
    <n v="0"/>
    <n v="0"/>
    <n v="1"/>
    <n v="3"/>
    <n v="5"/>
    <n v="0.89483713234818996"/>
    <n v="1"/>
    <n v="0"/>
    <n v="1"/>
    <n v="0"/>
    <n v="0"/>
    <m/>
    <n v="0"/>
    <s v=""/>
  </r>
  <r>
    <x v="4"/>
    <x v="0"/>
    <x v="0"/>
    <x v="15"/>
    <x v="1"/>
    <n v="100009"/>
    <s v="I100099999"/>
    <s v="Kissflow"/>
    <s v="송은석"/>
    <s v="사용완료"/>
    <m/>
    <n v="0"/>
    <m/>
    <m/>
    <m/>
    <m/>
    <m/>
    <m/>
    <n v="333340053"/>
    <n v="0"/>
    <n v="0"/>
    <n v="0"/>
    <n v="0"/>
    <m/>
    <n v="0"/>
    <s v=""/>
  </r>
  <r>
    <x v="4"/>
    <x v="0"/>
    <x v="0"/>
    <x v="43"/>
    <x v="1"/>
    <n v="100212"/>
    <s v="I100099999"/>
    <s v="Looker"/>
    <s v="송은석"/>
    <s v="사용완료"/>
    <m/>
    <n v="18571999"/>
    <m/>
    <m/>
    <m/>
    <m/>
    <m/>
    <m/>
    <m/>
    <n v="0"/>
    <n v="0"/>
    <n v="0"/>
    <n v="0"/>
    <m/>
    <n v="0"/>
    <s v=""/>
  </r>
  <r>
    <x v="4"/>
    <x v="0"/>
    <x v="0"/>
    <x v="15"/>
    <x v="1"/>
    <n v="100009"/>
    <s v="I100099999"/>
    <s v="GitLab"/>
    <s v="정채원"/>
    <s v="사용완료"/>
    <m/>
    <n v="585433760"/>
    <m/>
    <m/>
    <m/>
    <m/>
    <m/>
    <m/>
    <m/>
    <n v="102601463"/>
    <n v="0"/>
    <n v="0"/>
    <n v="0"/>
    <m/>
    <n v="0"/>
    <s v=""/>
  </r>
  <r>
    <x v="4"/>
    <x v="0"/>
    <x v="0"/>
    <x v="111"/>
    <x v="1"/>
    <n v="102061"/>
    <s v="I100099999"/>
    <s v="veo3-461205"/>
    <s v="선주형"/>
    <s v="선주형"/>
    <m/>
    <m/>
    <n v="0"/>
    <n v="247576"/>
    <n v="547075"/>
    <n v="46917"/>
    <n v="6850"/>
    <n v="373952.14690898301"/>
    <n v="5366"/>
    <n v="539725"/>
    <n v="3408"/>
    <n v="0"/>
    <n v="0"/>
    <m/>
    <n v="0"/>
    <s v=""/>
  </r>
  <r>
    <x v="4"/>
    <x v="0"/>
    <x v="0"/>
    <x v="43"/>
    <x v="1"/>
    <n v="100212"/>
    <s v="I100099999"/>
    <s v="oge-scraper"/>
    <s v="염화음"/>
    <s v="신수연"/>
    <m/>
    <m/>
    <m/>
    <m/>
    <m/>
    <m/>
    <m/>
    <m/>
    <m/>
    <n v="0"/>
    <n v="0"/>
    <n v="0"/>
    <n v="0"/>
    <m/>
    <n v="0"/>
    <s v=""/>
  </r>
  <r>
    <x v="4"/>
    <x v="0"/>
    <x v="0"/>
    <x v="112"/>
    <x v="1"/>
    <n v="100522"/>
    <s v="I100099999"/>
    <s v="dm-rtv-empires"/>
    <s v="신지호"/>
    <s v="신지호"/>
    <m/>
    <n v="8"/>
    <n v="0"/>
    <n v="7"/>
    <n v="0"/>
    <n v="18"/>
    <n v="62"/>
    <n v="59.340001743129903"/>
    <n v="8"/>
    <n v="0"/>
    <n v="0"/>
    <n v="0"/>
    <n v="0"/>
    <m/>
    <n v="0"/>
    <s v=""/>
  </r>
  <r>
    <x v="4"/>
    <x v="0"/>
    <x v="0"/>
    <x v="112"/>
    <x v="1"/>
    <n v="100522"/>
    <s v="I100099999"/>
    <s v="archeryking"/>
    <s v="신지호"/>
    <s v="신지호"/>
    <m/>
    <n v="126128"/>
    <n v="115026"/>
    <n v="89031"/>
    <n v="107740"/>
    <n v="138610"/>
    <n v="853144"/>
    <n v="154577.72614118399"/>
    <n v="37216"/>
    <n v="75675"/>
    <n v="28767"/>
    <n v="1"/>
    <n v="0"/>
    <m/>
    <n v="-1"/>
    <n v="-1"/>
  </r>
  <r>
    <x v="4"/>
    <x v="0"/>
    <x v="0"/>
    <x v="112"/>
    <x v="1"/>
    <n v="100522"/>
    <s v="I100099999"/>
    <s v="garuda-saga-india"/>
    <s v="신지호"/>
    <s v="신지호"/>
    <m/>
    <n v="400617"/>
    <n v="327988"/>
    <n v="354012"/>
    <n v="404616"/>
    <n v="400684"/>
    <n v="376377"/>
    <n v="391111.87868487299"/>
    <n v="247273"/>
    <n v="409143"/>
    <n v="402782"/>
    <n v="16"/>
    <n v="0"/>
    <m/>
    <n v="-16"/>
    <n v="-1"/>
  </r>
  <r>
    <x v="4"/>
    <x v="0"/>
    <x v="0"/>
    <x v="13"/>
    <x v="0"/>
    <n v="101323"/>
    <s v="P100030073"/>
    <s v="project-ddm-405802"/>
    <s v="신지호"/>
    <s v="신지호"/>
    <m/>
    <n v="702"/>
    <n v="335"/>
    <n v="305"/>
    <n v="335"/>
    <n v="355"/>
    <n v="344"/>
    <n v="340.91250228800499"/>
    <n v="254"/>
    <n v="409"/>
    <n v="410"/>
    <n v="0"/>
    <n v="0"/>
    <m/>
    <n v="0"/>
    <s v=""/>
  </r>
  <r>
    <x v="4"/>
    <x v="0"/>
    <x v="0"/>
    <x v="13"/>
    <x v="3"/>
    <n v="101323"/>
    <s v="P100130012"/>
    <s v="pubg-mobile-fit-29242572"/>
    <s v="신지호"/>
    <s v="신지호"/>
    <m/>
    <n v="634011"/>
    <n v="504939"/>
    <n v="564021"/>
    <n v="625597"/>
    <n v="595881"/>
    <n v="664709"/>
    <n v="530501.09327413305"/>
    <n v="385591"/>
    <n v="246345"/>
    <n v="689903"/>
    <n v="23"/>
    <n v="0"/>
    <m/>
    <n v="-23"/>
    <n v="-1"/>
  </r>
  <r>
    <x v="4"/>
    <x v="0"/>
    <x v="7"/>
    <x v="13"/>
    <x v="1"/>
    <n v="101323"/>
    <s v="I100099999"/>
    <s v="api-6414577526685413251-707161"/>
    <s v="신지호"/>
    <s v="신지호"/>
    <m/>
    <n v="607300"/>
    <n v="597110"/>
    <n v="577154"/>
    <n v="585781"/>
    <n v="633921"/>
    <n v="675058"/>
    <n v="561954.89277823002"/>
    <n v="377672"/>
    <n v="288672"/>
    <n v="666609"/>
    <n v="24"/>
    <n v="0"/>
    <m/>
    <n v="-24"/>
    <n v="-1"/>
  </r>
  <r>
    <x v="4"/>
    <x v="0"/>
    <x v="7"/>
    <x v="13"/>
    <x v="28"/>
    <n v="101323"/>
    <s v="P100030092"/>
    <s v="project-uropa"/>
    <s v="신지호"/>
    <s v="신지호"/>
    <m/>
    <m/>
    <m/>
    <m/>
    <m/>
    <m/>
    <m/>
    <m/>
    <m/>
    <m/>
    <n v="0"/>
    <n v="0"/>
    <n v="0"/>
    <m/>
    <n v="0"/>
    <s v=""/>
  </r>
  <r>
    <x v="4"/>
    <x v="0"/>
    <x v="0"/>
    <x v="113"/>
    <x v="1"/>
    <n v="100085"/>
    <s v="I100099999"/>
    <s v="finance-hq"/>
    <s v="신현미"/>
    <s v="신현미"/>
    <m/>
    <m/>
    <m/>
    <m/>
    <m/>
    <m/>
    <m/>
    <m/>
    <n v="1"/>
    <n v="28"/>
    <n v="7"/>
    <n v="0"/>
    <n v="0"/>
    <m/>
    <n v="0"/>
    <s v=""/>
  </r>
  <r>
    <x v="4"/>
    <x v="0"/>
    <x v="7"/>
    <x v="55"/>
    <x v="1"/>
    <n v="100022"/>
    <s v="I100099999"/>
    <s v="vital-axiom-238107"/>
    <s v="심재한"/>
    <s v="심재한"/>
    <m/>
    <n v="618098"/>
    <n v="607799"/>
    <n v="579289"/>
    <n v="570883"/>
    <n v="565793"/>
    <n v="675446"/>
    <n v="463957.726986742"/>
    <n v="13609"/>
    <n v="13256"/>
    <n v="13387"/>
    <n v="1"/>
    <n v="0"/>
    <m/>
    <n v="-1"/>
    <n v="-1"/>
  </r>
  <r>
    <x v="4"/>
    <x v="0"/>
    <x v="0"/>
    <x v="51"/>
    <x v="10"/>
    <n v="101758"/>
    <s v="P100030103"/>
    <s v="palworld-m"/>
    <s v="양병성"/>
    <s v="양병성"/>
    <m/>
    <m/>
    <m/>
    <m/>
    <n v="498381"/>
    <n v="280370"/>
    <n v="29853"/>
    <n v="1972.6771002754699"/>
    <n v="5090"/>
    <n v="70283"/>
    <n v="211224"/>
    <n v="3"/>
    <n v="0"/>
    <m/>
    <n v="-3"/>
    <n v="-1"/>
  </r>
  <r>
    <x v="4"/>
    <x v="0"/>
    <x v="0"/>
    <x v="114"/>
    <x v="1"/>
    <n v="100013"/>
    <s v="I100099999"/>
    <s v="ai-workflow-automation-project"/>
    <s v="양윤상"/>
    <s v="양윤상"/>
    <m/>
    <m/>
    <m/>
    <m/>
    <m/>
    <m/>
    <n v="1458"/>
    <n v="3154.01712890831"/>
    <n v="1297"/>
    <n v="621"/>
    <n v="1797"/>
    <n v="0"/>
    <n v="0"/>
    <m/>
    <n v="0"/>
    <s v=""/>
  </r>
  <r>
    <x v="4"/>
    <x v="0"/>
    <x v="22"/>
    <x v="40"/>
    <x v="46"/>
    <n v="100033"/>
    <s v="AI Tools"/>
    <s v="uw-mb-prod"/>
    <s v="엄기성"/>
    <s v="엄기성"/>
    <m/>
    <n v="4617164"/>
    <n v="3751157"/>
    <n v="4614580"/>
    <n v="4657575"/>
    <n v="4624259"/>
    <n v="4360346"/>
    <n v="4535924.9897238901"/>
    <n v="2905468"/>
    <n v="4747557"/>
    <n v="4697332"/>
    <n v="189"/>
    <n v="0"/>
    <m/>
    <n v="-189"/>
    <n v="-1"/>
  </r>
  <r>
    <x v="4"/>
    <x v="0"/>
    <x v="0"/>
    <x v="40"/>
    <x v="1"/>
    <n v="100033"/>
    <s v="I100099999"/>
    <s v="serviceinfratest"/>
    <s v="엄기성"/>
    <s v="엄기성"/>
    <m/>
    <n v="592365"/>
    <n v="482888"/>
    <n v="644476"/>
    <n v="599319"/>
    <n v="588545"/>
    <n v="555717"/>
    <n v="575270.53306360496"/>
    <n v="366948"/>
    <n v="601721"/>
    <n v="592517"/>
    <n v="25"/>
    <n v="0"/>
    <m/>
    <n v="-25"/>
    <n v="-1"/>
  </r>
  <r>
    <x v="4"/>
    <x v="5"/>
    <x v="13"/>
    <x v="44"/>
    <x v="1"/>
    <e v="#N/A"/>
    <s v="P100010048"/>
    <s v="ReLU Games"/>
    <s v="오준석"/>
    <s v="오준석"/>
    <m/>
    <m/>
    <m/>
    <m/>
    <m/>
    <m/>
    <m/>
    <m/>
    <m/>
    <n v="0"/>
    <n v="0"/>
    <n v="0"/>
    <n v="0"/>
    <m/>
    <n v="0"/>
    <s v=""/>
  </r>
  <r>
    <x v="4"/>
    <x v="0"/>
    <x v="13"/>
    <x v="6"/>
    <x v="1"/>
    <e v="#N/A"/>
    <s v="P100010048"/>
    <s v="relugames"/>
    <s v="오준석"/>
    <s v="오준석"/>
    <m/>
    <m/>
    <m/>
    <m/>
    <m/>
    <n v="42"/>
    <n v="23"/>
    <n v="406.20200048818901"/>
    <n v="8243"/>
    <n v="11205"/>
    <n v="4009"/>
    <n v="0"/>
    <n v="0"/>
    <m/>
    <n v="0"/>
    <s v=""/>
  </r>
  <r>
    <x v="4"/>
    <x v="0"/>
    <x v="0"/>
    <x v="115"/>
    <x v="1"/>
    <n v="101090"/>
    <s v="I100099999"/>
    <s v="resort-booking-system-484805"/>
    <s v="윤지애"/>
    <s v="윤지애"/>
    <m/>
    <m/>
    <m/>
    <m/>
    <m/>
    <m/>
    <m/>
    <m/>
    <m/>
    <m/>
    <n v="11"/>
    <n v="0"/>
    <n v="0"/>
    <m/>
    <n v="0"/>
    <s v=""/>
  </r>
  <r>
    <x v="4"/>
    <x v="0"/>
    <x v="0"/>
    <x v="18"/>
    <x v="1"/>
    <n v="101721"/>
    <s v="I100099999"/>
    <s v="diet-357705"/>
    <s v="이동준"/>
    <s v="이동준"/>
    <m/>
    <n v="34601"/>
    <n v="27793"/>
    <n v="30630"/>
    <n v="34099"/>
    <n v="34149"/>
    <n v="32510"/>
    <n v="33139.061804389799"/>
    <n v="21327"/>
    <n v="34679"/>
    <n v="33942"/>
    <n v="1"/>
    <n v="0"/>
    <m/>
    <n v="-1"/>
    <n v="-1"/>
  </r>
  <r>
    <x v="4"/>
    <x v="0"/>
    <x v="0"/>
    <x v="4"/>
    <x v="1"/>
    <n v="100025"/>
    <s v="I100099999"/>
    <s v="krafton-creator-network"/>
    <s v="이동호"/>
    <s v="이동호"/>
    <m/>
    <n v="11733"/>
    <n v="9369"/>
    <n v="9045"/>
    <n v="9834"/>
    <n v="9907"/>
    <n v="9663"/>
    <n v="9861.9023866261505"/>
    <n v="6434"/>
    <n v="10311"/>
    <n v="10150"/>
    <n v="0"/>
    <n v="0"/>
    <m/>
    <n v="0"/>
    <s v=""/>
  </r>
  <r>
    <x v="4"/>
    <x v="0"/>
    <x v="9"/>
    <x v="116"/>
    <x v="24"/>
    <n v="500034"/>
    <s v="P100010012"/>
    <s v="inzoi-dev-rnd"/>
    <s v="이상문"/>
    <s v="이상문"/>
    <m/>
    <m/>
    <n v="0"/>
    <n v="210375"/>
    <n v="323715"/>
    <n v="319654"/>
    <n v="305018"/>
    <n v="327145.55034830398"/>
    <n v="211489"/>
    <n v="344421"/>
    <n v="199054"/>
    <n v="0"/>
    <n v="0"/>
    <m/>
    <n v="0"/>
    <s v=""/>
  </r>
  <r>
    <x v="4"/>
    <x v="0"/>
    <x v="0"/>
    <x v="65"/>
    <x v="1"/>
    <n v="107001"/>
    <s v="I100099999"/>
    <s v="krafton-nlp-eng"/>
    <s v="이에나"/>
    <s v="이에나"/>
    <m/>
    <m/>
    <n v="0"/>
    <n v="0"/>
    <m/>
    <m/>
    <m/>
    <m/>
    <m/>
    <n v="0"/>
    <n v="0"/>
    <n v="0"/>
    <n v="0"/>
    <m/>
    <n v="0"/>
    <s v=""/>
  </r>
  <r>
    <x v="4"/>
    <x v="0"/>
    <x v="0"/>
    <x v="68"/>
    <x v="8"/>
    <n v="101968"/>
    <s v="I100090817"/>
    <s v="dld-physical-ai"/>
    <s v="이영도"/>
    <s v="이영도"/>
    <m/>
    <m/>
    <m/>
    <m/>
    <m/>
    <m/>
    <m/>
    <n v="880.76671506899697"/>
    <n v="7"/>
    <n v="1403"/>
    <n v="18724"/>
    <n v="2"/>
    <n v="0"/>
    <m/>
    <n v="-2"/>
    <n v="-1"/>
  </r>
  <r>
    <x v="4"/>
    <x v="0"/>
    <x v="16"/>
    <x v="117"/>
    <x v="1"/>
    <n v="100953"/>
    <s v="P100010048"/>
    <s v="pc-api-7226728469668669189-510"/>
    <s v="나윤호"/>
    <s v="이제우"/>
    <m/>
    <n v="29785612"/>
    <n v="18023639"/>
    <n v="24304360"/>
    <n v="31543413"/>
    <n v="32084883"/>
    <n v="40536900"/>
    <n v="46259920.0767451"/>
    <n v="33695355"/>
    <n v="53645497"/>
    <n v="58648964"/>
    <n v="2475"/>
    <n v="0"/>
    <m/>
    <n v="-2475"/>
    <n v="-1"/>
  </r>
  <r>
    <x v="4"/>
    <x v="0"/>
    <x v="0"/>
    <x v="118"/>
    <x v="1"/>
    <n v="100641"/>
    <s v="I100099999"/>
    <s v="vrd-gcp-proj"/>
    <s v="이주영"/>
    <s v="이주영"/>
    <m/>
    <m/>
    <m/>
    <m/>
    <m/>
    <m/>
    <m/>
    <m/>
    <m/>
    <m/>
    <n v="8909"/>
    <n v="0"/>
    <n v="0"/>
    <m/>
    <n v="0"/>
    <s v=""/>
  </r>
  <r>
    <x v="4"/>
    <x v="0"/>
    <x v="0"/>
    <x v="3"/>
    <x v="3"/>
    <n v="100553"/>
    <s v="P100130012"/>
    <s v="bgmi-aiops"/>
    <s v="송창규"/>
    <s v="이준"/>
    <m/>
    <m/>
    <m/>
    <m/>
    <m/>
    <m/>
    <m/>
    <m/>
    <m/>
    <m/>
    <n v="149"/>
    <n v="0"/>
    <n v="0"/>
    <m/>
    <n v="0"/>
    <s v=""/>
  </r>
  <r>
    <x v="4"/>
    <x v="0"/>
    <x v="0"/>
    <x v="61"/>
    <x v="4"/>
    <n v="101752"/>
    <s v="I100090813"/>
    <s v="xe-dept"/>
    <s v="이준호"/>
    <s v="이준호"/>
    <m/>
    <m/>
    <m/>
    <m/>
    <m/>
    <m/>
    <n v="2211517"/>
    <n v="5406803.1189418798"/>
    <n v="3675563"/>
    <n v="8601692"/>
    <n v="16247145"/>
    <n v="41601593"/>
    <n v="0"/>
    <m/>
    <n v="-41601593"/>
    <n v="-1"/>
  </r>
  <r>
    <x v="4"/>
    <x v="0"/>
    <x v="0"/>
    <x v="119"/>
    <x v="1"/>
    <n v="101802"/>
    <s v="I100099999"/>
    <s v="greenhouse-recruiting-data"/>
    <s v="이태민"/>
    <s v="이태민"/>
    <m/>
    <m/>
    <m/>
    <m/>
    <m/>
    <m/>
    <m/>
    <m/>
    <m/>
    <m/>
    <n v="4884"/>
    <n v="1"/>
    <n v="0"/>
    <m/>
    <n v="-1"/>
    <n v="-1"/>
  </r>
  <r>
    <x v="4"/>
    <x v="0"/>
    <x v="0"/>
    <x v="64"/>
    <x v="1"/>
    <n v="105019"/>
    <s v="I100099999"/>
    <s v="loon-camp"/>
    <s v="이태형"/>
    <s v="이태형"/>
    <m/>
    <m/>
    <m/>
    <m/>
    <m/>
    <m/>
    <n v="787234"/>
    <n v="410963.84037322499"/>
    <n v="765195"/>
    <n v="415712"/>
    <n v="311843"/>
    <n v="2"/>
    <n v="0"/>
    <m/>
    <n v="-2"/>
    <n v="-1"/>
  </r>
  <r>
    <x v="4"/>
    <x v="0"/>
    <x v="0"/>
    <x v="120"/>
    <x v="8"/>
    <n v="101734"/>
    <s v="I100090817"/>
    <s v="dld-anticheat"/>
    <s v="이혁"/>
    <s v="이혁"/>
    <m/>
    <m/>
    <m/>
    <m/>
    <m/>
    <n v="254078"/>
    <n v="1223654"/>
    <n v="86725.247026520898"/>
    <n v="3809775"/>
    <n v="13264435"/>
    <n v="19018304"/>
    <n v="580238"/>
    <n v="0"/>
    <m/>
    <n v="-580238"/>
    <n v="-1"/>
  </r>
  <r>
    <x v="4"/>
    <x v="0"/>
    <x v="0"/>
    <x v="88"/>
    <x v="8"/>
    <n v="101002"/>
    <s v="I100090817"/>
    <s v="krafton-dld-ai"/>
    <s v="임형진"/>
    <s v="임형진"/>
    <m/>
    <n v="341797"/>
    <n v="210979"/>
    <n v="2328869"/>
    <n v="2499826"/>
    <n v="2031655"/>
    <n v="1300190"/>
    <n v="1787961.0715483599"/>
    <n v="625376"/>
    <n v="2249474"/>
    <n v="699985"/>
    <n v="0"/>
    <n v="0"/>
    <m/>
    <n v="0"/>
    <s v=""/>
  </r>
  <r>
    <x v="4"/>
    <x v="0"/>
    <x v="0"/>
    <x v="121"/>
    <x v="1"/>
    <n v="101942"/>
    <s v="I100099999"/>
    <s v="pubg-ally"/>
    <s v="임효정"/>
    <s v="임효정"/>
    <m/>
    <m/>
    <n v="0"/>
    <n v="54694"/>
    <n v="205493"/>
    <n v="1531737"/>
    <n v="5707599"/>
    <n v="22994793.520909399"/>
    <n v="8807613"/>
    <n v="57769289"/>
    <n v="4439745"/>
    <n v="176"/>
    <n v="0"/>
    <m/>
    <n v="-176"/>
    <n v="-1"/>
  </r>
  <r>
    <x v="4"/>
    <x v="0"/>
    <x v="0"/>
    <x v="25"/>
    <x v="1"/>
    <n v="100092"/>
    <s v="I100099999"/>
    <s v="krafton-l10n"/>
    <s v="김재헌"/>
    <s v="전평준"/>
    <m/>
    <n v="1960"/>
    <n v="12"/>
    <n v="109"/>
    <n v="2178"/>
    <n v="14"/>
    <n v="14"/>
    <n v="14.2590177364624"/>
    <n v="260"/>
    <n v="15"/>
    <n v="15"/>
    <n v="0"/>
    <n v="0"/>
    <m/>
    <n v="0"/>
    <s v=""/>
  </r>
  <r>
    <x v="4"/>
    <x v="0"/>
    <x v="0"/>
    <x v="8"/>
    <x v="1"/>
    <n v="101216"/>
    <s v="I100099999"/>
    <s v="dl-service-dev"/>
    <s v="정기영"/>
    <s v="정기영"/>
    <m/>
    <n v="0"/>
    <n v="0"/>
    <n v="590995"/>
    <n v="1252175"/>
    <n v="323491"/>
    <n v="1089308"/>
    <n v="11158017.7894341"/>
    <n v="33938240"/>
    <n v="25843796"/>
    <n v="25271242"/>
    <n v="140820309"/>
    <n v="0"/>
    <m/>
    <n v="-140820309"/>
    <n v="-1"/>
  </r>
  <r>
    <x v="4"/>
    <x v="0"/>
    <x v="0"/>
    <x v="4"/>
    <x v="4"/>
    <n v="100025"/>
    <s v="I100090813"/>
    <s v="krafton-online-services"/>
    <s v="조국환"/>
    <s v="조국환"/>
    <m/>
    <m/>
    <m/>
    <m/>
    <m/>
    <m/>
    <n v="124975"/>
    <n v="3521019.7342272601"/>
    <n v="5072145"/>
    <n v="7578282"/>
    <n v="9586962"/>
    <n v="11393808"/>
    <n v="0"/>
    <m/>
    <n v="-11393808"/>
    <n v="-1"/>
  </r>
  <r>
    <x v="4"/>
    <x v="0"/>
    <x v="0"/>
    <x v="3"/>
    <x v="3"/>
    <n v="100553"/>
    <s v="P100130012"/>
    <s v="bgmi-gcp"/>
    <s v="조동현"/>
    <s v="조동현"/>
    <m/>
    <m/>
    <m/>
    <m/>
    <m/>
    <m/>
    <m/>
    <m/>
    <m/>
    <m/>
    <n v="0"/>
    <n v="2684"/>
    <n v="0"/>
    <m/>
    <n v="-2684"/>
    <n v="-1"/>
  </r>
  <r>
    <x v="4"/>
    <x v="0"/>
    <x v="0"/>
    <x v="122"/>
    <x v="1"/>
    <n v="101437"/>
    <s v="I100099999"/>
    <s v="workautomation-472302"/>
    <s v="조승석"/>
    <s v="조승석"/>
    <m/>
    <m/>
    <m/>
    <m/>
    <m/>
    <m/>
    <n v="190473"/>
    <n v="43249.400149206602"/>
    <n v="901430"/>
    <n v="260231"/>
    <n v="33181"/>
    <n v="38284"/>
    <n v="0"/>
    <m/>
    <n v="-38284"/>
    <n v="-1"/>
  </r>
  <r>
    <x v="4"/>
    <x v="0"/>
    <x v="7"/>
    <x v="123"/>
    <x v="26"/>
    <n v="101056"/>
    <s v="P100010048"/>
    <s v="agds-462601"/>
    <s v="조원빈"/>
    <s v="조원빈"/>
    <m/>
    <m/>
    <n v="0"/>
    <n v="1894451"/>
    <n v="2611215"/>
    <n v="1408489"/>
    <n v="2509878"/>
    <n v="228591.48155885801"/>
    <n v="627911"/>
    <n v="388893"/>
    <n v="63317"/>
    <n v="80343"/>
    <n v="0"/>
    <m/>
    <n v="-80343"/>
    <n v="-1"/>
  </r>
  <r>
    <x v="4"/>
    <x v="0"/>
    <x v="9"/>
    <x v="71"/>
    <x v="24"/>
    <n v="500018"/>
    <s v="P100010012"/>
    <s v="inzoi-canvas"/>
    <s v="조재욱"/>
    <s v="조재욱"/>
    <m/>
    <m/>
    <m/>
    <m/>
    <m/>
    <m/>
    <m/>
    <m/>
    <n v="21"/>
    <n v="574"/>
    <n v="1267"/>
    <n v="0"/>
    <n v="0"/>
    <m/>
    <n v="0"/>
    <s v=""/>
  </r>
  <r>
    <x v="4"/>
    <x v="0"/>
    <x v="0"/>
    <x v="109"/>
    <x v="1"/>
    <n v="101001"/>
    <s v="I100099999"/>
    <s v="coding-agent-482006"/>
    <s v="최민석"/>
    <s v="최민석"/>
    <m/>
    <m/>
    <m/>
    <m/>
    <m/>
    <m/>
    <m/>
    <m/>
    <m/>
    <m/>
    <n v="5242"/>
    <n v="0"/>
    <n v="0"/>
    <m/>
    <n v="0"/>
    <s v=""/>
  </r>
  <r>
    <x v="4"/>
    <x v="0"/>
    <x v="0"/>
    <x v="124"/>
    <x v="1"/>
    <n v="100079"/>
    <s v="I100099999"/>
    <s v="erm-for-n8n"/>
    <s v="최솔지"/>
    <s v="최솔지"/>
    <m/>
    <m/>
    <m/>
    <m/>
    <m/>
    <m/>
    <m/>
    <m/>
    <n v="333"/>
    <n v="0"/>
    <n v="0"/>
    <n v="0"/>
    <n v="0"/>
    <m/>
    <n v="0"/>
    <s v=""/>
  </r>
  <r>
    <x v="4"/>
    <x v="0"/>
    <x v="7"/>
    <x v="5"/>
    <x v="5"/>
    <n v="100414"/>
    <s v="P100010012"/>
    <s v="pubg-platform-ai"/>
    <s v="김정헌"/>
    <s v="최준석"/>
    <m/>
    <m/>
    <n v="0"/>
    <n v="733359"/>
    <n v="959829"/>
    <n v="1478752"/>
    <n v="1627186"/>
    <n v="3284536.6306779301"/>
    <n v="8594593"/>
    <n v="13854425"/>
    <n v="17044059"/>
    <n v="35039556"/>
    <n v="0"/>
    <m/>
    <n v="-35039556"/>
    <n v="-1"/>
  </r>
  <r>
    <x v="4"/>
    <x v="0"/>
    <x v="0"/>
    <x v="78"/>
    <x v="1"/>
    <n v="101451"/>
    <s v="I100099999"/>
    <s v="krafton-security"/>
    <s v="홍준화"/>
    <s v="홍준화"/>
    <m/>
    <m/>
    <m/>
    <m/>
    <m/>
    <m/>
    <m/>
    <m/>
    <n v="6336"/>
    <n v="274392"/>
    <n v="297422"/>
    <n v="31"/>
    <n v="0"/>
    <m/>
    <n v="-31"/>
    <n v="-1"/>
  </r>
  <r>
    <x v="4"/>
    <x v="0"/>
    <x v="0"/>
    <x v="78"/>
    <x v="1"/>
    <n v="101451"/>
    <s v="I100099999"/>
    <s v="krafton-security-policy"/>
    <s v="홍준화"/>
    <s v="홍준화"/>
    <m/>
    <m/>
    <m/>
    <m/>
    <m/>
    <m/>
    <m/>
    <m/>
    <n v="11519"/>
    <n v="267992"/>
    <n v="1558"/>
    <n v="0"/>
    <n v="0"/>
    <m/>
    <n v="0"/>
    <s v=""/>
  </r>
  <r>
    <x v="4"/>
    <x v="0"/>
    <x v="0"/>
    <x v="125"/>
    <x v="1"/>
    <n v="101265"/>
    <s v="I100099999"/>
    <s v="lootbox-item-ad-post-oversight"/>
    <s v="구민찬"/>
    <s v="황민지"/>
    <m/>
    <m/>
    <m/>
    <m/>
    <m/>
    <m/>
    <n v="39"/>
    <n v="600.54640926033198"/>
    <n v="1861"/>
    <n v="11155"/>
    <n v="13603"/>
    <n v="0"/>
    <n v="0"/>
    <m/>
    <n v="0"/>
    <s v=""/>
  </r>
  <r>
    <x v="4"/>
    <x v="0"/>
    <x v="0"/>
    <x v="79"/>
    <x v="1"/>
    <n v="101050"/>
    <s v="I100099999"/>
    <s v="gcp-kdc-hackathon-project"/>
    <s v="황영욱"/>
    <s v="황영욱"/>
    <m/>
    <m/>
    <m/>
    <m/>
    <m/>
    <m/>
    <m/>
    <m/>
    <m/>
    <m/>
    <n v="146882"/>
    <n v="2"/>
    <n v="0"/>
    <m/>
    <n v="-2"/>
    <n v="-1"/>
  </r>
  <r>
    <x v="4"/>
    <x v="0"/>
    <x v="23"/>
    <x v="6"/>
    <x v="1"/>
    <e v="#N/A"/>
    <s v="P100010048"/>
    <s v="in-qa-team"/>
    <s v="Abhishek Chavan"/>
    <s v="Abhishek Chavan"/>
    <m/>
    <m/>
    <m/>
    <m/>
    <m/>
    <m/>
    <m/>
    <m/>
    <m/>
    <m/>
    <n v="881"/>
    <n v="0"/>
    <n v="0"/>
    <m/>
    <n v="0"/>
    <s v=""/>
  </r>
  <r>
    <x v="4"/>
    <x v="0"/>
    <x v="0"/>
    <x v="2"/>
    <x v="1"/>
    <n v="100036"/>
    <s v="I100099999"/>
    <s v="GCP Support Fee"/>
    <s v="백용원"/>
    <s v="Deleted"/>
    <m/>
    <m/>
    <m/>
    <m/>
    <m/>
    <m/>
    <m/>
    <m/>
    <m/>
    <n v="0"/>
    <n v="0"/>
    <n v="0"/>
    <n v="0"/>
    <m/>
    <n v="0"/>
    <s v=""/>
  </r>
  <r>
    <x v="4"/>
    <x v="11"/>
    <x v="24"/>
    <x v="101"/>
    <x v="46"/>
    <e v="#N/A"/>
    <s v="AI Tools"/>
    <s v="moonbreaker-production"/>
    <s v="Jack Smith"/>
    <s v="Jack Smith"/>
    <m/>
    <n v="830622"/>
    <n v="812555"/>
    <n v="773524"/>
    <n v="761371"/>
    <n v="786240"/>
    <n v="789091"/>
    <n v="794682.27159000002"/>
    <n v="696248"/>
    <n v="829618"/>
    <n v="808328"/>
    <n v="805815"/>
    <n v="0"/>
    <m/>
    <n v="-805815"/>
    <n v="-1"/>
  </r>
  <r>
    <x v="4"/>
    <x v="11"/>
    <x v="24"/>
    <x v="101"/>
    <x v="1"/>
    <e v="#N/A"/>
    <s v="P100010048"/>
    <s v="warpaint-backend"/>
    <s v="Jack Smith"/>
    <s v="Jack Smith"/>
    <m/>
    <n v="928459"/>
    <n v="925201"/>
    <n v="862354"/>
    <n v="865337"/>
    <n v="900306"/>
    <n v="891520"/>
    <n v="948865.172217999"/>
    <n v="833157"/>
    <n v="1079425"/>
    <n v="1045497"/>
    <n v="956301"/>
    <n v="0"/>
    <m/>
    <n v="-956301"/>
    <n v="-1"/>
  </r>
  <r>
    <x v="4"/>
    <x v="11"/>
    <x v="24"/>
    <x v="101"/>
    <x v="1"/>
    <e v="#N/A"/>
    <s v="P100010048"/>
    <s v="warpaint-developer-280614"/>
    <s v="Jack Smith"/>
    <s v="Jack Smith"/>
    <m/>
    <n v="27"/>
    <n v="27"/>
    <n v="25"/>
    <n v="25"/>
    <n v="26"/>
    <n v="26"/>
    <n v="26.081230000000001"/>
    <n v="23"/>
    <n v="27"/>
    <n v="27"/>
    <n v="26"/>
    <n v="0"/>
    <m/>
    <n v="-26"/>
    <n v="-1"/>
  </r>
  <r>
    <x v="4"/>
    <x v="0"/>
    <x v="27"/>
    <x v="86"/>
    <x v="1"/>
    <n v="101214"/>
    <s v="P100010048"/>
    <s v="vn-holmlands-dev"/>
    <s v="Petr Matoušek"/>
    <s v="Petr Matoušek"/>
    <m/>
    <n v="2578"/>
    <n v="2051"/>
    <n v="2334"/>
    <n v="2631"/>
    <n v="733"/>
    <n v="47"/>
    <n v="40.5986965857821"/>
    <n v="21"/>
    <n v="0"/>
    <n v="0"/>
    <n v="0"/>
    <n v="0"/>
    <m/>
    <n v="0"/>
    <s v=""/>
  </r>
  <r>
    <x v="4"/>
    <x v="0"/>
    <x v="0"/>
    <x v="126"/>
    <x v="1"/>
    <n v="101083"/>
    <s v="I100099999"/>
    <s v="playbook-488307"/>
    <s v="권순철"/>
    <s v="권순철"/>
    <m/>
    <m/>
    <m/>
    <m/>
    <m/>
    <m/>
    <m/>
    <m/>
    <m/>
    <m/>
    <m/>
    <n v="0"/>
    <n v="0"/>
    <m/>
    <n v="0"/>
    <s v=""/>
  </r>
  <r>
    <x v="4"/>
    <x v="0"/>
    <x v="0"/>
    <x v="127"/>
    <x v="1"/>
    <n v="102022"/>
    <s v="I100099999"/>
    <s v="publishing-growth-marketing"/>
    <s v="정여원"/>
    <s v="정여원"/>
    <m/>
    <m/>
    <m/>
    <m/>
    <m/>
    <m/>
    <m/>
    <m/>
    <m/>
    <m/>
    <m/>
    <n v="0"/>
    <n v="0"/>
    <m/>
    <n v="0"/>
    <s v=""/>
  </r>
  <r>
    <x v="4"/>
    <x v="0"/>
    <x v="0"/>
    <x v="128"/>
    <x v="1"/>
    <n v="100076"/>
    <s v="I100099999"/>
    <s v="rosy-cache-487200-j0"/>
    <s v="임경빈"/>
    <s v="임경빈"/>
    <m/>
    <m/>
    <m/>
    <m/>
    <m/>
    <m/>
    <m/>
    <m/>
    <m/>
    <m/>
    <m/>
    <n v="0"/>
    <n v="0"/>
    <m/>
    <n v="0"/>
    <s v=""/>
  </r>
  <r>
    <x v="4"/>
    <x v="0"/>
    <x v="7"/>
    <x v="129"/>
    <x v="1"/>
    <n v="101450"/>
    <s v="I100099999"/>
    <s v="xchange-486910"/>
    <s v="서승욱"/>
    <s v="서승욱"/>
    <m/>
    <m/>
    <m/>
    <m/>
    <m/>
    <m/>
    <m/>
    <m/>
    <m/>
    <m/>
    <m/>
    <n v="5"/>
    <n v="0"/>
    <m/>
    <n v="-5"/>
    <n v="-1"/>
  </r>
  <r>
    <x v="4"/>
    <x v="0"/>
    <x v="0"/>
    <x v="56"/>
    <x v="1"/>
    <n v="101651"/>
    <s v="I100099999"/>
    <s v="Gemini Enterprise"/>
    <n v="0"/>
    <n v="0"/>
    <m/>
    <m/>
    <m/>
    <m/>
    <m/>
    <m/>
    <m/>
    <m/>
    <m/>
    <m/>
    <m/>
    <n v="1119"/>
    <n v="0"/>
    <m/>
    <n v="-1119"/>
    <n v="-1"/>
  </r>
  <r>
    <x v="5"/>
    <x v="0"/>
    <x v="0"/>
    <x v="56"/>
    <x v="1"/>
    <n v="101651"/>
    <s v="I100099999"/>
    <s v="Gemini"/>
    <s v="김도균"/>
    <s v="김도균"/>
    <m/>
    <m/>
    <n v="1593316"/>
    <n v="14159266"/>
    <n v="15798965"/>
    <n v="16672481"/>
    <n v="23830001"/>
    <n v="35729363"/>
    <n v="47719191"/>
    <n v="442843891"/>
    <n v="45605573"/>
    <n v="46183254"/>
    <n v="0"/>
    <m/>
    <n v="-46183254"/>
    <n v="-1"/>
  </r>
  <r>
    <x v="5"/>
    <x v="0"/>
    <x v="0"/>
    <x v="2"/>
    <x v="1"/>
    <n v="100036"/>
    <s v="I100099999"/>
    <s v="GWS"/>
    <s v="이윤슬"/>
    <s v="이윤슬"/>
    <m/>
    <n v="6111369"/>
    <n v="5901364"/>
    <n v="6127160"/>
    <n v="6235907"/>
    <n v="6250737"/>
    <n v="6954588"/>
    <n v="11281589"/>
    <n v="11485143"/>
    <n v="11344221"/>
    <n v="11434255"/>
    <n v="11579091"/>
    <n v="0"/>
    <m/>
    <n v="-11579091"/>
    <n v="-1"/>
  </r>
  <r>
    <x v="6"/>
    <x v="0"/>
    <x v="0"/>
    <x v="2"/>
    <x v="1"/>
    <n v="100036"/>
    <s v="I100099999"/>
    <s v="tencent_systemT@krafton.com(200030930341)"/>
    <s v="김재윤"/>
    <s v="김재윤"/>
    <m/>
    <n v="173399"/>
    <n v="152326"/>
    <n v="163241"/>
    <n v="173268"/>
    <n v="172973"/>
    <n v="169264"/>
    <n v="178396"/>
    <n v="176827"/>
    <n v="180366"/>
    <n v="180989"/>
    <n v="165107"/>
    <n v="0"/>
    <m/>
    <n v="-165107"/>
    <n v="-1"/>
  </r>
  <r>
    <x v="6"/>
    <x v="0"/>
    <x v="0"/>
    <x v="40"/>
    <x v="5"/>
    <n v="100033"/>
    <s v="P100010012"/>
    <s v="TC_RU-CDN@krafton.com(200022872415)"/>
    <s v="신근우"/>
    <s v="신근우"/>
    <m/>
    <n v="486745"/>
    <n v="482310"/>
    <n v="456741"/>
    <n v="682864"/>
    <n v="484847"/>
    <n v="473804"/>
    <n v="499777"/>
    <n v="494789"/>
    <n v="506091"/>
    <n v="505432"/>
    <n v="461350"/>
    <n v="0"/>
    <m/>
    <n v="-461350"/>
    <n v="-1"/>
  </r>
  <r>
    <x v="6"/>
    <x v="0"/>
    <x v="0"/>
    <x v="40"/>
    <x v="2"/>
    <n v="100033"/>
    <s v="P100030014"/>
    <s v="TC_XTRM-Prod@pubg.com(200022166258)"/>
    <s v="엄기성"/>
    <s v="엄기성"/>
    <m/>
    <n v="45404"/>
    <n v="44962"/>
    <n v="42556"/>
    <n v="45200"/>
    <n v="45365"/>
    <n v="44913"/>
    <n v="46527"/>
    <n v="48491"/>
    <n v="47509"/>
    <n v="47181"/>
    <n v="43048"/>
    <n v="0"/>
    <m/>
    <n v="-43048"/>
    <n v="-1"/>
  </r>
  <r>
    <x v="6"/>
    <x v="0"/>
    <x v="0"/>
    <x v="2"/>
    <x v="1"/>
    <n v="100036"/>
    <s v="I100099999"/>
    <s v="TC_PERFDOG@krafton.com(100009236773)"/>
    <s v="이윤슬"/>
    <s v="이윤슬"/>
    <m/>
    <n v="0"/>
    <n v="4842600"/>
    <n v="0"/>
    <n v="0"/>
    <n v="0"/>
    <n v="0"/>
    <n v="0"/>
    <n v="0"/>
    <n v="40516000"/>
    <n v="5082000"/>
    <n v="0"/>
    <n v="0"/>
    <m/>
    <n v="0"/>
    <s v=""/>
  </r>
  <r>
    <x v="6"/>
    <x v="0"/>
    <x v="0"/>
    <x v="61"/>
    <x v="1"/>
    <n v="101752"/>
    <s v="I100099999"/>
    <s v="TC_xe@krafton.com(200041394676)"/>
    <s v="이준호"/>
    <s v="이준호"/>
    <m/>
    <n v="7223174"/>
    <n v="5407310"/>
    <n v="4371506"/>
    <n v="13574246"/>
    <n v="4883935"/>
    <n v="5083977"/>
    <n v="3687551"/>
    <n v="7459074"/>
    <n v="9104308"/>
    <n v="3363551"/>
    <n v="4561910"/>
    <n v="0"/>
    <m/>
    <n v="-4561910"/>
    <n v="-1"/>
  </r>
  <r>
    <x v="6"/>
    <x v="0"/>
    <x v="0"/>
    <x v="130"/>
    <x v="21"/>
    <n v="100551"/>
    <s v="P100030012"/>
    <s v="TC_PUBGM@krafton.com(100006855235)"/>
    <s v="김연"/>
    <s v="최윤채"/>
    <m/>
    <n v="413169168"/>
    <n v="425020115"/>
    <n v="385454092"/>
    <n v="442653019"/>
    <n v="432224651"/>
    <n v="416853278"/>
    <n v="421105324"/>
    <n v="471569081"/>
    <n v="442092836"/>
    <n v="492137181"/>
    <n v="459437153"/>
    <n v="0"/>
    <m/>
    <n v="-459437153"/>
    <n v="-1"/>
  </r>
  <r>
    <x v="6"/>
    <x v="0"/>
    <x v="7"/>
    <x v="5"/>
    <x v="5"/>
    <n v="100414"/>
    <s v="P100010012"/>
    <s v="TC_PUBG@krafton.com(100013364605)"/>
    <s v="김정헌"/>
    <s v="최준석"/>
    <m/>
    <n v="8300386"/>
    <n v="7523529"/>
    <n v="7116610"/>
    <n v="8361159"/>
    <n v="6908323"/>
    <n v="6114282"/>
    <n v="5716882"/>
    <n v="6278480"/>
    <n v="6290612"/>
    <n v="6737954"/>
    <n v="4620637"/>
    <n v="0"/>
    <m/>
    <n v="-4620637"/>
    <n v="-1"/>
  </r>
  <r>
    <x v="6"/>
    <x v="0"/>
    <x v="32"/>
    <x v="131"/>
    <x v="5"/>
    <n v="100340"/>
    <s v="P100010012"/>
    <s v="TC_service_sh@krafton.com(200037618761)"/>
    <s v="Pei Jun Xue"/>
    <s v="Yan Ru Xu"/>
    <m/>
    <n v="0"/>
    <n v="0"/>
    <n v="7987883"/>
    <n v="0"/>
    <n v="0"/>
    <n v="0"/>
    <n v="0"/>
    <n v="0"/>
    <n v="0"/>
    <n v="0"/>
    <n v="0"/>
    <n v="0"/>
    <m/>
    <n v="0"/>
    <s v=""/>
  </r>
  <r>
    <x v="7"/>
    <x v="0"/>
    <x v="7"/>
    <x v="5"/>
    <x v="5"/>
    <n v="100414"/>
    <s v="P100010012"/>
    <s v="cloud-pubgdevops"/>
    <s v="김정헌"/>
    <s v="최준석"/>
    <m/>
    <n v="64164937"/>
    <n v="74234092"/>
    <n v="71498209"/>
    <n v="68361343"/>
    <n v="68754163"/>
    <n v="68401747"/>
    <n v="81891769.049999997"/>
    <n v="80894199.75"/>
    <n v="83662050"/>
    <n v="89156709"/>
    <n v="87099504"/>
    <n v="0"/>
    <m/>
    <n v="-87099504"/>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x v="0"/>
    <x v="0"/>
    <x v="0"/>
    <s v="Publishing Tech PM Part"/>
    <s v="Dark and Darker_Mobile"/>
    <n v="101269"/>
    <s v="P100030073"/>
    <s v="Dark&amp;DarkerMoblie"/>
    <s v="김정언"/>
    <s v="김정언"/>
    <s v="v"/>
    <n v="176245"/>
    <n v="191794"/>
    <n v="12151797"/>
    <n v="1647138"/>
    <n v="998557"/>
    <n v="687485"/>
    <n v="656031"/>
    <n v="372478"/>
    <n v="371022"/>
    <n v="241926"/>
    <n v="56897"/>
    <n v="47583"/>
    <n v="47583"/>
    <n v="-9314"/>
    <n v="-0.16369931630841697"/>
  </r>
  <r>
    <x v="0"/>
    <x v="0"/>
    <x v="0"/>
    <s v="IT Dept."/>
    <s v="OVERHEAD/OTHERS"/>
    <n v="101269"/>
    <s v="I100099999"/>
    <s v="Global Traffic Management"/>
    <s v="이윤슬"/>
    <s v="이윤슬"/>
    <s v="v"/>
    <n v="2850000"/>
    <n v="2850000"/>
    <n v="2850000"/>
    <n v="2850000"/>
    <n v="2850000"/>
    <n v="2850000"/>
    <n v="2850000"/>
    <n v="2850000"/>
    <n v="2850000"/>
    <n v="2850000"/>
    <n v="2850000"/>
    <n v="2850000"/>
    <n v="2850000"/>
    <n v="0"/>
    <n v="0"/>
  </r>
  <r>
    <x v="0"/>
    <x v="0"/>
    <x v="0"/>
    <s v="KOS Engineering Dept."/>
    <s v="GPP"/>
    <n v="100414"/>
    <s v="P100010012"/>
    <s v="GPP Dept"/>
    <s v="이의석"/>
    <s v="이의석"/>
    <s v="v"/>
    <n v="16500000"/>
    <n v="16500000"/>
    <n v="16500000"/>
    <n v="17302333"/>
    <n v="16500000"/>
    <n v="16500000"/>
    <n v="16500000"/>
    <n v="16500000"/>
    <n v="19189620"/>
    <n v="16500000"/>
    <n v="16500000"/>
    <n v="16500000"/>
    <n v="16500000"/>
    <n v="0"/>
    <n v="0"/>
  </r>
  <r>
    <x v="0"/>
    <x v="0"/>
    <x v="0"/>
    <s v="IT Dept."/>
    <s v="OVERHEAD/OTHERS"/>
    <n v="100036"/>
    <s v="I100099999"/>
    <s v="IT Dept"/>
    <s v="백용원"/>
    <s v="백용원"/>
    <s v="v"/>
    <n v="9383"/>
    <n v="6736"/>
    <n v="6295"/>
    <n v="18686"/>
    <n v="0"/>
    <n v="0"/>
    <n v="0"/>
    <n v="0"/>
    <n v="22440"/>
    <n v="0"/>
    <n v="0"/>
    <n v="0"/>
    <m/>
    <n v="0"/>
    <s v=""/>
  </r>
  <r>
    <x v="0"/>
    <x v="0"/>
    <x v="1"/>
    <s v="[N/A]New State Dev Div."/>
    <s v="PUBG:NEW STATE"/>
    <n v="100025"/>
    <s v="I100090813"/>
    <s v="NewStateMobile"/>
    <s v="김태완"/>
    <s v="김태완"/>
    <s v="v"/>
    <n v="7021942"/>
    <n v="6202222"/>
    <n v="6160035"/>
    <n v="6218633"/>
    <n v="6584628"/>
    <n v="5198312"/>
    <n v="6649060"/>
    <n v="6806509"/>
    <n v="5804815"/>
    <n v="6546446"/>
    <n v="5466648"/>
    <n v="5591539"/>
    <n v="5591539"/>
    <n v="124891"/>
    <n v="2.2845992644852934E-2"/>
  </r>
  <r>
    <x v="0"/>
    <x v="0"/>
    <x v="0"/>
    <s v="Publishing Tech PM Part"/>
    <s v="OVERHEAD/OTHERS"/>
    <n v="100036"/>
    <s v="I100099999"/>
    <s v="NitroSmash"/>
    <s v="김정언"/>
    <s v="김정언"/>
    <s v="v"/>
    <m/>
    <m/>
    <m/>
    <m/>
    <m/>
    <n v="160"/>
    <n v="1"/>
    <n v="1"/>
    <n v="1"/>
    <n v="2"/>
    <n v="0"/>
    <n v="0"/>
    <m/>
    <n v="0"/>
    <s v=""/>
  </r>
  <r>
    <x v="0"/>
    <x v="0"/>
    <x v="0"/>
    <s v="IT Dept."/>
    <s v="OVERHEAD/OTHERS"/>
    <n v="100036"/>
    <s v="I100099999"/>
    <s v="Protect&amp;Perform SOA with Premium"/>
    <s v="이윤슬"/>
    <s v="이윤슬"/>
    <s v="v"/>
    <n v="22950000"/>
    <n v="22950000"/>
    <n v="22950000"/>
    <n v="22950000"/>
    <n v="22950000"/>
    <n v="22950000"/>
    <n v="22950000"/>
    <n v="22950000"/>
    <n v="22950000"/>
    <n v="22950000"/>
    <n v="22950000"/>
    <n v="22950000"/>
    <n v="22950000"/>
    <n v="0"/>
    <n v="0"/>
  </r>
  <r>
    <x v="0"/>
    <x v="0"/>
    <x v="0"/>
    <s v="BGMI DevOps Team"/>
    <s v="(2022)BATTLEGROUNDS_MOBILE_IN"/>
    <n v="100368"/>
    <s v="P100030014"/>
    <s v="PUBG India"/>
    <s v="이돈현"/>
    <s v="이돈현"/>
    <s v="v"/>
    <n v="435851161"/>
    <n v="717155429"/>
    <n v="534113519"/>
    <n v="921689465"/>
    <n v="689008671"/>
    <n v="899905653"/>
    <n v="599777963"/>
    <n v="865196956"/>
    <n v="616285601"/>
    <n v="844093018"/>
    <n v="380658986"/>
    <n v="455079709"/>
    <n v="455079709"/>
    <n v="74420723"/>
    <n v="0.19550496832353775"/>
  </r>
  <r>
    <x v="0"/>
    <x v="0"/>
    <x v="0"/>
    <s v="PUBG PC&amp;Console Dev Div."/>
    <s v="BATTLEGROUNDS_PC/CONSOLE"/>
    <n v="100036"/>
    <s v="I100099999"/>
    <s v="PUBG PC/Console"/>
    <s v="김정헌"/>
    <s v="최준석"/>
    <s v="v"/>
    <n v="1481654"/>
    <n v="1485849"/>
    <n v="1439358"/>
    <n v="1637229"/>
    <n v="1394062"/>
    <n v="1300651"/>
    <n v="1293148"/>
    <n v="1354057"/>
    <n v="1437475"/>
    <n v="1357700"/>
    <n v="1187780"/>
    <n v="1497566"/>
    <n v="1497566"/>
    <n v="309786"/>
    <n v="0.26081092458199329"/>
  </r>
  <r>
    <x v="0"/>
    <x v="0"/>
    <x v="0"/>
    <s v="IT Dept."/>
    <s v="OVERHEAD/OTHERS"/>
    <n v="100553"/>
    <s v="P100130012"/>
    <s v="SSL Network Access-Third-party - VIP"/>
    <s v="이윤슬"/>
    <s v="이윤슬"/>
    <s v="v"/>
    <n v="250000"/>
    <n v="250000"/>
    <n v="250000"/>
    <n v="250000"/>
    <n v="250000"/>
    <n v="250000"/>
    <n v="250000"/>
    <n v="250000"/>
    <n v="250000"/>
    <n v="250000"/>
    <n v="250000"/>
    <n v="250000"/>
    <n v="250000"/>
    <n v="0"/>
    <n v="0"/>
  </r>
  <r>
    <x v="1"/>
    <x v="0"/>
    <x v="2"/>
    <s v="Game Security Engineering Dept."/>
    <s v="Dark and Darker_Mobile"/>
    <e v="#N/A"/>
    <e v="#N/A"/>
    <s v="aws_ab-anticheat-service@bluehole.net(799954618127)"/>
    <s v="황범석"/>
    <s v="황범석"/>
    <s v="v"/>
    <n v="1482540"/>
    <n v="1671608"/>
    <n v="1845569"/>
    <n v="1915815"/>
    <n v="1909640"/>
    <n v="1842532"/>
    <n v="2014054"/>
    <n v="1980991"/>
    <n v="2014224"/>
    <n v="1331949"/>
    <n v="0"/>
    <n v="0"/>
    <m/>
    <n v="0"/>
    <s v=""/>
  </r>
  <r>
    <x v="1"/>
    <x v="1"/>
    <x v="3"/>
    <n v="0"/>
    <n v="0"/>
    <n v="100561"/>
    <e v="#N/A"/>
    <s v="aws_adx_001@adxcorp.kr(302454496823)"/>
    <n v="0"/>
    <n v="0"/>
    <m/>
    <m/>
    <m/>
    <m/>
    <n v="18362681"/>
    <n v="18359745"/>
    <n v="17889520"/>
    <n v="19810937"/>
    <n v="22521870"/>
    <n v="23347104"/>
    <n v="21843596"/>
    <n v="17375608"/>
    <n v="21201908"/>
    <n v="21201908"/>
    <n v="3826300"/>
    <n v="0.22021099923524978"/>
  </r>
  <r>
    <x v="1"/>
    <x v="1"/>
    <x v="3"/>
    <n v="0"/>
    <n v="0"/>
    <n v="101721"/>
    <e v="#N/A"/>
    <s v="aws_adx_002@adxcorp.kr(796181577313)"/>
    <n v="0"/>
    <n v="0"/>
    <m/>
    <m/>
    <m/>
    <m/>
    <n v="15739959"/>
    <n v="11897051"/>
    <n v="14014693"/>
    <n v="12523100"/>
    <n v="12159154"/>
    <n v="14756395"/>
    <n v="17951593"/>
    <n v="13279139"/>
    <n v="15292648"/>
    <n v="15292648"/>
    <n v="2013509"/>
    <n v="0.15162948441160229"/>
  </r>
  <r>
    <x v="1"/>
    <x v="1"/>
    <x v="3"/>
    <n v="0"/>
    <n v="0"/>
    <n v="101451"/>
    <e v="#N/A"/>
    <s v="aws_adx_003@adxcorp.kr(765348431472)"/>
    <n v="0"/>
    <n v="0"/>
    <m/>
    <m/>
    <m/>
    <m/>
    <n v="2338429"/>
    <n v="2051754"/>
    <n v="1930885"/>
    <n v="2298205"/>
    <n v="2156992"/>
    <n v="2218858"/>
    <n v="2139444"/>
    <n v="1934424"/>
    <n v="2179676"/>
    <n v="2179676"/>
    <n v="245252"/>
    <n v="0.12678295968205522"/>
  </r>
  <r>
    <x v="1"/>
    <x v="1"/>
    <x v="3"/>
    <n v="0"/>
    <n v="0"/>
    <n v="100024"/>
    <e v="#N/A"/>
    <s v="aws_adx_004@adxcorp.kr(142379511204)"/>
    <m/>
    <n v="0"/>
    <m/>
    <m/>
    <m/>
    <m/>
    <n v="266511"/>
    <n v="277368"/>
    <n v="262240"/>
    <n v="275974"/>
    <n v="274748"/>
    <n v="277807"/>
    <n v="276367"/>
    <n v="249269"/>
    <n v="292732"/>
    <n v="292732"/>
    <n v="43463"/>
    <n v="0.17436183400262367"/>
  </r>
  <r>
    <x v="1"/>
    <x v="1"/>
    <x v="3"/>
    <n v="0"/>
    <n v="0"/>
    <e v="#N/A"/>
    <e v="#N/A"/>
    <s v="aws_adx_005@adxcorp.kr(139869765471)"/>
    <n v="0"/>
    <n v="0"/>
    <m/>
    <m/>
    <m/>
    <m/>
    <n v="3707959"/>
    <n v="3735238"/>
    <n v="3645859"/>
    <n v="3796250"/>
    <n v="3809735"/>
    <n v="3804670"/>
    <n v="3772958"/>
    <n v="3535747"/>
    <n v="4056545"/>
    <n v="4056545"/>
    <n v="520798"/>
    <n v="0.14729504118931586"/>
  </r>
  <r>
    <x v="1"/>
    <x v="1"/>
    <x v="3"/>
    <n v="0"/>
    <n v="0"/>
    <e v="#N/A"/>
    <e v="#N/A"/>
    <s v="aws_adx_007@adxcorp.kr(495653056399)"/>
    <n v="0"/>
    <n v="0"/>
    <m/>
    <m/>
    <m/>
    <m/>
    <n v="4392"/>
    <n v="10885"/>
    <n v="5102"/>
    <n v="5212"/>
    <n v="5091"/>
    <n v="4994"/>
    <n v="5153"/>
    <n v="4869"/>
    <n v="5036"/>
    <n v="5036"/>
    <n v="167"/>
    <n v="3.4298623947422467E-2"/>
  </r>
  <r>
    <x v="1"/>
    <x v="1"/>
    <x v="3"/>
    <n v="0"/>
    <n v="0"/>
    <n v="100212"/>
    <e v="#N/A"/>
    <s v="aws_adx_008@adxcorp.kr(126271033811)"/>
    <n v="0"/>
    <n v="0"/>
    <m/>
    <m/>
    <m/>
    <m/>
    <m/>
    <n v="43207"/>
    <n v="1990105"/>
    <n v="2536230"/>
    <n v="4860583"/>
    <n v="5393691"/>
    <n v="2881278"/>
    <n v="2400417"/>
    <n v="4925923"/>
    <n v="4925923"/>
    <n v="2525506"/>
    <n v="1.052111362317464"/>
  </r>
  <r>
    <x v="1"/>
    <x v="0"/>
    <x v="0"/>
    <s v="IT Dept."/>
    <s v="OVERHEAD/OTHERS"/>
    <e v="#N/A"/>
    <e v="#N/A"/>
    <s v="aws_bcp_prd@bluehole.net(439802505510)"/>
    <s v="김승훈"/>
    <s v="김승훈"/>
    <m/>
    <n v="5244968"/>
    <n v="5134845"/>
    <n v="5039340"/>
    <n v="5308753"/>
    <n v="5447553"/>
    <n v="5572764"/>
    <n v="6727361"/>
    <n v="7513091"/>
    <n v="13408344"/>
    <n v="14033032"/>
    <n v="13099289"/>
    <n v="15925469"/>
    <n v="15925469"/>
    <n v="2826180"/>
    <n v="0.21575064112258308"/>
  </r>
  <r>
    <x v="1"/>
    <x v="0"/>
    <x v="0"/>
    <s v="Global Subsidiary Management Team"/>
    <s v="OVERHEAD/OTHERS"/>
    <e v="#N/A"/>
    <e v="#N/A"/>
    <s v="AWS_between.dev@krafton.com(616709738515)"/>
    <s v="김재현"/>
    <s v="김재현"/>
    <m/>
    <n v="217070"/>
    <n v="799019"/>
    <n v="792837"/>
    <n v="939615"/>
    <n v="1327074"/>
    <n v="1391627"/>
    <n v="1497582"/>
    <n v="1515281"/>
    <n v="1595865"/>
    <n v="1116148"/>
    <n v="134854"/>
    <n v="139070"/>
    <n v="139070"/>
    <n v="4216"/>
    <n v="3.1263440461536181E-2"/>
  </r>
  <r>
    <x v="1"/>
    <x v="0"/>
    <x v="4"/>
    <s v="Striking Distance Studios"/>
    <s v="The Callisto Protocol"/>
    <n v="101269"/>
    <s v="P100010013"/>
    <s v="AWS_blackbox-dev@sds.com(659459735321)"/>
    <s v="Minkz Ngo"/>
    <s v="Jordan Yerkes"/>
    <m/>
    <n v="4041287"/>
    <n v="4067515"/>
    <n v="5393574"/>
    <m/>
    <m/>
    <m/>
    <m/>
    <m/>
    <n v="0"/>
    <n v="0"/>
    <n v="0"/>
    <n v="0"/>
    <m/>
    <n v="0"/>
    <s v=""/>
  </r>
  <r>
    <x v="1"/>
    <x v="0"/>
    <x v="5"/>
    <s v="inZOI Server Team"/>
    <s v="inZOI"/>
    <n v="100774"/>
    <s v="I100099999"/>
    <s v="aws_blue@bluehole.net(611812385851)"/>
    <s v="조재욱"/>
    <s v="조재욱"/>
    <m/>
    <n v="847662"/>
    <n v="831954"/>
    <n v="819863"/>
    <n v="1055148"/>
    <n v="1457941"/>
    <n v="1458274"/>
    <n v="1496773"/>
    <n v="1510606"/>
    <n v="1884390"/>
    <n v="2078934"/>
    <n v="1849540"/>
    <n v="2470019"/>
    <n v="2470019"/>
    <n v="620479"/>
    <n v="0.33547747007363993"/>
  </r>
  <r>
    <x v="1"/>
    <x v="0"/>
    <x v="0"/>
    <s v="Data Engineering Dept."/>
    <s v="OVERHEAD/OTHERS"/>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r>
  <r>
    <x v="1"/>
    <x v="2"/>
    <x v="6"/>
    <s v="AI research center"/>
    <s v="OVERHEAD/OTHERS"/>
    <n v="100025"/>
    <s v="I100090813"/>
    <s v="aws_de_mturk@krafton.com(036022206166)"/>
    <s v="김범수"/>
    <s v="김범수"/>
    <m/>
    <n v="5769"/>
    <n v="6535"/>
    <n v="14339"/>
    <n v="5980"/>
    <n v="11207"/>
    <n v="8576"/>
    <n v="9012"/>
    <n v="9819"/>
    <n v="1937257"/>
    <n v="1917819"/>
    <n v="3078092"/>
    <n v="3596090"/>
    <n v="3596090"/>
    <n v="517998"/>
    <n v="0.1682854183695614"/>
  </r>
  <r>
    <x v="1"/>
    <x v="3"/>
    <x v="7"/>
    <s v="RW Tech Support Dept."/>
    <n v="0"/>
    <n v="101721"/>
    <e v="#N/A"/>
    <s v="AWS_defensederby@risingwings.com(183323689126)"/>
    <n v="0"/>
    <s v="허지웅"/>
    <m/>
    <n v="136752"/>
    <n v="105729"/>
    <n v="113452"/>
    <n v="105347"/>
    <n v="126266"/>
    <n v="5287"/>
    <m/>
    <m/>
    <n v="0"/>
    <n v="0"/>
    <n v="0"/>
    <n v="0"/>
    <m/>
    <n v="0"/>
    <s v=""/>
  </r>
  <r>
    <x v="1"/>
    <x v="2"/>
    <x v="6"/>
    <s v="ML Sys &amp; Ops Team"/>
    <s v="DEEP LEARNING"/>
    <n v="100415"/>
    <s v=" I100090831"/>
    <s v="AWS_DLD_dev@bluehole.net(171503962539)"/>
    <s v="이동기"/>
    <s v="김지윤"/>
    <s v="v"/>
    <n v="4215277"/>
    <n v="4468067"/>
    <n v="3980672"/>
    <n v="4538114"/>
    <n v="5204950"/>
    <n v="5155923"/>
    <n v="5363119"/>
    <n v="5440702"/>
    <n v="5415029"/>
    <n v="5187691"/>
    <n v="3957122"/>
    <n v="4330547"/>
    <n v="4330547"/>
    <n v="373425"/>
    <n v="9.4367825909840539E-2"/>
  </r>
  <r>
    <x v="1"/>
    <x v="4"/>
    <x v="8"/>
    <s v="Project MLP Team"/>
    <s v="Road to Valor: Empire"/>
    <n v="101214"/>
    <e v="#N/A"/>
    <s v="AWS_Dreamotion-Empire@krafton.com(828925677153)"/>
    <s v="Road to Valor: Empire"/>
    <s v="류성중"/>
    <m/>
    <n v="1134222"/>
    <n v="991576"/>
    <n v="954507"/>
    <n v="1187771"/>
    <n v="989785"/>
    <n v="971495"/>
    <n v="1265010"/>
    <n v="1261521"/>
    <n v="1246848"/>
    <n v="1135164"/>
    <n v="988449"/>
    <n v="1151781"/>
    <n v="1151781"/>
    <n v="163332"/>
    <n v="0.16524069527107621"/>
  </r>
  <r>
    <x v="1"/>
    <x v="4"/>
    <x v="8"/>
    <s v="Project MLP Team"/>
    <s v="GunStrider: Tap Strike"/>
    <n v="100561"/>
    <e v="#N/A"/>
    <s v="AWS_Dreamotion-GunStrider@krafton.com(286067354613)"/>
    <s v="GunStrider: Tap Strike"/>
    <s v="류성중"/>
    <m/>
    <n v="93683"/>
    <n v="83727"/>
    <n v="87910"/>
    <n v="81718"/>
    <n v="88431"/>
    <n v="89268"/>
    <n v="89355"/>
    <n v="96054"/>
    <n v="87995"/>
    <n v="84221"/>
    <n v="76625"/>
    <n v="107386"/>
    <n v="107386"/>
    <n v="30761"/>
    <n v="0.40144861337683524"/>
  </r>
  <r>
    <x v="1"/>
    <x v="4"/>
    <x v="8"/>
    <s v="Project MLP Team"/>
    <s v="Road to valor : world war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r>
  <r>
    <x v="1"/>
    <x v="4"/>
    <x v="8"/>
    <s v="Project MLP Team"/>
    <s v="Ronin: The Last Samurai"/>
    <n v="100561"/>
    <e v="#N/A"/>
    <s v="AWS_Dreamotion-Ronin@krafton.com(071872665424)"/>
    <s v="Ronin: The Last Samurai"/>
    <s v="류성중"/>
    <m/>
    <n v="1269203"/>
    <n v="1115503"/>
    <n v="1075700"/>
    <n v="1302948"/>
    <n v="1104698"/>
    <n v="1085000"/>
    <n v="1376322"/>
    <n v="1376876"/>
    <n v="1367556"/>
    <n v="1248339"/>
    <n v="1104470"/>
    <n v="1266915"/>
    <n v="1266915"/>
    <n v="162445"/>
    <n v="0.14707959473774751"/>
  </r>
  <r>
    <x v="1"/>
    <x v="0"/>
    <x v="0"/>
    <s v="Security Dept."/>
    <s v="OVERHEAD/OTHERS"/>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r>
  <r>
    <x v="1"/>
    <x v="0"/>
    <x v="0"/>
    <s v="DevData Engineering Team"/>
    <s v="BATTLEGROUNDS_PC/CONSOLE"/>
    <n v="102159"/>
    <s v="I100099999"/>
    <s v="aws_esports_streaming@bluehole.net(559478286890)"/>
    <s v="안연주"/>
    <s v="안연주"/>
    <m/>
    <n v="2826739"/>
    <n v="2817722"/>
    <n v="2727336"/>
    <n v="2845993"/>
    <n v="2883454"/>
    <n v="3008796"/>
    <n v="2956316"/>
    <n v="2739119"/>
    <n v="3008046"/>
    <n v="3093269"/>
    <n v="2983882"/>
    <n v="3672617"/>
    <n v="3672617"/>
    <n v="688735"/>
    <n v="0.23081844389288853"/>
  </r>
  <r>
    <x v="1"/>
    <x v="5"/>
    <x v="9"/>
    <s v="[N/A] AB Unit"/>
    <s v="Dark and Darker_Mobile"/>
    <n v="102078"/>
    <s v="I100099999"/>
    <s v="AWS_FF@bluehole.net(257405109560)"/>
    <s v="이민재"/>
    <s v="이민재"/>
    <m/>
    <n v="42965040"/>
    <n v="42095789"/>
    <n v="45747688"/>
    <n v="42442625"/>
    <n v="38897801"/>
    <n v="34960534"/>
    <n v="37665835"/>
    <n v="34825214"/>
    <n v="37528129"/>
    <n v="33286868"/>
    <n v="6640088"/>
    <n v="7603373"/>
    <n v="7603373"/>
    <n v="963285"/>
    <n v="0.14507111953937959"/>
  </r>
  <r>
    <x v="1"/>
    <x v="0"/>
    <x v="0"/>
    <s v="Data Engineering Dept."/>
    <s v="OVERHEAD/OTHERS"/>
    <n v="100036"/>
    <s v="I100099999"/>
    <s v="aws_gamesight@bluehole.net(171101943282)"/>
    <s v="염화음"/>
    <s v="김시훈"/>
    <s v="v"/>
    <n v="8039907"/>
    <n v="8195128"/>
    <n v="8153395"/>
    <n v="8860559"/>
    <n v="8606579"/>
    <n v="6658898"/>
    <n v="6363951"/>
    <n v="6407382"/>
    <n v="6319086"/>
    <n v="6012372"/>
    <n v="5550141"/>
    <n v="6396490"/>
    <n v="6396490"/>
    <n v="846349"/>
    <n v="0.15249144120843056"/>
  </r>
  <r>
    <x v="1"/>
    <x v="0"/>
    <x v="2"/>
    <s v="[N/A] IN Publishing Production Team_HQ"/>
    <s v="BULLET ECHO"/>
    <n v="600002"/>
    <s v="I100099999"/>
    <s v="aws_india_publishing@bluehole.net(397907563279)"/>
    <s v="박지현"/>
    <s v="박지현"/>
    <m/>
    <n v="5451"/>
    <n v="6193"/>
    <n v="14057"/>
    <n v="5893"/>
    <n v="11055"/>
    <n v="8537"/>
    <n v="9001"/>
    <n v="9888"/>
    <n v="8685"/>
    <n v="10668"/>
    <n v="9183"/>
    <n v="3764"/>
    <n v="3764"/>
    <n v="-5419"/>
    <n v="-0.59011216378089948"/>
  </r>
  <r>
    <x v="1"/>
    <x v="0"/>
    <x v="0"/>
    <s v="IT Platform Engineering Team"/>
    <s v="OVERHEAD/OTHERS"/>
    <n v="100561"/>
    <s v="P100010013"/>
    <s v="aws_it-dev-ot-01@krafton.com(585980862501)"/>
    <s v="김주한"/>
    <s v="김주한"/>
    <s v="v"/>
    <m/>
    <m/>
    <m/>
    <m/>
    <m/>
    <m/>
    <m/>
    <m/>
    <n v="252601"/>
    <n v="432633"/>
    <n v="90580"/>
    <n v="3452"/>
    <n v="3452"/>
    <n v="-87128"/>
    <n v="-0.96189004195186578"/>
  </r>
  <r>
    <x v="1"/>
    <x v="0"/>
    <x v="0"/>
    <s v="IT Platform Engineering Team"/>
    <s v="OVERHEAD/OTHERS"/>
    <n v="100561"/>
    <s v="P100010013"/>
    <s v="aws_it-dev-ot-02@krafton.com(997525377919)"/>
    <s v="김주한"/>
    <s v="김주한"/>
    <s v="v"/>
    <m/>
    <m/>
    <m/>
    <m/>
    <m/>
    <m/>
    <m/>
    <m/>
    <n v="167431"/>
    <n v="465435"/>
    <n v="274896"/>
    <n v="51198"/>
    <n v="51198"/>
    <n v="-223698"/>
    <n v="-0.8137550200803213"/>
  </r>
  <r>
    <x v="1"/>
    <x v="0"/>
    <x v="0"/>
    <s v="IT Platform Engineering Team"/>
    <s v="OVERHEAD/OTHERS"/>
    <n v="100561"/>
    <s v="P100010013"/>
    <s v="aws_it-dev-ot-03@krafton.com(794383793399)"/>
    <s v="김주한"/>
    <s v="김주한"/>
    <s v="v"/>
    <m/>
    <m/>
    <m/>
    <m/>
    <m/>
    <m/>
    <m/>
    <m/>
    <n v="94509"/>
    <n v="473328"/>
    <n v="492975"/>
    <n v="39542"/>
    <n v="39542"/>
    <n v="-453433"/>
    <n v="-0.91978903595517014"/>
  </r>
  <r>
    <x v="1"/>
    <x v="0"/>
    <x v="0"/>
    <s v="IT Platform Engineering Team"/>
    <s v="OVERHEAD/OTHERS"/>
    <n v="101695"/>
    <s v="I100090821"/>
    <s v="aws_it-dev-ot-04@krafton.com(252497419944)"/>
    <s v="김주한"/>
    <s v="김주한"/>
    <s v="v"/>
    <m/>
    <m/>
    <m/>
    <m/>
    <m/>
    <m/>
    <m/>
    <m/>
    <n v="175726"/>
    <n v="999907"/>
    <n v="866113"/>
    <n v="1125"/>
    <n v="1125"/>
    <n v="-864988"/>
    <n v="-0.99870109327535783"/>
  </r>
  <r>
    <x v="1"/>
    <x v="0"/>
    <x v="0"/>
    <s v="Data Engineering Dept."/>
    <s v="OVERHEAD/OTHERS"/>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r>
  <r>
    <x v="1"/>
    <x v="0"/>
    <x v="0"/>
    <s v="KOS Engineering Dept."/>
    <s v="GPP"/>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r>
  <r>
    <x v="1"/>
    <x v="2"/>
    <x v="6"/>
    <s v="AI Product Dev Chapter Dept."/>
    <s v="DEEP LEARNING"/>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r>
  <r>
    <x v="1"/>
    <x v="0"/>
    <x v="0"/>
    <s v="Data Engineering Dept."/>
    <s v="OVERHEAD/OTHERS"/>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r>
  <r>
    <x v="1"/>
    <x v="0"/>
    <x v="10"/>
    <s v="Valor Art Dept."/>
    <s v="Valor_Console"/>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r>
  <r>
    <x v="1"/>
    <x v="0"/>
    <x v="0"/>
    <s v="KOS Engineering Dept."/>
    <s v="GPP"/>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r>
  <r>
    <x v="1"/>
    <x v="0"/>
    <x v="0"/>
    <s v="KOS Engineering Dept."/>
    <s v="GPP"/>
    <n v="100935"/>
    <s v="I100099999"/>
    <s v="AWS_napubtech-stage@bluehole.net(510906392559)"/>
    <s v="신근우"/>
    <s v="신근우"/>
    <m/>
    <n v="164066"/>
    <n v="20962"/>
    <n v="24950"/>
    <n v="16035"/>
    <n v="21296"/>
    <n v="18446"/>
    <n v="18544"/>
    <n v="19483"/>
    <n v="9129"/>
    <n v="0"/>
    <n v="0"/>
    <n v="0"/>
    <m/>
    <n v="0"/>
    <s v=""/>
  </r>
  <r>
    <x v="1"/>
    <x v="1"/>
    <x v="3"/>
    <n v="0"/>
    <n v="0"/>
    <e v="#N/A"/>
    <e v="#N/A"/>
    <s v="aws_neptunez_001@neptunecompany.kr(225171097108)"/>
    <n v="0"/>
    <n v="0"/>
    <m/>
    <m/>
    <m/>
    <m/>
    <n v="2393615"/>
    <n v="2224132"/>
    <n v="2247661"/>
    <n v="2419923"/>
    <n v="2414398"/>
    <n v="2459171"/>
    <n v="2362541"/>
    <n v="2103906"/>
    <n v="2412256"/>
    <n v="2412256"/>
    <n v="308350"/>
    <n v="0.14656073037483613"/>
  </r>
  <r>
    <x v="1"/>
    <x v="1"/>
    <x v="3"/>
    <n v="0"/>
    <n v="0"/>
    <n v="110099"/>
    <e v="#N/A"/>
    <s v="aws_neptunez_002@neptunecompany.kr(992306882093)"/>
    <n v="0"/>
    <n v="0"/>
    <m/>
    <m/>
    <m/>
    <m/>
    <n v="43983"/>
    <n v="50701"/>
    <n v="45451"/>
    <n v="47304"/>
    <n v="47421"/>
    <n v="47468"/>
    <n v="46733"/>
    <n v="45755"/>
    <n v="49475"/>
    <n v="49475"/>
    <n v="3720"/>
    <n v="8.130258988088733E-2"/>
  </r>
  <r>
    <x v="1"/>
    <x v="1"/>
    <x v="3"/>
    <n v="0"/>
    <n v="0"/>
    <n v="100212"/>
    <e v="#N/A"/>
    <s v="aws_neptunez_003@neptunecompany.kr(470771986881)"/>
    <n v="0"/>
    <n v="0"/>
    <m/>
    <m/>
    <m/>
    <m/>
    <n v="708774"/>
    <n v="707098"/>
    <n v="689832"/>
    <n v="743266"/>
    <n v="736703"/>
    <n v="748435"/>
    <n v="701507"/>
    <n v="620618"/>
    <n v="687530"/>
    <n v="687530"/>
    <n v="66912"/>
    <n v="0.1078151133225269"/>
  </r>
  <r>
    <x v="1"/>
    <x v="1"/>
    <x v="3"/>
    <n v="0"/>
    <n v="0"/>
    <e v="#N/A"/>
    <e v="#N/A"/>
    <s v="aws_neptunez_006@neptunecompany.kr(115255558787)"/>
    <n v="0"/>
    <n v="0"/>
    <m/>
    <m/>
    <m/>
    <m/>
    <n v="6659"/>
    <n v="19074"/>
    <n v="9966"/>
    <n v="10237"/>
    <n v="9923"/>
    <n v="156338"/>
    <n v="233436"/>
    <n v="145962"/>
    <n v="264590"/>
    <n v="264590"/>
    <n v="118628"/>
    <n v="0.81273208095257665"/>
  </r>
  <r>
    <x v="1"/>
    <x v="1"/>
    <x v="3"/>
    <n v="0"/>
    <n v="0"/>
    <e v="#N/A"/>
    <e v="#N/A"/>
    <s v="aws_neptunez_007@neptunecompany.kr(619193641492)"/>
    <n v="0"/>
    <n v="0"/>
    <m/>
    <m/>
    <m/>
    <m/>
    <n v="10719927"/>
    <n v="9616153"/>
    <n v="8620189"/>
    <n v="10422163"/>
    <n v="10184786"/>
    <n v="10757638"/>
    <n v="10336035"/>
    <n v="9380767"/>
    <n v="11252794"/>
    <n v="11252794"/>
    <n v="1872027"/>
    <n v="0.19956012125660941"/>
  </r>
  <r>
    <x v="1"/>
    <x v="1"/>
    <x v="3"/>
    <n v="0"/>
    <n v="0"/>
    <n v="100677"/>
    <e v="#N/A"/>
    <s v="aws_neptunez_008@neptunecompany.kr(490136080242)"/>
    <n v="0"/>
    <n v="0"/>
    <m/>
    <m/>
    <m/>
    <m/>
    <n v="4696747"/>
    <n v="1856183"/>
    <n v="4683881"/>
    <n v="1927214"/>
    <n v="1922466"/>
    <n v="2024021"/>
    <n v="11168121"/>
    <n v="1807656"/>
    <n v="2099874"/>
    <n v="2099874"/>
    <n v="292218"/>
    <n v="0.16165575751138492"/>
  </r>
  <r>
    <x v="1"/>
    <x v="1"/>
    <x v="3"/>
    <n v="0"/>
    <n v="0"/>
    <e v="#N/A"/>
    <e v="#N/A"/>
    <s v="aws_neptunez_009@neptunecompany.kr(566155726079)"/>
    <n v="0"/>
    <n v="0"/>
    <m/>
    <m/>
    <m/>
    <m/>
    <n v="1882623"/>
    <n v="1907472"/>
    <n v="1889046"/>
    <n v="1932963"/>
    <n v="1981456"/>
    <n v="1952861"/>
    <n v="22386598"/>
    <n v="1919682"/>
    <n v="2062173"/>
    <n v="2062173"/>
    <n v="142491"/>
    <n v="7.4226356240252298E-2"/>
  </r>
  <r>
    <x v="1"/>
    <x v="1"/>
    <x v="3"/>
    <n v="0"/>
    <n v="0"/>
    <e v="#N/A"/>
    <e v="#N/A"/>
    <s v="aws_neptunez_010@neptunecompany.kr(061838255935)"/>
    <n v="0"/>
    <n v="0"/>
    <m/>
    <m/>
    <m/>
    <m/>
    <n v="6117985"/>
    <n v="6165927"/>
    <n v="5994083"/>
    <n v="6308585"/>
    <n v="6330290"/>
    <n v="6350407"/>
    <n v="6267648"/>
    <n v="6601501"/>
    <n v="9965451"/>
    <n v="9965451"/>
    <n v="3363950"/>
    <n v="0.50957350457115735"/>
  </r>
  <r>
    <x v="1"/>
    <x v="1"/>
    <x v="3"/>
    <n v="0"/>
    <n v="0"/>
    <n v="100415"/>
    <e v="#N/A"/>
    <s v="aws_neptunez_011@neptunecompany.kr(026090535674)"/>
    <n v="0"/>
    <n v="0"/>
    <m/>
    <m/>
    <m/>
    <m/>
    <n v="67784"/>
    <n v="76989"/>
    <n v="68021"/>
    <n v="68041"/>
    <n v="66366"/>
    <n v="66982"/>
    <n v="64505"/>
    <n v="58502"/>
    <n v="63383"/>
    <n v="63383"/>
    <n v="4881"/>
    <n v="8.3433045024101746E-2"/>
  </r>
  <r>
    <x v="1"/>
    <x v="1"/>
    <x v="3"/>
    <n v="0"/>
    <n v="0"/>
    <e v="#N/A"/>
    <e v="#N/A"/>
    <s v="aws_neptunez_013@neptunecompany.kr(418272792542)"/>
    <n v="0"/>
    <n v="0"/>
    <m/>
    <m/>
    <m/>
    <m/>
    <n v="1461696"/>
    <n v="1195494"/>
    <n v="1165929"/>
    <n v="1075621"/>
    <n v="673113"/>
    <n v="672933"/>
    <n v="651714"/>
    <n v="609933"/>
    <n v="672638"/>
    <n v="672638"/>
    <n v="62705"/>
    <n v="0.10280637381482884"/>
  </r>
  <r>
    <x v="1"/>
    <x v="1"/>
    <x v="3"/>
    <n v="0"/>
    <n v="0"/>
    <e v="#N/A"/>
    <e v="#N/A"/>
    <s v="aws_neptunez_014@neptunecompany.kr(050451361628)"/>
    <n v="0"/>
    <n v="0"/>
    <m/>
    <m/>
    <m/>
    <m/>
    <n v="85058"/>
    <n v="184594"/>
    <n v="185569"/>
    <n v="204224"/>
    <n v="215941"/>
    <n v="196261"/>
    <n v="190910"/>
    <n v="179280"/>
    <n v="191178"/>
    <n v="191178"/>
    <n v="11898"/>
    <n v="6.6365461847389562E-2"/>
  </r>
  <r>
    <x v="1"/>
    <x v="1"/>
    <x v="3"/>
    <n v="0"/>
    <n v="0"/>
    <e v="#N/A"/>
    <e v="#N/A"/>
    <s v="aws_neptunez_015@neptunecompany.kr(112554631631)"/>
    <n v="0"/>
    <n v="0"/>
    <m/>
    <m/>
    <m/>
    <m/>
    <n v="102146"/>
    <n v="487316"/>
    <n v="481770"/>
    <n v="451285"/>
    <n v="2329481"/>
    <n v="1254770"/>
    <n v="669575"/>
    <n v="4790372"/>
    <n v="1277839"/>
    <n v="1277839"/>
    <n v="-3512533"/>
    <n v="-0.73324848258131103"/>
  </r>
  <r>
    <x v="1"/>
    <x v="1"/>
    <x v="3"/>
    <n v="0"/>
    <n v="0"/>
    <n v="101716"/>
    <e v="#N/A"/>
    <s v="aws_neptunez_016@neptunecompany.kr(904331955654)"/>
    <n v="0"/>
    <n v="0"/>
    <m/>
    <m/>
    <m/>
    <m/>
    <m/>
    <m/>
    <n v="43206"/>
    <n v="134536"/>
    <n v="139827"/>
    <n v="145072"/>
    <n v="146677"/>
    <n v="181822"/>
    <n v="312363"/>
    <n v="312363"/>
    <n v="130541"/>
    <n v="0.71796042283112049"/>
  </r>
  <r>
    <x v="1"/>
    <x v="1"/>
    <x v="11"/>
    <n v="0"/>
    <n v="0"/>
    <n v="100024"/>
    <e v="#N/A"/>
    <s v="aws_neptunez_017@neptunecompany.kr(048148187150)"/>
    <m/>
    <n v="0"/>
    <m/>
    <m/>
    <m/>
    <m/>
    <m/>
    <m/>
    <m/>
    <m/>
    <m/>
    <m/>
    <n v="22081"/>
    <n v="72433"/>
    <n v="129765"/>
    <n v="129765"/>
    <n v="57332"/>
    <n v="0.79151767840625131"/>
  </r>
  <r>
    <x v="1"/>
    <x v="1"/>
    <x v="11"/>
    <n v="0"/>
    <n v="0"/>
    <n v="100024"/>
    <e v="#N/A"/>
    <s v="aws_neptunez_018@neptunecompany.kr(187383762797)"/>
    <n v="0"/>
    <n v="0"/>
    <m/>
    <m/>
    <m/>
    <m/>
    <m/>
    <m/>
    <m/>
    <m/>
    <m/>
    <m/>
    <m/>
    <n v="10870"/>
    <n v="58593"/>
    <n v="58593"/>
    <n v="47723"/>
    <n v="4.3903403863845449"/>
  </r>
  <r>
    <x v="1"/>
    <x v="6"/>
    <x v="12"/>
    <s v="SBX Platform Team"/>
    <s v="OVERHEAD/OTHERS"/>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r>
  <r>
    <x v="1"/>
    <x v="6"/>
    <x v="12"/>
    <s v="OVDR Platform Engineering Team"/>
    <s v="OVERHEAD/OTHERS"/>
    <n v="100415"/>
    <s v="I100099999"/>
    <s v="aws_nft_sbx_dev@bluehole.net(833221979697)"/>
    <s v="OVERHEAD/OTHERS"/>
    <s v="이제우"/>
    <m/>
    <n v="8749844"/>
    <n v="5150060"/>
    <n v="4942369"/>
    <n v="6144990"/>
    <n v="6043126"/>
    <n v="6479336"/>
    <n v="6665285"/>
    <n v="6204265"/>
    <n v="6157569"/>
    <n v="6727043"/>
    <n v="4641130"/>
    <n v="7097831"/>
    <n v="7097831"/>
    <n v="2456701"/>
    <n v="0.52933251169435025"/>
  </r>
  <r>
    <x v="1"/>
    <x v="1"/>
    <x v="3"/>
    <n v="0"/>
    <n v="0"/>
    <n v="100036"/>
    <e v="#N/A"/>
    <s v="aws_nimbleneuron_001@nimbleneuron.com(286122363201)"/>
    <n v="0"/>
    <n v="0"/>
    <m/>
    <m/>
    <m/>
    <m/>
    <n v="99247972"/>
    <n v="100760033"/>
    <n v="76062119"/>
    <n v="88483326"/>
    <n v="94636395"/>
    <n v="92578957"/>
    <n v="93492141"/>
    <n v="90426830"/>
    <n v="102337466"/>
    <n v="102337466"/>
    <n v="11910636"/>
    <n v="0.13171573082900284"/>
  </r>
  <r>
    <x v="1"/>
    <x v="1"/>
    <x v="3"/>
    <n v="0"/>
    <n v="0"/>
    <e v="#N/A"/>
    <e v="#N/A"/>
    <s v="aws_nimbleneuron_002@nimbleneuron.com(662873093770)"/>
    <n v="0"/>
    <n v="0"/>
    <m/>
    <m/>
    <m/>
    <m/>
    <n v="2385378"/>
    <n v="1942929"/>
    <n v="1751954"/>
    <n v="2469498"/>
    <n v="1930848"/>
    <n v="2286334"/>
    <n v="2554566"/>
    <n v="2070064"/>
    <n v="2124815"/>
    <n v="2124815"/>
    <n v="54751"/>
    <n v="2.6448940709079525E-2"/>
  </r>
  <r>
    <x v="1"/>
    <x v="0"/>
    <x v="2"/>
    <s v="Black Budget Div."/>
    <s v="BLACK BUDGET"/>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r>
  <r>
    <x v="1"/>
    <x v="0"/>
    <x v="2"/>
    <s v="IT Dept."/>
    <s v="BLACK BUDGET"/>
    <n v="101685"/>
    <s v="I100090813"/>
    <s v="aws_pbb_it@krafton.com(767398044467)"/>
    <s v="이윤슬"/>
    <s v="이윤슬"/>
    <m/>
    <n v="5235072"/>
    <n v="4867850"/>
    <n v="10264584"/>
    <n v="10601108"/>
    <n v="20686391"/>
    <n v="20956881"/>
    <n v="21975460"/>
    <n v="22546217"/>
    <n v="22059201"/>
    <n v="21880021"/>
    <n v="21741135"/>
    <n v="23879504"/>
    <n v="23879504"/>
    <n v="2138369"/>
    <n v="9.8355904602036651E-2"/>
  </r>
  <r>
    <x v="1"/>
    <x v="0"/>
    <x v="4"/>
    <s v="Striking Distance Studios"/>
    <s v="The Callisto Protocol"/>
    <n v="101269"/>
    <s v="P100010013"/>
    <s v="AWS_Phoenix-Build@sds.com(245762466130)"/>
    <s v="Minkz Ngo"/>
    <s v="Jordan Yerkes"/>
    <m/>
    <n v="1799084"/>
    <n v="1749001"/>
    <n v="1676890"/>
    <n v="1741987"/>
    <n v="1688595"/>
    <n v="1640992"/>
    <n v="1704249"/>
    <n v="1724642"/>
    <n v="1276463"/>
    <n v="0"/>
    <n v="0"/>
    <n v="0"/>
    <m/>
    <n v="0"/>
    <s v=""/>
  </r>
  <r>
    <x v="1"/>
    <x v="0"/>
    <x v="4"/>
    <s v="Striking Distance Studios"/>
    <s v="The Callisto Protocol"/>
    <n v="100033"/>
    <s v="P100010013"/>
    <s v="AWS_Phoenix-Dev@sds.com(596361038250)"/>
    <s v="Minkz Ngo"/>
    <s v="Jordan Yerkes"/>
    <m/>
    <n v="429692"/>
    <n v="421074"/>
    <n v="403501"/>
    <n v="422217"/>
    <n v="433785"/>
    <n v="418167"/>
    <n v="438034"/>
    <n v="441884"/>
    <n v="241385"/>
    <n v="0"/>
    <n v="0"/>
    <n v="0"/>
    <m/>
    <n v="0"/>
    <s v=""/>
  </r>
  <r>
    <x v="1"/>
    <x v="0"/>
    <x v="4"/>
    <s v="Striking Distance Studios"/>
    <s v="The Callisto Protocol"/>
    <n v="460005"/>
    <s v="P100010013"/>
    <s v="AWS_Phoenix-Live@sds.com(452304306221)"/>
    <s v="Minkz Ngo"/>
    <s v="Jordan Yerkes"/>
    <m/>
    <n v="471213"/>
    <n v="464019"/>
    <n v="442939"/>
    <n v="462346"/>
    <n v="477250"/>
    <n v="459921"/>
    <n v="480817"/>
    <n v="485882"/>
    <n v="344447"/>
    <n v="0"/>
    <n v="0"/>
    <n v="0"/>
    <m/>
    <n v="0"/>
    <s v=""/>
  </r>
  <r>
    <x v="1"/>
    <x v="0"/>
    <x v="4"/>
    <s v="Striking Distance Studios"/>
    <s v="The Callisto Protocol"/>
    <n v="100561"/>
    <s v="P100010013"/>
    <s v="AWS_Phoenix-Prod@sds.com(878436247507)"/>
    <s v="Minkz Ngo"/>
    <s v="Jordan Yerkes"/>
    <m/>
    <n v="5806"/>
    <n v="17111"/>
    <n v="5497"/>
    <n v="5587"/>
    <n v="11651"/>
    <n v="8717"/>
    <n v="9143"/>
    <n v="9956"/>
    <n v="6891"/>
    <n v="0"/>
    <n v="0"/>
    <n v="0"/>
    <m/>
    <n v="0"/>
    <s v=""/>
  </r>
  <r>
    <x v="1"/>
    <x v="0"/>
    <x v="0"/>
    <s v="Game Security Engineering Dept."/>
    <s v="BATTLEGROUNDS_PC/CONSOLE"/>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r>
  <r>
    <x v="1"/>
    <x v="0"/>
    <x v="0"/>
    <s v="Platform Dept."/>
    <s v="BATTLEGROUNDS_PC/CONSOLE"/>
    <n v="100774"/>
    <s v="I100099999"/>
    <s v="aws_pubg_platform@bluehole.net(017103636613)"/>
    <s v="김정헌"/>
    <s v="최준석"/>
    <m/>
    <n v="5304993"/>
    <n v="4752091"/>
    <n v="4466014"/>
    <n v="4570841"/>
    <n v="4437309"/>
    <n v="4379762"/>
    <n v="4801060"/>
    <n v="5447512"/>
    <n v="5817327"/>
    <n v="5718803"/>
    <n v="5370644"/>
    <n v="6520159"/>
    <n v="6520159"/>
    <n v="1149515"/>
    <n v="0.21403671514998945"/>
  </r>
  <r>
    <x v="1"/>
    <x v="0"/>
    <x v="0"/>
    <s v="Game Security Engineering Dept."/>
    <s v="OVERHEAD/OTHERS"/>
    <n v="100036"/>
    <s v="I100099999"/>
    <s v="aws_pubg-anticheat@bluehole.net(480544169436)"/>
    <s v="황범석"/>
    <s v="황범석"/>
    <s v="v"/>
    <n v="1418297"/>
    <n v="1377783"/>
    <n v="1342159"/>
    <n v="1540954"/>
    <n v="1580684"/>
    <n v="1592223"/>
    <n v="1654932"/>
    <n v="3777389"/>
    <n v="5182210"/>
    <n v="4797217"/>
    <n v="4049411"/>
    <n v="2419881"/>
    <n v="2419881"/>
    <n v="-1629530"/>
    <n v="-0.40241160998476072"/>
  </r>
  <r>
    <x v="1"/>
    <x v="0"/>
    <x v="2"/>
    <s v="MS DevOps Team"/>
    <s v="OVERHEAD/OTHERS"/>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r>
  <r>
    <x v="1"/>
    <x v="0"/>
    <x v="2"/>
    <s v="PUBG PC&amp;Console Dev Div."/>
    <s v="BATTLEGROUNDS_PC/CONSOLE"/>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r>
  <r>
    <x v="1"/>
    <x v="0"/>
    <x v="2"/>
    <s v="Platform Dept."/>
    <s v="BATTLEGROUNDS_PC/CONSOLE"/>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r>
  <r>
    <x v="1"/>
    <x v="0"/>
    <x v="2"/>
    <s v="PUBG PC&amp;Console Dev Div."/>
    <s v="BATTLEGROUNDS_PC/CONSOLE"/>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r>
  <r>
    <x v="1"/>
    <x v="0"/>
    <x v="0"/>
    <s v="Service DevOps Team"/>
    <s v="BATTLEGROUNDS_PC/CONSOLE"/>
    <n v="100033"/>
    <s v="P100010055"/>
    <s v="AWS_PUBG-F2Pweblive@pubg.com(033775294411)"/>
    <s v="엄기성"/>
    <s v="엄기성"/>
    <m/>
    <n v="18791205"/>
    <n v="9905226"/>
    <n v="8724022"/>
    <n v="13378227"/>
    <n v="11374059"/>
    <n v="12672283"/>
    <n v="12429577"/>
    <n v="10968733"/>
    <n v="15230796"/>
    <n v="10181633"/>
    <n v="7423344"/>
    <n v="8620454"/>
    <n v="8620454"/>
    <n v="1197110"/>
    <n v="0.16126290254095729"/>
  </r>
  <r>
    <x v="1"/>
    <x v="0"/>
    <x v="2"/>
    <s v="Data Engineering Dept."/>
    <s v="BATTLEGROUNDS_PC/CONSOLE"/>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r>
  <r>
    <x v="1"/>
    <x v="0"/>
    <x v="2"/>
    <s v="PUBG PC&amp;Console Dev Div."/>
    <s v="BATTLEGROUNDS_PC/CONSOLE"/>
    <n v="100033"/>
    <s v="P100010012"/>
    <s v="AWS_pubg-playground@pubg.com(338204589111)"/>
    <s v="김정헌"/>
    <s v="최준석"/>
    <m/>
    <n v="5937358"/>
    <n v="10975803"/>
    <n v="11894295"/>
    <n v="9013930"/>
    <n v="6221276"/>
    <n v="5782838"/>
    <n v="5417598"/>
    <n v="3794818"/>
    <n v="3784720"/>
    <n v="3625689"/>
    <n v="6225816"/>
    <n v="3617606"/>
    <n v="3617606"/>
    <n v="-2608210"/>
    <n v="-0.41893464246293177"/>
  </r>
  <r>
    <x v="1"/>
    <x v="0"/>
    <x v="0"/>
    <s v="Service DevOps Team"/>
    <s v="BATTLEGROUNDS_MOBILE"/>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r>
  <r>
    <x v="1"/>
    <x v="7"/>
    <x v="13"/>
    <s v="ReLU Dev Dept."/>
    <s v="OVERHEAD/OTHERS"/>
    <n v="100810"/>
    <s v="I100099999"/>
    <s v="aws_relugames@bluehole.net(309943519623)"/>
    <s v="OVERHEAD/OTHERS"/>
    <s v="오준석"/>
    <m/>
    <n v="2313894"/>
    <n v="2631381"/>
    <n v="3755918"/>
    <n v="3283790"/>
    <n v="3361723"/>
    <n v="3316128"/>
    <n v="4121836"/>
    <n v="4631290"/>
    <n v="4520208"/>
    <n v="4127065"/>
    <n v="3489944"/>
    <n v="4321971"/>
    <n v="4321971"/>
    <n v="832027"/>
    <n v="0.23840697730393381"/>
  </r>
  <r>
    <x v="1"/>
    <x v="3"/>
    <x v="7"/>
    <s v="RW Tech Support Dept."/>
    <n v="0"/>
    <n v="101721"/>
    <e v="#N/A"/>
    <s v="AWS_RF-global@risingwings.com(260910532074)"/>
    <n v="0"/>
    <s v="허지웅"/>
    <m/>
    <n v="166209"/>
    <n v="58056"/>
    <n v="67117"/>
    <n v="57527"/>
    <n v="73685"/>
    <n v="71744"/>
    <n v="73193"/>
    <n v="71790"/>
    <n v="67361"/>
    <n v="69635"/>
    <n v="67109"/>
    <n v="68685"/>
    <n v="68685"/>
    <n v="1576"/>
    <n v="2.3484182449447912E-2"/>
  </r>
  <r>
    <x v="1"/>
    <x v="0"/>
    <x v="4"/>
    <s v="Striking Distance Studios"/>
    <s v="The Callisto Protocol"/>
    <n v="100368"/>
    <s v="P100010013"/>
    <s v="AWS_SDS-DevOps@sds.com(290246912864)"/>
    <s v="Minkz Ngo"/>
    <s v="Jordan Yerkes"/>
    <m/>
    <n v="12988743"/>
    <n v="13038481"/>
    <n v="12588478"/>
    <n v="13305868"/>
    <n v="9888008"/>
    <n v="9120766"/>
    <n v="10123189"/>
    <n v="9726249"/>
    <n v="9985811"/>
    <n v="11357403"/>
    <n v="9111993"/>
    <n v="9069298"/>
    <n v="9069298"/>
    <n v="-42695"/>
    <n v="-4.6855830552108629E-3"/>
  </r>
  <r>
    <x v="1"/>
    <x v="0"/>
    <x v="4"/>
    <s v="Striking Distance Studios"/>
    <s v="The Callisto Protocol"/>
    <n v="100414"/>
    <s v="P100010013"/>
    <s v="AWS_SDS-Infra@sds.com(375608835244)"/>
    <s v="Minkz Ngo"/>
    <s v="Jordan Yerkes"/>
    <m/>
    <n v="7440"/>
    <n v="13893"/>
    <n v="7081"/>
    <n v="7161"/>
    <n v="13590"/>
    <n v="11093"/>
    <n v="11591"/>
    <n v="11711"/>
    <n v="10696"/>
    <n v="12673"/>
    <n v="10998"/>
    <n v="9759"/>
    <n v="9759"/>
    <n v="-1239"/>
    <n v="-0.11265684669939989"/>
  </r>
  <r>
    <x v="1"/>
    <x v="0"/>
    <x v="4"/>
    <s v="Striking Distance Studios"/>
    <s v="The Callisto Protocol"/>
    <n v="100414"/>
    <s v="P100010013"/>
    <s v="aws_sds-security@bluehole.net(667131346962)"/>
    <s v="Minkz Ngo"/>
    <s v="Jordan Yerkes"/>
    <m/>
    <n v="5784"/>
    <n v="6643"/>
    <n v="5374"/>
    <n v="5561"/>
    <n v="17179"/>
    <n v="9089"/>
    <n v="9017"/>
    <n v="9846"/>
    <n v="8701"/>
    <n v="10665"/>
    <n v="9201"/>
    <n v="7963"/>
    <n v="7963"/>
    <n v="-1238"/>
    <n v="-0.13455059232692099"/>
  </r>
  <r>
    <x v="1"/>
    <x v="0"/>
    <x v="4"/>
    <s v="Striking Distance Studios"/>
    <s v="The Callisto Protocol"/>
    <n v="100414"/>
    <s v="P100010013"/>
    <s v="AWS_SDS-VDI@sds.com(956486919325)"/>
    <s v="Minkz Ngo"/>
    <s v="Jordan Yerkes"/>
    <m/>
    <n v="5824"/>
    <n v="12405"/>
    <n v="5522"/>
    <n v="5587"/>
    <n v="3201"/>
    <m/>
    <m/>
    <m/>
    <n v="0"/>
    <n v="0"/>
    <n v="0"/>
    <n v="0"/>
    <m/>
    <n v="0"/>
    <s v=""/>
  </r>
  <r>
    <x v="1"/>
    <x v="0"/>
    <x v="4"/>
    <s v="Striking Distance Studios"/>
    <s v="The Callisto Protocol"/>
    <n v="100561"/>
    <s v="P100010013"/>
    <s v="AWS_SDS-WebHost@sds.com(137191863862)"/>
    <s v="Minkz Ngo"/>
    <s v="Jordan Yerkes"/>
    <m/>
    <n v="127645"/>
    <n v="134200"/>
    <n v="120638"/>
    <n v="125729"/>
    <n v="135435"/>
    <n v="129388"/>
    <n v="135730"/>
    <n v="136614"/>
    <n v="102900"/>
    <n v="0"/>
    <n v="0"/>
    <n v="0"/>
    <m/>
    <n v="0"/>
    <s v=""/>
  </r>
  <r>
    <x v="1"/>
    <x v="0"/>
    <x v="14"/>
    <s v="PGY_Art Cell"/>
    <s v="STUDIO M"/>
    <n v="100212"/>
    <s v="I100090821"/>
    <s v="aws_studio_m@bluehole.net(827588337044)"/>
    <s v="Julien Copin"/>
    <s v="Julien Copin"/>
    <s v="v"/>
    <n v="7943453"/>
    <n v="3335034"/>
    <n v="3265803"/>
    <n v="3354486"/>
    <n v="3340268"/>
    <n v="3307884"/>
    <n v="3427707"/>
    <n v="3507599"/>
    <n v="3449608"/>
    <n v="3603187"/>
    <n v="3771584"/>
    <n v="4056006"/>
    <n v="4056006"/>
    <n v="284422"/>
    <n v="7.5411816361507525E-2"/>
  </r>
  <r>
    <x v="1"/>
    <x v="0"/>
    <x v="0"/>
    <s v="IT Dept."/>
    <s v="OVERHEAD/OTHERS"/>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r>
  <r>
    <x v="1"/>
    <x v="0"/>
    <x v="4"/>
    <s v="Striking Distance Studios"/>
    <s v="The Callisto Protocol"/>
    <n v="100561"/>
    <s v="P100010013"/>
    <s v="AWS_Titan-Build@sds.com(025476091557)"/>
    <s v="Minkz Ngo"/>
    <s v="Jordan Yerkes"/>
    <m/>
    <n v="554285"/>
    <n v="550617"/>
    <n v="524156"/>
    <n v="587536"/>
    <n v="347848"/>
    <m/>
    <m/>
    <m/>
    <n v="0"/>
    <n v="0"/>
    <n v="0"/>
    <n v="0"/>
    <m/>
    <n v="0"/>
    <s v=""/>
  </r>
  <r>
    <x v="1"/>
    <x v="0"/>
    <x v="4"/>
    <s v="Striking Distance Studios"/>
    <s v="The Callisto Protocol"/>
    <n v="100414"/>
    <s v="P100010013"/>
    <s v="AWS_Titan-Dev@sds.com(948684412557)"/>
    <s v="Minkz Ngo"/>
    <s v="Jordan Yerkes"/>
    <m/>
    <n v="4885693"/>
    <n v="4841717"/>
    <n v="4607294"/>
    <n v="5439464"/>
    <n v="1337526"/>
    <m/>
    <m/>
    <m/>
    <n v="0"/>
    <n v="0"/>
    <n v="0"/>
    <n v="0"/>
    <m/>
    <n v="0"/>
    <s v=""/>
  </r>
  <r>
    <x v="1"/>
    <x v="0"/>
    <x v="4"/>
    <s v="Striking Distance Studios"/>
    <s v="The Callisto Protocol"/>
    <n v="100553"/>
    <s v="P100010013"/>
    <s v="AWS_Titan-Live@sds.com(668355933448)"/>
    <s v="Minkz Ngo"/>
    <s v="Jordan Yerkes"/>
    <m/>
    <n v="5799"/>
    <n v="12501"/>
    <n v="5492"/>
    <n v="5577"/>
    <n v="3206"/>
    <m/>
    <m/>
    <m/>
    <n v="0"/>
    <n v="0"/>
    <n v="0"/>
    <n v="0"/>
    <m/>
    <n v="0"/>
    <s v=""/>
  </r>
  <r>
    <x v="1"/>
    <x v="0"/>
    <x v="4"/>
    <s v="Striking Distance Studios"/>
    <s v="The Callisto Protocol"/>
    <n v="100774"/>
    <s v="P100010013"/>
    <s v="AWS_Titan-Prod@sds.com(498442523516)"/>
    <s v="Minkz Ngo"/>
    <s v="Jordan Yerkes"/>
    <m/>
    <n v="18222"/>
    <n v="22913"/>
    <n v="17208"/>
    <n v="17469"/>
    <n v="10288"/>
    <m/>
    <m/>
    <m/>
    <n v="0"/>
    <n v="0"/>
    <n v="0"/>
    <n v="0"/>
    <m/>
    <n v="0"/>
    <s v=""/>
  </r>
  <r>
    <x v="1"/>
    <x v="0"/>
    <x v="15"/>
    <s v="Vector North Unit"/>
    <s v="OVERHEAD/OTHERS"/>
    <n v="101712"/>
    <s v="I100099999"/>
    <s v="aws_vn_dev@bluehole.net(182073802933)"/>
    <s v="Petr Matoušek"/>
    <s v="Petr Matoušek"/>
    <m/>
    <n v="2336214"/>
    <n v="2615779"/>
    <n v="3700931"/>
    <n v="5504323"/>
    <n v="5175438"/>
    <n v="4171430"/>
    <n v="4336445"/>
    <n v="3641808"/>
    <n v="0"/>
    <n v="0"/>
    <n v="0"/>
    <n v="0"/>
    <m/>
    <n v="0"/>
    <s v=""/>
  </r>
  <r>
    <x v="1"/>
    <x v="6"/>
    <x v="12"/>
    <s v="OVDR Tech Div."/>
    <s v="OVERHEAD/OTHERS"/>
    <n v="102078"/>
    <s v="I100099999"/>
    <s v="aws_web3_dev@bluehole.net(295140746614)"/>
    <s v="OVERHEAD/OTHERS"/>
    <s v="이상헌"/>
    <m/>
    <n v="851781"/>
    <n v="767744"/>
    <n v="915459"/>
    <n v="793575"/>
    <n v="484858"/>
    <n v="274589"/>
    <n v="288580"/>
    <n v="301905"/>
    <n v="300920"/>
    <n v="260857"/>
    <n v="313583"/>
    <n v="256171"/>
    <n v="256171"/>
    <n v="-57412"/>
    <n v="-0.18308390442083913"/>
  </r>
  <r>
    <x v="1"/>
    <x v="0"/>
    <x v="0"/>
    <s v="Experience Engineering Dept."/>
    <s v="OVERHEAD/OTHERS"/>
    <n v="100774"/>
    <s v="P100010091"/>
    <s v="AWS_WebTech@krafton.com(283281493187)"/>
    <s v="이준호"/>
    <s v="이준호"/>
    <s v="v"/>
    <n v="215124"/>
    <n v="229280"/>
    <n v="249887"/>
    <n v="255701"/>
    <n v="306663"/>
    <n v="302458"/>
    <n v="429850"/>
    <n v="825670"/>
    <n v="833770"/>
    <n v="1041636"/>
    <n v="958086"/>
    <n v="1522506"/>
    <n v="1522506"/>
    <n v="564420"/>
    <n v="0.5891120421340047"/>
  </r>
  <r>
    <x v="1"/>
    <x v="0"/>
    <x v="1"/>
    <s v="Game Security Engineering Dept."/>
    <s v="PUBG:NEW STATE"/>
    <e v="#N/A"/>
    <e v="#N/A"/>
    <s v="AWS_xtrm-acu@pubg.com(993382902515)"/>
    <s v="황범석"/>
    <s v="황범석"/>
    <s v="v"/>
    <n v="5770653"/>
    <n v="4269656"/>
    <n v="3055422"/>
    <n v="3254070"/>
    <n v="3298955"/>
    <n v="3302867"/>
    <n v="3632461"/>
    <n v="3635911"/>
    <n v="3717988"/>
    <n v="3517276"/>
    <n v="2914815"/>
    <n v="3390523"/>
    <n v="3390523"/>
    <n v="475708"/>
    <n v="0.16320349661985409"/>
  </r>
  <r>
    <x v="1"/>
    <x v="0"/>
    <x v="1"/>
    <s v="Game Security Engineering Dept."/>
    <s v="PUBG:NEW STATE"/>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r>
  <r>
    <x v="1"/>
    <x v="0"/>
    <x v="1"/>
    <s v="PUBG PC&amp;Console Dev Div."/>
    <s v="PUBG:NEW STATE"/>
    <n v="110202"/>
    <s v="P110010137"/>
    <s v="AWS_Xtrm-playground@pubg.com(350993443303)"/>
    <s v="최진욱"/>
    <s v="김태완"/>
    <s v="v"/>
    <n v="5604660"/>
    <n v="5531667"/>
    <n v="5268829"/>
    <n v="5492735"/>
    <n v="5415507"/>
    <n v="5403269"/>
    <n v="5534176"/>
    <n v="5177185"/>
    <n v="5347055"/>
    <n v="4934684"/>
    <n v="4192813"/>
    <n v="4868550"/>
    <n v="4868550"/>
    <n v="675737"/>
    <n v="0.16116554685362786"/>
  </r>
  <r>
    <x v="1"/>
    <x v="0"/>
    <x v="0"/>
    <s v="Service DevOps Team"/>
    <s v="PUBG:NEW STATE"/>
    <n v="100033"/>
    <s v="P100010055"/>
    <s v="AWS_XTRM-Web@pubg.com(312871113530)"/>
    <s v="엄기성"/>
    <s v="엄기성"/>
    <m/>
    <n v="6044209"/>
    <n v="5859217"/>
    <n v="5689202"/>
    <n v="5895626"/>
    <n v="5930898"/>
    <n v="5927748"/>
    <n v="6203050"/>
    <n v="6198761"/>
    <n v="5919275"/>
    <n v="5607735"/>
    <n v="5310712"/>
    <n v="6233031"/>
    <n v="6233031"/>
    <n v="922319"/>
    <n v="0.1736714399123884"/>
  </r>
  <r>
    <x v="1"/>
    <x v="0"/>
    <x v="16"/>
    <s v="Ludo Research &amp; Development Div."/>
    <s v="OVERHEAD/OTHERS"/>
    <n v="101758"/>
    <s v="I100099999"/>
    <s v="aws-agentville-deploy@krafton.com(093574267363)"/>
    <s v="정우성"/>
    <s v="정우성"/>
    <s v="v"/>
    <m/>
    <m/>
    <m/>
    <m/>
    <m/>
    <m/>
    <m/>
    <m/>
    <m/>
    <m/>
    <n v="23171"/>
    <n v="36913"/>
    <n v="36913"/>
    <n v="13742"/>
    <n v="0.59306892235984632"/>
  </r>
  <r>
    <x v="1"/>
    <x v="0"/>
    <x v="0"/>
    <s v="AI Transformation Team"/>
    <s v="OVERHEAD/OTHERS"/>
    <n v="101313"/>
    <s v="I100090813"/>
    <s v="aws-ait-genai-api-project@krafton.com(425693140087)"/>
    <s v="이재준"/>
    <s v="이재준"/>
    <s v="v"/>
    <m/>
    <m/>
    <m/>
    <m/>
    <m/>
    <n v="10874"/>
    <n v="4464"/>
    <n v="11827"/>
    <n v="10514"/>
    <n v="12515"/>
    <n v="10708"/>
    <n v="9409"/>
    <n v="9409"/>
    <n v="-1299"/>
    <n v="-0.1213111692192753"/>
  </r>
  <r>
    <x v="1"/>
    <x v="0"/>
    <x v="0"/>
    <s v="AI Transformation Team"/>
    <s v="OVERHEAD/OTHERS"/>
    <n v="107017"/>
    <s v="P100010146"/>
    <s v="aws-ait-project@krafton.com(860256742851)"/>
    <s v="이재준"/>
    <s v="이재준"/>
    <s v="v"/>
    <m/>
    <m/>
    <m/>
    <m/>
    <m/>
    <n v="11"/>
    <n v="78260"/>
    <n v="489850"/>
    <n v="652432"/>
    <n v="794937"/>
    <n v="1067071"/>
    <n v="2906608"/>
    <n v="2906608"/>
    <n v="1839537"/>
    <n v="1.7239124669305042"/>
  </r>
  <r>
    <x v="1"/>
    <x v="0"/>
    <x v="0"/>
    <s v="Game Security Engineering Dept."/>
    <s v="OVERHEAD/OTHERS"/>
    <n v="100036"/>
    <s v="I100099999"/>
    <s v="aws-arc-anticheat-service@pubg.com(577638352596)"/>
    <s v="황범석"/>
    <s v="황범석"/>
    <s v="v"/>
    <n v="1736489"/>
    <n v="2214667"/>
    <n v="3361773"/>
    <n v="3631588"/>
    <n v="4299778"/>
    <n v="4205431"/>
    <n v="4632646"/>
    <n v="4546730"/>
    <n v="4683676"/>
    <n v="4331868"/>
    <n v="3746835"/>
    <n v="4128782"/>
    <n v="4128782"/>
    <n v="381947"/>
    <n v="0.1019385694859795"/>
  </r>
  <r>
    <x v="1"/>
    <x v="0"/>
    <x v="0"/>
    <s v="Publishing Tech PM Part"/>
    <s v="OVERHEAD/OTHERS"/>
    <n v="100829"/>
    <s v="P100010048"/>
    <s v="aws-archeryking-india-prod@krafton.com(730335306083)"/>
    <s v="김정언"/>
    <s v="김정언"/>
    <s v="v"/>
    <n v="135651"/>
    <n v="279302"/>
    <n v="165836"/>
    <n v="194339"/>
    <n v="199411"/>
    <n v="935224"/>
    <n v="90222"/>
    <n v="54626"/>
    <n v="102737"/>
    <n v="50291"/>
    <n v="39483"/>
    <n v="38632"/>
    <n v="38632"/>
    <n v="-851"/>
    <n v="-2.1553580021781527E-2"/>
  </r>
  <r>
    <x v="1"/>
    <x v="0"/>
    <x v="0"/>
    <s v="Asset Library Part"/>
    <s v="OVERHEAD/OTHERS"/>
    <n v="100415"/>
    <s v="P100030014"/>
    <s v="aws-artdept-ali-project@krafton.com(568307822597)"/>
    <s v="박수진"/>
    <s v="박수진"/>
    <m/>
    <m/>
    <m/>
    <m/>
    <m/>
    <m/>
    <m/>
    <m/>
    <m/>
    <m/>
    <n v="115867"/>
    <n v="336409"/>
    <n v="453303"/>
    <n v="453303"/>
    <n v="116894"/>
    <n v="0.34747584042044061"/>
  </r>
  <r>
    <x v="1"/>
    <x v="0"/>
    <x v="0"/>
    <s v="Camp Dept."/>
    <s v="OVERHEAD/OTHERS"/>
    <n v="101465"/>
    <s v="I100099999"/>
    <s v="aws-athena-stage@krafton.com(954894834042)"/>
    <s v="이태형"/>
    <s v="이태형"/>
    <s v="v"/>
    <m/>
    <m/>
    <m/>
    <m/>
    <m/>
    <m/>
    <m/>
    <n v="13381"/>
    <n v="144695"/>
    <n v="12158"/>
    <n v="11549"/>
    <n v="8449"/>
    <n v="8449"/>
    <n v="-3100"/>
    <n v="-0.26842150835570178"/>
  </r>
  <r>
    <x v="1"/>
    <x v="0"/>
    <x v="0"/>
    <s v="AI Applied Research Dept."/>
    <s v="DEEP LEARNING"/>
    <e v="#N/A"/>
    <e v="#N/A"/>
    <s v="aws-AtoZ-dev@krafton.com(859616339670)"/>
    <s v="김재욱"/>
    <s v="김재욱"/>
    <m/>
    <m/>
    <m/>
    <m/>
    <m/>
    <m/>
    <n v="247867"/>
    <n v="2494074"/>
    <n v="3871203"/>
    <n v="5241928"/>
    <n v="9199750"/>
    <n v="8452612"/>
    <n v="11612790"/>
    <n v="11612790"/>
    <n v="3160178"/>
    <n v="0.37386999426922707"/>
  </r>
  <r>
    <x v="1"/>
    <x v="0"/>
    <x v="0"/>
    <s v="Game Security Engineering Dept."/>
    <s v="BLACK BUDGET"/>
    <n v="100092"/>
    <s v="I100099999"/>
    <s v="aws-bb-acs@krafton.com(991613102752)"/>
    <s v="황범석"/>
    <s v="황범석"/>
    <s v="v"/>
    <m/>
    <m/>
    <m/>
    <n v="3400715"/>
    <n v="3856463"/>
    <n v="3767342"/>
    <n v="4126647"/>
    <n v="4181143"/>
    <n v="5487556"/>
    <n v="5222312"/>
    <n v="3594228"/>
    <n v="4158481"/>
    <n v="4158481"/>
    <n v="564253"/>
    <n v="0.15698864957926986"/>
  </r>
  <r>
    <x v="1"/>
    <x v="0"/>
    <x v="0"/>
    <s v="BGMI DevOps Team"/>
    <s v="(2022)BATTLEGROUNDS_MOBILE_IN"/>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r>
  <r>
    <x v="1"/>
    <x v="5"/>
    <x v="9"/>
    <s v="Bluehole shared_finance"/>
    <s v="OVERHEAD/OTHERS"/>
    <e v="#N/A"/>
    <e v="#N/A"/>
    <s v="aws-bluehole-qdev@bluehole.net(065855168285)"/>
    <s v="김승훈"/>
    <s v="김승훈"/>
    <m/>
    <m/>
    <m/>
    <m/>
    <n v="10092"/>
    <n v="12163"/>
    <n v="8375"/>
    <n v="9106"/>
    <n v="9704"/>
    <n v="8690"/>
    <n v="10663"/>
    <n v="9125"/>
    <n v="7852"/>
    <n v="7852"/>
    <n v="-1273"/>
    <n v="-0.13950684931506849"/>
  </r>
  <r>
    <x v="1"/>
    <x v="0"/>
    <x v="0"/>
    <s v="Cinematic Direction &amp; Tech Team"/>
    <s v="OVERHEAD/OTHERS"/>
    <n v="100415"/>
    <s v="P100030014"/>
    <s v="aws-cg-deadline-dev@krafton.com(432439355307)"/>
    <s v="박종률"/>
    <s v="박종률"/>
    <m/>
    <m/>
    <m/>
    <m/>
    <m/>
    <m/>
    <n v="9373"/>
    <n v="8904"/>
    <n v="9848"/>
    <n v="8695"/>
    <n v="6198"/>
    <n v="0"/>
    <n v="0"/>
    <m/>
    <n v="0"/>
    <s v=""/>
  </r>
  <r>
    <x v="1"/>
    <x v="0"/>
    <x v="0"/>
    <s v="Publishing Tech PM Part"/>
    <s v="OVERHEAD/OTHERS"/>
    <n v="100036"/>
    <s v="P100010048"/>
    <s v="aws-cookierun-india-prod@krafton.com(533267124897)"/>
    <s v="김정언"/>
    <s v="김정언"/>
    <s v="v"/>
    <n v="8426889"/>
    <n v="7967321"/>
    <n v="7575324"/>
    <n v="7595913"/>
    <n v="6149865"/>
    <n v="5589626"/>
    <n v="5765285"/>
    <n v="7994981"/>
    <n v="8912421"/>
    <n v="5694750"/>
    <n v="3503136"/>
    <n v="3969527"/>
    <n v="3969527"/>
    <n v="466391"/>
    <n v="0.13313528221570617"/>
  </r>
  <r>
    <x v="1"/>
    <x v="0"/>
    <x v="0"/>
    <s v="Data Engineering Dept."/>
    <s v="OVERHEAD/OTHERS"/>
    <n v="540002"/>
    <s v="I100099999"/>
    <s v="aws-data-intelligence@krafton.com(730335261321)"/>
    <s v="염화음"/>
    <s v="문중현"/>
    <m/>
    <n v="51013119"/>
    <n v="25114669"/>
    <n v="25165326"/>
    <n v="24809768"/>
    <n v="30338999"/>
    <n v="29194062"/>
    <n v="24583105"/>
    <n v="22519748"/>
    <n v="29158724"/>
    <n v="26518296"/>
    <n v="25195550"/>
    <n v="23955868"/>
    <n v="23955868"/>
    <n v="-1239682"/>
    <n v="-4.9202418681076616E-2"/>
  </r>
  <r>
    <x v="1"/>
    <x v="0"/>
    <x v="0"/>
    <s v="Data Engineering Dept."/>
    <s v="OVERHEAD/OTHERS"/>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r>
  <r>
    <x v="1"/>
    <x v="0"/>
    <x v="0"/>
    <s v="Data Engineering Dept."/>
    <s v="OVERHEAD/OTHERS"/>
    <n v="100025"/>
    <s v="I100099999"/>
    <s v="aws-ded-sandbox@krafton.com(061051231343)"/>
    <s v="염화음"/>
    <s v="김시훈"/>
    <s v="v"/>
    <n v="1485581"/>
    <n v="687415"/>
    <n v="689534"/>
    <n v="978274"/>
    <n v="988182"/>
    <n v="1112294"/>
    <n v="3202345"/>
    <n v="4054023"/>
    <n v="5063297"/>
    <n v="11052584"/>
    <n v="11349648"/>
    <n v="10567220"/>
    <n v="10567220"/>
    <n v="-782428"/>
    <n v="-6.8938525670575859E-2"/>
  </r>
  <r>
    <x v="1"/>
    <x v="8"/>
    <x v="17"/>
    <s v="AI Foundation Model TF Team"/>
    <s v="AI Foundation TF"/>
    <n v="400030"/>
    <e v="#N/A"/>
    <s v="aws-deeplearning-gpu@krafton.com(119492371514)"/>
    <s v="이동기"/>
    <s v="김지윤"/>
    <s v="v"/>
    <m/>
    <m/>
    <m/>
    <m/>
    <n v="14007"/>
    <n v="275493581"/>
    <n v="110095282"/>
    <n v="276915930"/>
    <n v="378380401"/>
    <n v="646702404"/>
    <n v="3038722916"/>
    <n v="1222531747"/>
    <n v="1222531747"/>
    <n v="-1816191169"/>
    <n v="-0.59768238803119622"/>
  </r>
  <r>
    <x v="1"/>
    <x v="0"/>
    <x v="0"/>
    <s v="Live Ops Team"/>
    <s v="OVERHEAD/OTHERS"/>
    <n v="100033"/>
    <s v="P100010055"/>
    <s v="aws-discordbot-project@krafton.com(490004636756)"/>
    <s v="어재훈"/>
    <s v="어재훈"/>
    <m/>
    <n v="85862"/>
    <n v="94412"/>
    <n v="79243"/>
    <n v="85824"/>
    <n v="91412"/>
    <n v="64537"/>
    <n v="65826"/>
    <n v="65604"/>
    <n v="66997"/>
    <n v="59397"/>
    <n v="37885"/>
    <n v="27835"/>
    <n v="27835"/>
    <n v="-10050"/>
    <n v="-0.26527649465487663"/>
  </r>
  <r>
    <x v="1"/>
    <x v="0"/>
    <x v="0"/>
    <s v="AI Product Dev Chapter Dept."/>
    <s v="OVERHEAD/OTHERS"/>
    <n v="100033"/>
    <s v="P100030014"/>
    <s v="aws-dld-ai-service-engineering@krafton.com(778870726140)"/>
    <s v="박준규"/>
    <s v="박준규"/>
    <m/>
    <m/>
    <m/>
    <m/>
    <n v="102927"/>
    <n v="604513"/>
    <n v="773135"/>
    <n v="845095"/>
    <n v="835478"/>
    <n v="854916"/>
    <n v="813392"/>
    <n v="690047"/>
    <n v="814723"/>
    <n v="814723"/>
    <n v="124676"/>
    <n v="0.18067754805107478"/>
  </r>
  <r>
    <x v="1"/>
    <x v="0"/>
    <x v="0"/>
    <s v="AI Agent Research Team"/>
    <s v="DEEP LEARNING"/>
    <n v="100212"/>
    <s v="I100099999"/>
    <s v="aws-dld-artgen-project@krafton.com(253613562216)"/>
    <s v="권승진"/>
    <s v="권승진"/>
    <m/>
    <m/>
    <m/>
    <m/>
    <n v="288833"/>
    <n v="993031"/>
    <n v="1031380"/>
    <n v="1095577"/>
    <n v="1068589"/>
    <n v="318738"/>
    <n v="0"/>
    <n v="0"/>
    <n v="0"/>
    <m/>
    <n v="0"/>
    <s v=""/>
  </r>
  <r>
    <x v="1"/>
    <x v="0"/>
    <x v="0"/>
    <s v="AI Product Dev Chapter Dept."/>
    <s v="DEEP LEARNING"/>
    <n v="101294"/>
    <s v="P100030012"/>
    <s v="aws-dld-orak-competition@krafton.com(990060747832)"/>
    <s v="이호원"/>
    <s v="이호원"/>
    <m/>
    <m/>
    <m/>
    <m/>
    <m/>
    <m/>
    <n v="0"/>
    <n v="2502"/>
    <n v="21719"/>
    <n v="8581"/>
    <n v="10489"/>
    <n v="9039"/>
    <n v="7840"/>
    <n v="7840"/>
    <n v="-1199"/>
    <n v="-0.13264741674964045"/>
  </r>
  <r>
    <x v="1"/>
    <x v="4"/>
    <x v="8"/>
    <n v="0"/>
    <n v="0"/>
    <n v="460121"/>
    <e v="#N/A"/>
    <s v="aws-dreamotion-joust@dreamotion.us(068011097273)"/>
    <m/>
    <s v="류성중"/>
    <m/>
    <m/>
    <m/>
    <m/>
    <m/>
    <m/>
    <m/>
    <m/>
    <m/>
    <m/>
    <n v="72457"/>
    <n v="95581"/>
    <n v="95520"/>
    <n v="95520"/>
    <n v="-61"/>
    <n v="-6.3820215314759209E-4"/>
  </r>
  <r>
    <x v="1"/>
    <x v="0"/>
    <x v="0"/>
    <s v="Publishing Tech PM Part"/>
    <s v="OVERHEAD/OTHERS"/>
    <n v="100561"/>
    <s v="P100010013"/>
    <s v="aws-esports-india-prod@bluehole.net(730335249414)"/>
    <s v="김정언"/>
    <s v="김정언"/>
    <s v="v"/>
    <n v="4583980"/>
    <n v="4342019"/>
    <n v="4832293"/>
    <n v="5348761"/>
    <n v="5393517"/>
    <n v="5623604"/>
    <n v="6846989"/>
    <n v="5593088"/>
    <n v="7348663"/>
    <n v="7271842"/>
    <n v="7168145"/>
    <n v="8652113"/>
    <n v="8652113"/>
    <n v="1483968"/>
    <n v="0.20702259789666644"/>
  </r>
  <r>
    <x v="1"/>
    <x v="0"/>
    <x v="0"/>
    <s v="Esports Management Team"/>
    <s v="E-SPORTS"/>
    <n v="101758"/>
    <s v="I100099999"/>
    <s v="aws-esports-project@krafton.com(731386536200)"/>
    <s v="정경훈"/>
    <s v="정경훈"/>
    <m/>
    <m/>
    <n v="125166"/>
    <n v="1430075"/>
    <n v="2525521"/>
    <n v="111563"/>
    <n v="109511"/>
    <n v="112268"/>
    <n v="113131"/>
    <n v="363946"/>
    <n v="283435"/>
    <n v="255859"/>
    <n v="293837"/>
    <n v="293837"/>
    <n v="37978"/>
    <n v="0.148433316787762"/>
  </r>
  <r>
    <x v="1"/>
    <x v="9"/>
    <x v="18"/>
    <n v="0"/>
    <n v="0"/>
    <n v="100414"/>
    <e v="#N/A"/>
    <s v="aws-fwg-mementomori@krafton.com(288761730516)"/>
    <n v="0"/>
    <s v="허태욱"/>
    <m/>
    <n v="157897"/>
    <n v="155265"/>
    <n v="161371"/>
    <n v="168468"/>
    <n v="182441"/>
    <n v="175494"/>
    <n v="156126"/>
    <n v="152022"/>
    <n v="155400"/>
    <n v="143982"/>
    <n v="121095"/>
    <n v="134895"/>
    <n v="134895"/>
    <n v="13800"/>
    <n v="0.11396011396011396"/>
  </r>
  <r>
    <x v="1"/>
    <x v="9"/>
    <x v="18"/>
    <s v="FWG People Team"/>
    <n v="0"/>
    <n v="100414"/>
    <e v="#N/A"/>
    <s v="aws-fwg-people@krafton.com(992382827900)"/>
    <n v="0"/>
    <s v="전민욱"/>
    <m/>
    <n v="63891"/>
    <n v="73417"/>
    <n v="77568"/>
    <n v="71862"/>
    <n v="74723"/>
    <n v="76231"/>
    <n v="79853"/>
    <n v="78996"/>
    <n v="102123"/>
    <n v="103142"/>
    <n v="95017"/>
    <n v="112662"/>
    <n v="112662"/>
    <n v="17645"/>
    <n v="0.18570361093278046"/>
  </r>
  <r>
    <x v="1"/>
    <x v="0"/>
    <x v="0"/>
    <s v="KOS Engineering Dept."/>
    <s v="GPP"/>
    <n v="101269"/>
    <s v="I100099999"/>
    <s v="aws-gpp-sandbox@krafton.com(043143570760)"/>
    <s v="신근우"/>
    <s v="신근우"/>
    <m/>
    <n v="87835"/>
    <n v="108433"/>
    <n v="64056"/>
    <n v="57505"/>
    <n v="61527"/>
    <n v="109873"/>
    <n v="77806"/>
    <n v="87248"/>
    <n v="290283"/>
    <n v="294940"/>
    <n v="267787"/>
    <n v="308012"/>
    <n v="308012"/>
    <n v="40225"/>
    <n v="0.15021266902426181"/>
  </r>
  <r>
    <x v="1"/>
    <x v="8"/>
    <x v="17"/>
    <s v="AI Foundation Model TF Team"/>
    <s v="AI Foundation TF"/>
    <n v="110024"/>
    <s v="P100020001"/>
    <s v="aws-gpu-sp@krafton.com(690488447034)"/>
    <s v="황시연"/>
    <s v="김지윤"/>
    <s v="v"/>
    <m/>
    <m/>
    <m/>
    <m/>
    <m/>
    <n v="6998787602"/>
    <n v="598687232"/>
    <n v="596216106"/>
    <n v="603132784"/>
    <n v="599569136"/>
    <n v="539854405"/>
    <n v="635729111"/>
    <n v="635729111"/>
    <n v="95874706"/>
    <n v="0.17759363471341871"/>
  </r>
  <r>
    <x v="1"/>
    <x v="0"/>
    <x v="0"/>
    <s v="Game Security Engineering Dept."/>
    <s v="OVERHEAD/OTHERS"/>
    <e v="#N/A"/>
    <e v="#N/A"/>
    <s v="aws-gse-tech-build@krafton.com(597406702810)"/>
    <s v="황범석"/>
    <s v="황범석"/>
    <s v="v"/>
    <m/>
    <m/>
    <m/>
    <n v="116770"/>
    <n v="240623"/>
    <n v="228323"/>
    <n v="241109"/>
    <n v="239026"/>
    <n v="240104"/>
    <n v="241996"/>
    <n v="216849"/>
    <n v="250687"/>
    <n v="250687"/>
    <n v="33838"/>
    <n v="0.1560440675308625"/>
  </r>
  <r>
    <x v="1"/>
    <x v="0"/>
    <x v="19"/>
    <s v="IN New Games Publishing Team 3"/>
    <s v="OVERHEAD/OTHERS"/>
    <n v="100033"/>
    <s v="I100099999"/>
    <s v="aws-ignt-sports-fantasy-prod@krafton.com(029939913515)"/>
    <s v="Prashant Pandey"/>
    <s v="Prashant Pandey"/>
    <m/>
    <m/>
    <m/>
    <m/>
    <m/>
    <m/>
    <m/>
    <m/>
    <m/>
    <m/>
    <n v="12667"/>
    <n v="767196"/>
    <n v="4461949"/>
    <n v="4461949"/>
    <n v="3694753"/>
    <n v="4.8159179662042035"/>
  </r>
  <r>
    <x v="1"/>
    <x v="0"/>
    <x v="19"/>
    <s v="IN New Games Publishing Team 3"/>
    <s v="sports fantasy project"/>
    <e v="#N/A"/>
    <e v="#N/A"/>
    <s v="aws-ignt-sports-fantasy@krafton.com(496851883612)"/>
    <s v="Sudhamshu Mitra"/>
    <s v="Sudhamshu Mitra"/>
    <m/>
    <m/>
    <m/>
    <m/>
    <m/>
    <m/>
    <m/>
    <m/>
    <m/>
    <n v="53289"/>
    <n v="182233"/>
    <n v="808512"/>
    <n v="339600"/>
    <n v="339600"/>
    <n v="-468912"/>
    <n v="-0.57996912847304682"/>
  </r>
  <r>
    <x v="1"/>
    <x v="0"/>
    <x v="19"/>
    <s v="India Div."/>
    <s v="OVERHEAD/OTHERS"/>
    <n v="100022"/>
    <s v="I100099999"/>
    <s v="aws-india-devtesting@krafton.com(822923364452)"/>
    <s v="Huzaifa Arab"/>
    <s v="Veligatla Vamsi Krishna"/>
    <m/>
    <m/>
    <m/>
    <m/>
    <m/>
    <m/>
    <n v="0"/>
    <n v="12032"/>
    <n v="184044"/>
    <n v="170022"/>
    <n v="50841"/>
    <n v="45164"/>
    <n v="25685"/>
    <n v="25685"/>
    <n v="-19479"/>
    <n v="-0.43129483659551854"/>
  </r>
  <r>
    <x v="1"/>
    <x v="0"/>
    <x v="0"/>
    <s v="Service Devops Team"/>
    <s v="inZOI"/>
    <n v="100025"/>
    <s v="I100090813"/>
    <s v="aws-inzoi-common@krafton.com(599079318802)"/>
    <s v="양장수"/>
    <s v="양장수"/>
    <s v="v"/>
    <n v="1965"/>
    <n v="9811"/>
    <n v="25420"/>
    <n v="22468"/>
    <n v="31678"/>
    <n v="32573"/>
    <n v="33470"/>
    <n v="33467"/>
    <n v="39422"/>
    <n v="41044"/>
    <n v="42064"/>
    <n v="39637"/>
    <n v="39637"/>
    <n v="-2427"/>
    <n v="-5.7697793837961205E-2"/>
  </r>
  <r>
    <x v="1"/>
    <x v="0"/>
    <x v="0"/>
    <s v="Service Devops Team"/>
    <s v="inZOI"/>
    <n v="102035"/>
    <s v="I100090134"/>
    <s v="aws-inzoi-perf@krafton.com(480311998431)"/>
    <s v="양장수"/>
    <s v="양장수"/>
    <s v="v"/>
    <n v="681"/>
    <n v="1789"/>
    <n v="14185"/>
    <n v="6071"/>
    <n v="11375"/>
    <n v="12109"/>
    <n v="12580"/>
    <n v="12445"/>
    <n v="16371"/>
    <n v="18121"/>
    <n v="18594"/>
    <n v="15889"/>
    <n v="15889"/>
    <n v="-2705"/>
    <n v="-0.14547703560288264"/>
  </r>
  <r>
    <x v="1"/>
    <x v="0"/>
    <x v="0"/>
    <s v="Service Devops Team"/>
    <s v="inZOI"/>
    <n v="100415"/>
    <s v="I100099999"/>
    <s v="aws-inzoi-prod-qa@krafton.com(891376979083)"/>
    <s v="양장수"/>
    <s v="양장수"/>
    <s v="v"/>
    <n v="12786794"/>
    <n v="13210297"/>
    <n v="11143442"/>
    <n v="10665714"/>
    <n v="10213917"/>
    <n v="9558208"/>
    <n v="7391692"/>
    <n v="7669978"/>
    <n v="7806571"/>
    <n v="7647060"/>
    <n v="7119816"/>
    <n v="7599816"/>
    <n v="7599816"/>
    <n v="480000"/>
    <n v="6.7417472586370208E-2"/>
  </r>
  <r>
    <x v="1"/>
    <x v="0"/>
    <x v="0"/>
    <s v="Service Devops Team"/>
    <s v="inZOI"/>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r>
  <r>
    <x v="1"/>
    <x v="0"/>
    <x v="0"/>
    <s v="Service Devops Team"/>
    <s v="inZOI"/>
    <n v="290062"/>
    <e v="#N/A"/>
    <s v="aws-inzoi-ps@krafton.com(875212670009)"/>
    <s v="양장수"/>
    <s v="양장수"/>
    <s v="v"/>
    <m/>
    <n v="2288"/>
    <n v="12407"/>
    <n v="5915"/>
    <n v="11622"/>
    <n v="11773"/>
    <n v="12198"/>
    <n v="12068"/>
    <n v="16864"/>
    <n v="18111"/>
    <n v="18451"/>
    <n v="15830"/>
    <n v="15830"/>
    <n v="-2621"/>
    <n v="-0.14205192130507832"/>
  </r>
  <r>
    <x v="1"/>
    <x v="0"/>
    <x v="5"/>
    <s v="inZOI Studio"/>
    <s v="OVERHEAD/OTHERS"/>
    <e v="#N/A"/>
    <s v="I100099999"/>
    <s v="aws-inzoi-qdev@inzoistudio.com(536808117055)"/>
    <s v="김재윤"/>
    <s v="김재윤"/>
    <m/>
    <m/>
    <m/>
    <m/>
    <m/>
    <n v="13122"/>
    <n v="6871"/>
    <n v="8940"/>
    <n v="9704"/>
    <n v="8751"/>
    <n v="10884"/>
    <n v="9443"/>
    <n v="8142"/>
    <n v="8142"/>
    <n v="-1301"/>
    <n v="-0.1377740124960288"/>
  </r>
  <r>
    <x v="1"/>
    <x v="0"/>
    <x v="0"/>
    <s v="IT Platform Engineering Team"/>
    <s v="OVERHEAD/OTHERS"/>
    <n v="100036"/>
    <s v="I100099999"/>
    <s v="aws-it-devops-dev@krafton.com(590636266953)"/>
    <s v="김주한"/>
    <s v="김주한"/>
    <m/>
    <m/>
    <m/>
    <m/>
    <n v="367203"/>
    <n v="3010111"/>
    <n v="4652174"/>
    <n v="4683506"/>
    <n v="8289762"/>
    <n v="13536695"/>
    <n v="14013845"/>
    <n v="12797429"/>
    <n v="13757218"/>
    <n v="13757218"/>
    <n v="959789"/>
    <n v="7.4998579792863077E-2"/>
  </r>
  <r>
    <x v="1"/>
    <x v="0"/>
    <x v="0"/>
    <s v="IT Dept."/>
    <s v="OVERHEAD/OTHERS"/>
    <e v="#N/A"/>
    <e v="#N/A"/>
    <s v="aws-it-devops-prd@krafton.com(785459729416)"/>
    <s v="김승훈"/>
    <s v="김승훈"/>
    <m/>
    <m/>
    <m/>
    <m/>
    <n v="14052"/>
    <n v="13464"/>
    <n v="8590"/>
    <n v="9078"/>
    <n v="9675"/>
    <n v="8664"/>
    <n v="10556"/>
    <n v="9176"/>
    <n v="7933"/>
    <n v="7933"/>
    <n v="-1243"/>
    <n v="-0.13546207497820401"/>
  </r>
  <r>
    <x v="1"/>
    <x v="0"/>
    <x v="0"/>
    <s v="IT Dept."/>
    <s v="OVERHEAD/OTHERS"/>
    <e v="#N/A"/>
    <e v="#N/A"/>
    <s v="aws-it-devops-stg@krafton.com(432637347936)"/>
    <s v="김승훈"/>
    <s v="김승훈"/>
    <m/>
    <m/>
    <m/>
    <m/>
    <n v="12882"/>
    <n v="13491"/>
    <n v="8645"/>
    <n v="9028"/>
    <n v="9862"/>
    <n v="8674"/>
    <n v="10576"/>
    <n v="9086"/>
    <n v="7913"/>
    <n v="7913"/>
    <n v="-1173"/>
    <n v="-0.12909971384547655"/>
  </r>
  <r>
    <x v="1"/>
    <x v="0"/>
    <x v="0"/>
    <s v="IT Dept."/>
    <s v="OVERHEAD/OTHERS"/>
    <n v="100025"/>
    <s v="I100090813"/>
    <s v="aws-itsd-live@krafton.com(493888979037)"/>
    <s v="강준수"/>
    <s v="강준수"/>
    <s v="v"/>
    <m/>
    <n v="1734943"/>
    <n v="2242473"/>
    <n v="2803218"/>
    <n v="2335492"/>
    <n v="2298789"/>
    <n v="2644468"/>
    <n v="1601185"/>
    <n v="1588700"/>
    <n v="1456514"/>
    <n v="1280242"/>
    <n v="1495839"/>
    <n v="1495839"/>
    <n v="215597"/>
    <n v="0.16840331749778559"/>
  </r>
  <r>
    <x v="1"/>
    <x v="0"/>
    <x v="0"/>
    <s v="Publishing QA Team 1"/>
    <s v="OVERHEAD/OTHERS"/>
    <n v="100009"/>
    <s v="I100099999"/>
    <s v="aws-jirago-automation@krafton.com(836686979310)"/>
    <s v="Jonas Jawad"/>
    <s v="Jonas Jawad"/>
    <m/>
    <m/>
    <m/>
    <m/>
    <m/>
    <m/>
    <n v="0"/>
    <n v="11407"/>
    <n v="4156"/>
    <n v="9043"/>
    <n v="13862"/>
    <n v="11003"/>
    <n v="9445"/>
    <n v="9445"/>
    <n v="-1558"/>
    <n v="-0.14159774606925385"/>
  </r>
  <r>
    <x v="1"/>
    <x v="0"/>
    <x v="20"/>
    <s v="JOF Development Team"/>
    <s v="OVERHEAD/OTHERS"/>
    <n v="100156"/>
    <s v="I100099999"/>
    <s v="aws-jofsoft-nomad@krafton.com(523083722520)"/>
    <s v="이정현"/>
    <s v="이정현"/>
    <m/>
    <m/>
    <m/>
    <m/>
    <m/>
    <m/>
    <m/>
    <m/>
    <m/>
    <n v="13387"/>
    <n v="4422"/>
    <n v="6985"/>
    <n v="8083"/>
    <n v="8083"/>
    <n v="1098"/>
    <n v="0.15719398711524696"/>
  </r>
  <r>
    <x v="1"/>
    <x v="0"/>
    <x v="0"/>
    <s v="Jungle Coaching Dept."/>
    <s v="PROJECT JUNGLE"/>
    <n v="101671"/>
    <s v="I100099999"/>
    <s v="aws-jungle-lms@bluehole.net(628687605365)"/>
    <s v="백승현"/>
    <s v="백승현"/>
    <s v="v"/>
    <n v="2110885"/>
    <n v="2070050"/>
    <n v="2045969"/>
    <n v="2140690"/>
    <n v="2173643"/>
    <n v="2169225"/>
    <n v="3011886"/>
    <n v="2929026"/>
    <n v="3075940"/>
    <n v="3120163"/>
    <n v="2968714"/>
    <n v="3562304"/>
    <n v="3562304"/>
    <n v="593590"/>
    <n v="0.19994852990217313"/>
  </r>
  <r>
    <x v="1"/>
    <x v="0"/>
    <x v="0"/>
    <s v="KOS Engineering Dept."/>
    <s v="OVERHEAD/OTHERS"/>
    <n v="100212"/>
    <s v="I100099999"/>
    <s v="aws-kcn@krafton.com(864899862642)"/>
    <s v="신근우"/>
    <s v="신근우"/>
    <m/>
    <n v="1758430"/>
    <n v="1774859"/>
    <n v="1736575"/>
    <n v="2515690"/>
    <n v="2700912"/>
    <n v="2663657"/>
    <n v="3113945"/>
    <n v="2983325"/>
    <n v="3062313"/>
    <n v="4288402"/>
    <n v="6245999"/>
    <n v="8223725"/>
    <n v="8223725"/>
    <n v="1977726"/>
    <n v="0.31663885953231818"/>
  </r>
  <r>
    <x v="1"/>
    <x v="0"/>
    <x v="0"/>
    <s v="KDC Team"/>
    <s v="OVERHEAD/OTHERS"/>
    <n v="110119"/>
    <s v="P100020001"/>
    <s v="aws-kdc-hackathon-project@krafton.com(720500601754)"/>
    <s v="황영욱"/>
    <s v="황영욱"/>
    <m/>
    <m/>
    <m/>
    <m/>
    <m/>
    <m/>
    <m/>
    <m/>
    <m/>
    <n v="13427"/>
    <n v="5427"/>
    <n v="6940"/>
    <n v="8013"/>
    <n v="8013"/>
    <n v="1073"/>
    <n v="0.15461095100864553"/>
  </r>
  <r>
    <x v="1"/>
    <x v="0"/>
    <x v="0"/>
    <s v="KOS Engineering Dept."/>
    <s v="OVERHEAD/OTHERS"/>
    <n v="100212"/>
    <s v="I100099999"/>
    <s v="aws-kos-qa@krafton.com(436400223144)"/>
    <s v="신근우"/>
    <s v="신근우"/>
    <m/>
    <n v="1223"/>
    <n v="2944"/>
    <n v="14031"/>
    <n v="5929"/>
    <n v="10782"/>
    <n v="8465"/>
    <n v="8940"/>
    <n v="9874"/>
    <n v="8803"/>
    <n v="20623"/>
    <n v="13007"/>
    <n v="8223"/>
    <n v="8223"/>
    <n v="-4784"/>
    <n v="-0.36780195279464906"/>
  </r>
  <r>
    <x v="1"/>
    <x v="0"/>
    <x v="0"/>
    <s v="KOS Engineering Dept."/>
    <s v="GPP"/>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r>
  <r>
    <x v="1"/>
    <x v="0"/>
    <x v="0"/>
    <s v="Data Engineering Dept."/>
    <s v="OVERHEAD/OTHERS"/>
    <n v="101050"/>
    <s v="I100099999"/>
    <s v="aws-krafton-braze@krafton.com(493761360527)"/>
    <s v="염화음"/>
    <s v="문중현"/>
    <m/>
    <n v="12351"/>
    <n v="12911"/>
    <n v="20864"/>
    <n v="12741"/>
    <n v="17937"/>
    <n v="15521"/>
    <n v="16107"/>
    <n v="24389"/>
    <n v="23187"/>
    <n v="25143"/>
    <n v="23356"/>
    <n v="23597"/>
    <n v="23597"/>
    <n v="241"/>
    <n v="1.0318547696523378E-2"/>
  </r>
  <r>
    <x v="1"/>
    <x v="0"/>
    <x v="0"/>
    <s v="Publishing Tech PM Part"/>
    <s v="Dark and Darker_Mobile"/>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r>
  <r>
    <x v="1"/>
    <x v="0"/>
    <x v="0"/>
    <s v="Publishing Tech PM Part"/>
    <s v="Dark and Darker_Mobile"/>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r>
  <r>
    <x v="1"/>
    <x v="0"/>
    <x v="0"/>
    <s v="ML Sys &amp; Ops Team"/>
    <s v="OVERHEAD/OTHERS"/>
    <n v="100025"/>
    <s v="I100090813"/>
    <s v="aws-krafton-dld-applied@bluehole.net(847366387031)"/>
    <s v="김동원"/>
    <s v="김동원"/>
    <m/>
    <n v="3225032"/>
    <n v="4680785"/>
    <n v="10020054"/>
    <n v="101953933"/>
    <n v="5369336"/>
    <n v="8350990"/>
    <n v="6674984"/>
    <n v="8248963"/>
    <n v="5531763"/>
    <n v="3703059"/>
    <n v="974465"/>
    <n v="1173492"/>
    <n v="1173492"/>
    <n v="199027"/>
    <n v="0.20424232784143093"/>
  </r>
  <r>
    <x v="1"/>
    <x v="0"/>
    <x v="0"/>
    <s v="KRAFTON HQ"/>
    <s v="OVERHEAD/OTHERS"/>
    <e v="#N/A"/>
    <e v="#N/A"/>
    <s v="aws-krafton-qdev@krafton.com(251425313820)"/>
    <s v="김승훈"/>
    <s v="김승훈"/>
    <m/>
    <m/>
    <m/>
    <m/>
    <n v="5416"/>
    <n v="13005"/>
    <n v="9236"/>
    <n v="9054"/>
    <n v="10076"/>
    <n v="9096"/>
    <n v="11034"/>
    <n v="9433"/>
    <n v="8209"/>
    <n v="8209"/>
    <n v="-1224"/>
    <n v="-0.12975723523799426"/>
  </r>
  <r>
    <x v="1"/>
    <x v="0"/>
    <x v="0"/>
    <s v="Security team"/>
    <s v="OVERHEAD/OTHERS"/>
    <n v="101721"/>
    <s v="P100010066"/>
    <s v="aws-krafton-security-analytics@krafton.com(391183348418)"/>
    <s v="최정헌"/>
    <s v="최정헌"/>
    <m/>
    <m/>
    <m/>
    <m/>
    <m/>
    <n v="142286"/>
    <n v="651452"/>
    <n v="841257"/>
    <n v="635940"/>
    <n v="336175"/>
    <n v="620383"/>
    <n v="634099"/>
    <n v="716513"/>
    <n v="716513"/>
    <n v="82414"/>
    <n v="0.12997024123993256"/>
  </r>
  <r>
    <x v="1"/>
    <x v="0"/>
    <x v="0"/>
    <s v="IT Dept."/>
    <s v="OVERHEAD/OTHERS"/>
    <e v="#N/A"/>
    <e v="#N/A"/>
    <s v="aws-krafton-security@bluehole.net(205564184489)"/>
    <s v="김재윤"/>
    <s v="김재윤"/>
    <s v="v"/>
    <n v="2293280"/>
    <n v="3275943"/>
    <n v="3298731"/>
    <n v="5685020"/>
    <n v="14442360"/>
    <n v="14867976"/>
    <n v="12184791"/>
    <n v="19663350"/>
    <n v="25853249"/>
    <n v="19541828"/>
    <n v="17418802"/>
    <n v="19313288"/>
    <n v="19313288"/>
    <n v="1894486"/>
    <n v="0.1087609813809239"/>
  </r>
  <r>
    <x v="1"/>
    <x v="0"/>
    <x v="0"/>
    <s v="System Team"/>
    <s v="OVERHEAD/OTHERS"/>
    <n v="101752"/>
    <s v="I100099999"/>
    <s v="aws-krafton-ses@krafton.com(723528227774)"/>
    <s v="박상윤"/>
    <s v="박상윤"/>
    <m/>
    <m/>
    <m/>
    <m/>
    <m/>
    <m/>
    <m/>
    <m/>
    <m/>
    <m/>
    <n v="14788"/>
    <n v="4762"/>
    <n v="8013"/>
    <n v="8013"/>
    <n v="3251"/>
    <n v="0.6826963460730785"/>
  </r>
  <r>
    <x v="1"/>
    <x v="0"/>
    <x v="0"/>
    <s v="Data Engineering Dept."/>
    <s v="OVERHEAD/OTHERS"/>
    <n v="100025"/>
    <s v="I100099999"/>
    <s v="aws-krafton-thinkingdata@krafton.com(830389646082)"/>
    <s v="염화음"/>
    <s v="김시훈"/>
    <s v="v"/>
    <n v="336"/>
    <n v="238108"/>
    <n v="434255"/>
    <n v="449326"/>
    <n v="444912"/>
    <n v="1327567"/>
    <n v="2206969"/>
    <n v="3212245"/>
    <n v="3359358"/>
    <n v="3091453"/>
    <n v="2656311"/>
    <n v="2997367"/>
    <n v="2997367"/>
    <n v="341056"/>
    <n v="0.1283946043968496"/>
  </r>
  <r>
    <x v="1"/>
    <x v="0"/>
    <x v="0"/>
    <s v="System Team"/>
    <s v="OVERHEAD/OTHERS"/>
    <e v="#N/A"/>
    <e v="#N/A"/>
    <s v="aws-krafton-website@krafton.com(266265462265)"/>
    <s v="김재윤"/>
    <s v="김재윤"/>
    <s v="v"/>
    <m/>
    <m/>
    <m/>
    <m/>
    <m/>
    <n v="230411"/>
    <n v="989577"/>
    <n v="1622821"/>
    <n v="5222058"/>
    <n v="5763091"/>
    <n v="7013142"/>
    <n v="7506703"/>
    <n v="7506703"/>
    <n v="493561"/>
    <n v="7.0376587270013932E-2"/>
  </r>
  <r>
    <x v="1"/>
    <x v="0"/>
    <x v="0"/>
    <s v="IN Performance Marketing Team"/>
    <s v="OVERHEAD/OTHERS"/>
    <e v="#N/A"/>
    <e v="#N/A"/>
    <s v="aws-ksb-project@krafton.com(347301642618)"/>
    <s v="김상범"/>
    <s v="김상범"/>
    <m/>
    <m/>
    <m/>
    <m/>
    <m/>
    <m/>
    <m/>
    <m/>
    <m/>
    <m/>
    <m/>
    <n v="14951"/>
    <n v="3683"/>
    <n v="3683"/>
    <n v="-11268"/>
    <n v="-0.75366196241054106"/>
  </r>
  <r>
    <x v="1"/>
    <x v="0"/>
    <x v="0"/>
    <s v="Game Security Engineering Dept."/>
    <s v="KSS"/>
    <n v="100033"/>
    <s v="I100099999"/>
    <s v="Aws-kss-hq-anticheat-service@krafton.com(901635709370)"/>
    <s v="황범석"/>
    <s v="황범석"/>
    <s v="v"/>
    <m/>
    <m/>
    <m/>
    <m/>
    <m/>
    <m/>
    <m/>
    <m/>
    <m/>
    <m/>
    <n v="646806"/>
    <n v="3154968"/>
    <n v="3154968"/>
    <n v="2508162"/>
    <n v="3.8777655123792916"/>
  </r>
  <r>
    <x v="1"/>
    <x v="10"/>
    <x v="21"/>
    <s v="5ml Tech Dept"/>
    <n v="0"/>
    <n v="100036"/>
    <e v="#N/A"/>
    <s v="aws-lg-sl@5minlab.com(919383859411)"/>
    <n v="0"/>
    <s v="유지현"/>
    <m/>
    <n v="15817502"/>
    <n v="14983483"/>
    <n v="12885463"/>
    <n v="13524964"/>
    <n v="13507921"/>
    <n v="12151230"/>
    <n v="12211342"/>
    <n v="11705754"/>
    <n v="11875508"/>
    <n v="12817602"/>
    <n v="10801777"/>
    <n v="10057008"/>
    <n v="10057008"/>
    <n v="-744769"/>
    <n v="-6.8948747969894211E-2"/>
  </r>
  <r>
    <x v="1"/>
    <x v="10"/>
    <x v="21"/>
    <s v="5ml Tech Dept"/>
    <n v="0"/>
    <n v="100009"/>
    <e v="#N/A"/>
    <s v="aws-lgsl-qa@5minlab.com(713407752956)"/>
    <n v="0"/>
    <s v="유지현"/>
    <m/>
    <n v="75316"/>
    <n v="84566"/>
    <n v="72752"/>
    <n v="74333"/>
    <n v="90037"/>
    <n v="87295"/>
    <n v="91016"/>
    <n v="92025"/>
    <n v="67748"/>
    <n v="0"/>
    <n v="0"/>
    <n v="0"/>
    <m/>
    <n v="0"/>
    <s v=""/>
  </r>
  <r>
    <x v="1"/>
    <x v="0"/>
    <x v="0"/>
    <s v="Camp Dept."/>
    <s v="OVERHEAD/OTHERS"/>
    <n v="100774"/>
    <s v="I100099999"/>
    <s v="aws-loonshot-prod@krafton.com(451978385977)"/>
    <s v="이태형"/>
    <s v="이태형"/>
    <s v="v"/>
    <m/>
    <m/>
    <m/>
    <m/>
    <m/>
    <m/>
    <m/>
    <m/>
    <n v="48039"/>
    <n v="548703"/>
    <n v="543831"/>
    <n v="579251"/>
    <n v="579251"/>
    <n v="35420"/>
    <n v="6.5130527682313075E-2"/>
  </r>
  <r>
    <x v="1"/>
    <x v="0"/>
    <x v="0"/>
    <s v="MS DevOps Team"/>
    <s v="OVERHEAD/OTHERS"/>
    <n v="100774"/>
    <s v="P100030092"/>
    <s v="aws-majesta-pipeline@pubg.com(163742782003)"/>
    <s v="천궁원"/>
    <s v="배시은"/>
    <s v="v"/>
    <m/>
    <m/>
    <m/>
    <m/>
    <m/>
    <m/>
    <m/>
    <m/>
    <n v="276181"/>
    <n v="535436"/>
    <n v="697985"/>
    <n v="959823"/>
    <n v="959823"/>
    <n v="261838"/>
    <n v="0.37513413612040375"/>
  </r>
  <r>
    <x v="1"/>
    <x v="0"/>
    <x v="0"/>
    <s v="MS DevOps Team"/>
    <s v="OVERHEAD/OTHERS"/>
    <n v="100774"/>
    <s v="I100099999"/>
    <s v="aws-majesta@bluehole.net(533267412343)"/>
    <s v="천궁원"/>
    <s v="배시은"/>
    <s v="v"/>
    <n v="1453479"/>
    <n v="1826555"/>
    <n v="1561629"/>
    <n v="1629700"/>
    <n v="1858534"/>
    <n v="2714649"/>
    <n v="2596925"/>
    <n v="2752322"/>
    <n v="2884835"/>
    <n v="2959586"/>
    <n v="3512845"/>
    <n v="4355810"/>
    <n v="4355810"/>
    <n v="842965"/>
    <n v="0.23996646592719006"/>
  </r>
  <r>
    <x v="1"/>
    <x v="0"/>
    <x v="0"/>
    <s v="KRAFTON HQ"/>
    <s v="OVERHEAD/OTHERS"/>
    <n v="101993"/>
    <s v="I100099999"/>
    <s v="aws-marketplace@krafton.com(272916400024)"/>
    <s v="이윤슬"/>
    <s v="이윤슬"/>
    <m/>
    <m/>
    <m/>
    <m/>
    <m/>
    <m/>
    <m/>
    <m/>
    <m/>
    <m/>
    <n v="11353"/>
    <n v="3828"/>
    <n v="43103061"/>
    <n v="43103061"/>
    <n v="43099233"/>
    <n v="11258.942789968653"/>
  </r>
  <r>
    <x v="1"/>
    <x v="0"/>
    <x v="10"/>
    <s v="Valor Core Tech Team"/>
    <s v="Valor_Console"/>
    <n v="100415"/>
    <s v="P100020081"/>
    <s v="aws-msn-valor-prod@pubg.com(061309713406)"/>
    <s v="송영재"/>
    <s v="송영재"/>
    <s v="v"/>
    <m/>
    <m/>
    <m/>
    <m/>
    <n v="46272"/>
    <n v="469680"/>
    <n v="1287275"/>
    <n v="4005361"/>
    <n v="4938647"/>
    <n v="4348298"/>
    <n v="4418959"/>
    <n v="6171472"/>
    <n v="6171472"/>
    <n v="1752513"/>
    <n v="0.39658955876259544"/>
  </r>
  <r>
    <x v="1"/>
    <x v="0"/>
    <x v="22"/>
    <s v="Olive Game Development Team"/>
    <s v="OVERHEAD/OTHERS"/>
    <n v="101465"/>
    <s v="I100099999"/>
    <s v="aws-olivetree-project@krafton.com(831974769705)"/>
    <s v="이지운"/>
    <s v="이지운"/>
    <s v="v"/>
    <m/>
    <m/>
    <m/>
    <m/>
    <m/>
    <m/>
    <m/>
    <n v="19309"/>
    <n v="210145"/>
    <n v="250984"/>
    <n v="783529"/>
    <n v="1142372"/>
    <n v="1142372"/>
    <n v="358843"/>
    <n v="0.45798304848959004"/>
  </r>
  <r>
    <x v="1"/>
    <x v="0"/>
    <x v="22"/>
    <s v="Olive Game Development Team"/>
    <s v="OVERHEAD/OTHERS"/>
    <n v="101465"/>
    <s v="I100099999"/>
    <s v="aws-olivetreewebsite-project@olivetreegames.com(429851271053)"/>
    <s v="이지운"/>
    <s v="이지운"/>
    <s v="v"/>
    <m/>
    <m/>
    <m/>
    <m/>
    <m/>
    <m/>
    <m/>
    <m/>
    <m/>
    <m/>
    <n v="12927"/>
    <n v="18984"/>
    <n v="18984"/>
    <n v="6057"/>
    <n v="0.46855418890693895"/>
  </r>
  <r>
    <x v="1"/>
    <x v="0"/>
    <x v="23"/>
    <s v="OCL GW Server Team"/>
    <s v="GW"/>
    <n v="100212"/>
    <e v="#N/A"/>
    <s v="aws-omni-gw-project@krafton.com(023182678822)"/>
    <s v="강동혁"/>
    <s v="강동혁"/>
    <s v="v"/>
    <m/>
    <m/>
    <m/>
    <m/>
    <n v="808"/>
    <n v="14506"/>
    <n v="16318"/>
    <n v="12535"/>
    <n v="13166"/>
    <n v="13112"/>
    <n v="11112"/>
    <n v="13060"/>
    <n v="13060"/>
    <n v="1948"/>
    <n v="0.17530597552195826"/>
  </r>
  <r>
    <x v="1"/>
    <x v="6"/>
    <x v="12"/>
    <s v="OVDR Platform Engineering Dept"/>
    <n v="0"/>
    <n v="100774"/>
    <e v="#N/A"/>
    <s v="aws-ovdr-sandbox@krafton.com(650251727998)"/>
    <n v="0"/>
    <s v="이제우"/>
    <m/>
    <n v="5823"/>
    <n v="6573"/>
    <n v="14392"/>
    <n v="6229"/>
    <n v="27400"/>
    <n v="20064"/>
    <n v="10951"/>
    <n v="10492"/>
    <n v="9156"/>
    <n v="11221"/>
    <n v="9661"/>
    <n v="8402"/>
    <n v="8402"/>
    <n v="-1259"/>
    <n v="-0.13031777248732015"/>
  </r>
  <r>
    <x v="1"/>
    <x v="0"/>
    <x v="2"/>
    <s v="PUBG Marketing Team 1"/>
    <s v="BLACK BUDGET"/>
    <n v="100037"/>
    <s v="I100099999"/>
    <s v="aws-pbb-ses@pubg.com(698135531667)"/>
    <s v="유해찬"/>
    <s v="유해찬"/>
    <m/>
    <m/>
    <m/>
    <m/>
    <m/>
    <m/>
    <m/>
    <m/>
    <n v="18566"/>
    <n v="8879"/>
    <n v="14239"/>
    <n v="12193"/>
    <n v="4666"/>
    <n v="4666"/>
    <n v="-7527"/>
    <n v="-0.61732141392602313"/>
  </r>
  <r>
    <x v="1"/>
    <x v="2"/>
    <x v="6"/>
    <s v="AI Research Center"/>
    <s v="OVERHEAD/OTHERS"/>
    <e v="#N/A"/>
    <e v="#N/A"/>
    <s v="aws-physical-ai-project@krafton.com(636812143498)"/>
    <s v="이영도"/>
    <s v="이영도"/>
    <m/>
    <m/>
    <m/>
    <n v="242092"/>
    <n v="397985"/>
    <n v="146075"/>
    <n v="143845"/>
    <n v="147807"/>
    <n v="151770"/>
    <n v="148401"/>
    <n v="149410"/>
    <n v="144387"/>
    <n v="173764"/>
    <n v="173764"/>
    <n v="29377"/>
    <n v="0.2034601453039401"/>
  </r>
  <r>
    <x v="1"/>
    <x v="0"/>
    <x v="0"/>
    <s v="GPSI Team"/>
    <s v="OVERHEAD/OTHERS"/>
    <n v="101465"/>
    <s v="I100099999"/>
    <s v="aws-playtest-project@krafton.com(898940391531)"/>
    <s v="이채영"/>
    <s v="이채영"/>
    <m/>
    <m/>
    <m/>
    <m/>
    <m/>
    <m/>
    <m/>
    <m/>
    <m/>
    <m/>
    <n v="11752"/>
    <n v="3824"/>
    <n v="7922"/>
    <n v="7922"/>
    <n v="4098"/>
    <n v="1.0716527196652719"/>
  </r>
  <r>
    <x v="1"/>
    <x v="0"/>
    <x v="0"/>
    <s v="Publishing Platform Div."/>
    <s v="GPP"/>
    <e v="#N/A"/>
    <e v="#N/A"/>
    <s v="aws-ppd-ai@krafton.com(831635639393)"/>
    <s v="김시훈"/>
    <s v="김시훈"/>
    <s v="v"/>
    <m/>
    <m/>
    <m/>
    <m/>
    <m/>
    <m/>
    <m/>
    <m/>
    <m/>
    <n v="45112"/>
    <n v="948054"/>
    <n v="869213"/>
    <n v="869213"/>
    <n v="-78841"/>
    <n v="-8.3160874802490153E-2"/>
  </r>
  <r>
    <x v="1"/>
    <x v="0"/>
    <x v="0"/>
    <s v="Publishing Platform PM Dept."/>
    <s v="GPP"/>
    <n v="101315"/>
    <s v="I100090817"/>
    <s v="aws-ppm-project@krafton.com(619042035740)"/>
    <s v="서강석"/>
    <s v="서강석"/>
    <s v="v"/>
    <m/>
    <m/>
    <m/>
    <m/>
    <m/>
    <m/>
    <m/>
    <m/>
    <m/>
    <m/>
    <n v="110982"/>
    <n v="282067"/>
    <n v="282067"/>
    <n v="171085"/>
    <n v="1.541556288407129"/>
  </r>
  <r>
    <x v="1"/>
    <x v="0"/>
    <x v="24"/>
    <s v="ORN Game Design &amp; Production Team"/>
    <s v="Project Orion"/>
    <e v="#N/A"/>
    <s v="P100010146"/>
    <s v="aws-project-orion@krafton.com(691210492244)"/>
    <s v="김영제"/>
    <s v="김영제"/>
    <s v="v"/>
    <m/>
    <m/>
    <m/>
    <m/>
    <m/>
    <m/>
    <m/>
    <m/>
    <m/>
    <n v="370274"/>
    <n v="1789499"/>
    <n v="1348023"/>
    <n v="1348023"/>
    <n v="-441476"/>
    <n v="-0.24670368633902562"/>
  </r>
  <r>
    <x v="1"/>
    <x v="0"/>
    <x v="0"/>
    <s v="Player Support Team"/>
    <s v="OVERHEAD/OTHERS"/>
    <n v="101721"/>
    <s v="P100010066"/>
    <s v="aws-ps-project@krafton.com(072152843459)"/>
    <s v="최병욱"/>
    <s v="최병욱"/>
    <s v="v"/>
    <m/>
    <m/>
    <n v="6795"/>
    <n v="2306"/>
    <n v="719896"/>
    <n v="2405786"/>
    <n v="1280932"/>
    <n v="327253"/>
    <n v="493898"/>
    <n v="639720"/>
    <n v="531238"/>
    <n v="708485"/>
    <n v="708485"/>
    <n v="177247"/>
    <n v="0.33364894830565583"/>
  </r>
  <r>
    <x v="1"/>
    <x v="0"/>
    <x v="2"/>
    <s v="Translation Team 2"/>
    <s v="OVERHEAD/OTHERS"/>
    <n v="100212"/>
    <s v="I100099999"/>
    <s v="aws-pstd-cloud@pubg.com(700388609892)"/>
    <s v="이경호"/>
    <s v="이경호"/>
    <s v="v"/>
    <m/>
    <m/>
    <m/>
    <m/>
    <m/>
    <m/>
    <m/>
    <m/>
    <n v="13391"/>
    <n v="6138"/>
    <n v="18239"/>
    <n v="26826"/>
    <n v="26826"/>
    <n v="8587"/>
    <n v="0.4708043204123033"/>
  </r>
  <r>
    <x v="1"/>
    <x v="0"/>
    <x v="2"/>
    <s v="Game Security Engineering Dept."/>
    <s v="PUBG 2.0"/>
    <n v="100414"/>
    <s v="P100030014"/>
    <s v="aws-pubg-ad-ml-project@pubg.com(495599767820)"/>
    <s v="박종민"/>
    <s v="박종민"/>
    <m/>
    <n v="34603"/>
    <n v="35794"/>
    <n v="43351"/>
    <n v="43463"/>
    <n v="59076"/>
    <n v="63778"/>
    <n v="25226"/>
    <n v="24644"/>
    <n v="28469"/>
    <n v="44045"/>
    <n v="44879"/>
    <n v="45251"/>
    <n v="45251"/>
    <n v="372"/>
    <n v="8.2889547449809496E-3"/>
  </r>
  <r>
    <x v="1"/>
    <x v="0"/>
    <x v="2"/>
    <s v="MS DevOps Team"/>
    <s v="OVERHEAD/OTHERS"/>
    <n v="400030"/>
    <e v="#N/A"/>
    <s v="aws-pubg-arc-dev-01@pubg.com(915848750654)"/>
    <s v="이민기"/>
    <s v="최보성"/>
    <s v="v"/>
    <m/>
    <m/>
    <n v="8364"/>
    <n v="2179133"/>
    <n v="3148632"/>
    <n v="2073595"/>
    <n v="2387489"/>
    <n v="3491666"/>
    <n v="9158234"/>
    <n v="11483484"/>
    <n v="7074010"/>
    <n v="5855349"/>
    <n v="5855349"/>
    <n v="-1218661"/>
    <n v="-0.17227301064035816"/>
  </r>
  <r>
    <x v="1"/>
    <x v="0"/>
    <x v="2"/>
    <s v="MS DevOps Team"/>
    <s v="OVERHEAD/OTHERS"/>
    <n v="100424"/>
    <s v="I100099999"/>
    <s v="aws-pubg-arc-manager@pubg.com(914194815949)"/>
    <s v="천궁원"/>
    <s v="최보성"/>
    <s v="v"/>
    <m/>
    <n v="2629"/>
    <n v="12687"/>
    <n v="153133"/>
    <n v="1931348"/>
    <n v="1015628"/>
    <n v="1051189"/>
    <n v="1004162"/>
    <n v="1757269"/>
    <n v="2648792"/>
    <n v="3648860"/>
    <n v="3655654"/>
    <n v="3655654"/>
    <n v="6794"/>
    <n v="1.8619514040001536E-3"/>
  </r>
  <r>
    <x v="1"/>
    <x v="0"/>
    <x v="2"/>
    <s v="MS DevOps Team"/>
    <s v="Arc_PC"/>
    <n v="150107"/>
    <s v="P100020081"/>
    <s v="aws-pubg-arc-prod-01@krafton.com(038715113116)"/>
    <s v="이민기"/>
    <s v="이민기"/>
    <s v="v"/>
    <m/>
    <m/>
    <m/>
    <m/>
    <m/>
    <m/>
    <m/>
    <m/>
    <m/>
    <n v="10391066"/>
    <n v="28782929"/>
    <n v="25601721"/>
    <n v="25601721"/>
    <n v="-3181208"/>
    <n v="-0.11052412351779765"/>
  </r>
  <r>
    <x v="1"/>
    <x v="0"/>
    <x v="2"/>
    <s v="MS DevOps Team"/>
    <s v="OVERHEAD/OTHERS"/>
    <n v="101505"/>
    <s v="I100099999"/>
    <s v="aws-pubg-arc-stg-01@pubg.com(629649838776)"/>
    <s v="천궁원"/>
    <s v="최보성"/>
    <s v="v"/>
    <n v="1144"/>
    <n v="3080"/>
    <n v="13352"/>
    <n v="5945"/>
    <n v="12206"/>
    <n v="9773"/>
    <n v="10272"/>
    <n v="10926"/>
    <n v="9838"/>
    <n v="8025937"/>
    <n v="10499812"/>
    <n v="11074163"/>
    <n v="11074163"/>
    <n v="574351"/>
    <n v="5.4701074647812743E-2"/>
  </r>
  <r>
    <x v="1"/>
    <x v="0"/>
    <x v="2"/>
    <s v="Adrenaline Rush Lab Unit"/>
    <s v="OVERHEAD/OTHERS"/>
    <n v="105019"/>
    <s v="I100099999"/>
    <s v="aws-pubg-c3-dev-01@pubg.com(747273371327)"/>
    <s v="이민기"/>
    <s v="Delete"/>
    <s v="v"/>
    <m/>
    <m/>
    <n v="7597"/>
    <n v="1246"/>
    <n v="11253"/>
    <n v="8580"/>
    <n v="9106"/>
    <n v="9891"/>
    <n v="9693"/>
    <n v="11759"/>
    <n v="10028"/>
    <n v="3786"/>
    <n v="3786"/>
    <n v="-6242"/>
    <n v="-0.62245712006382126"/>
  </r>
  <r>
    <x v="1"/>
    <x v="0"/>
    <x v="2"/>
    <s v="Adrenaline Rush Lab Unit"/>
    <s v="OVERHEAD/OTHERS"/>
    <n v="101323"/>
    <s v="I100099999"/>
    <s v="aws-pubg-c3-manager@pubg.com(334143579308)"/>
    <s v="천궁원"/>
    <s v="Delete"/>
    <s v="v"/>
    <m/>
    <n v="2272"/>
    <n v="12277"/>
    <n v="57418"/>
    <n v="516365"/>
    <n v="740922"/>
    <n v="759211"/>
    <n v="939650"/>
    <n v="1306065"/>
    <n v="944945"/>
    <n v="534149"/>
    <n v="119915"/>
    <n v="119915"/>
    <n v="-414234"/>
    <n v="-0.77550271553442951"/>
  </r>
  <r>
    <x v="1"/>
    <x v="0"/>
    <x v="2"/>
    <s v="Adrenaline Rush Lab Unit"/>
    <s v="OVERHEAD/OTHERS"/>
    <n v="100774"/>
    <s v="I100099999"/>
    <s v="aws-pubg-c3-project@krafton.com(879381264705)"/>
    <s v="이민기"/>
    <s v="Delete"/>
    <s v="v"/>
    <n v="1753388"/>
    <n v="2690005"/>
    <n v="2726179"/>
    <n v="3352465"/>
    <n v="4295867"/>
    <n v="6119366"/>
    <n v="8442854"/>
    <n v="11250617"/>
    <n v="15876493"/>
    <n v="13780400"/>
    <n v="8447415"/>
    <n v="1966066"/>
    <n v="1966066"/>
    <n v="-6481349"/>
    <n v="-0.76725826776593786"/>
  </r>
  <r>
    <x v="1"/>
    <x v="0"/>
    <x v="2"/>
    <s v="Adrenaline Rush Lab Unit"/>
    <s v="OVERHEAD/OTHERS"/>
    <n v="101269"/>
    <s v="P100030103"/>
    <s v="aws-pubg-c3-stg-01@pubg.com(631069189736)"/>
    <s v="천궁원"/>
    <s v="Delete"/>
    <s v="v"/>
    <n v="1121"/>
    <n v="2732"/>
    <n v="12875"/>
    <n v="5807"/>
    <n v="10844"/>
    <n v="8419"/>
    <n v="8841"/>
    <n v="9560"/>
    <n v="9333"/>
    <n v="11430"/>
    <n v="9802"/>
    <n v="3647"/>
    <n v="3647"/>
    <n v="-6155"/>
    <n v="-0.62793307488267702"/>
  </r>
  <r>
    <x v="1"/>
    <x v="0"/>
    <x v="2"/>
    <s v="MS DevOps Team"/>
    <s v="OVERHEAD/OTHERS"/>
    <n v="101315"/>
    <s v="I100090817"/>
    <s v="aws-pubg-majesta-stg-01@pubg.com(842517499550)"/>
    <s v="천궁원"/>
    <s v="배시은"/>
    <s v="v"/>
    <n v="1121"/>
    <n v="2729"/>
    <n v="13443"/>
    <n v="5929"/>
    <n v="11187"/>
    <n v="8609"/>
    <n v="9016"/>
    <n v="9783"/>
    <n v="8730"/>
    <n v="10685"/>
    <n v="9295"/>
    <n v="7912"/>
    <n v="7912"/>
    <n v="-1383"/>
    <n v="-0.14878967186659495"/>
  </r>
  <r>
    <x v="1"/>
    <x v="0"/>
    <x v="2"/>
    <s v="IT Cost Engineering Part"/>
    <s v="BATTLEGROUNDS_MOBILE"/>
    <n v="101747"/>
    <s v="I100099999"/>
    <s v="aws-pubg-mobile-global@pubg.com(889174276570)"/>
    <s v="심재한"/>
    <s v="심재한"/>
    <m/>
    <m/>
    <m/>
    <m/>
    <n v="14139"/>
    <n v="33528"/>
    <n v="14781"/>
    <n v="9880"/>
    <n v="10606"/>
    <n v="9597"/>
    <n v="11566"/>
    <n v="2186718"/>
    <n v="84530"/>
    <n v="84530"/>
    <n v="-2102188"/>
    <n v="-0.96134389528050712"/>
  </r>
  <r>
    <x v="1"/>
    <x v="0"/>
    <x v="2"/>
    <s v="PalM Unit"/>
    <s v="OVERHEAD/OTHERS"/>
    <e v="#N/A"/>
    <e v="#N/A"/>
    <s v="aws-pubg-np-project@krafton.com(273354649925)"/>
    <s v="천궁원"/>
    <s v="이민기"/>
    <s v="v"/>
    <n v="4119037"/>
    <n v="4199974"/>
    <n v="7050561"/>
    <n v="9407340"/>
    <n v="10077469"/>
    <n v="22315434"/>
    <n v="51770159"/>
    <n v="54319492"/>
    <n v="34118003"/>
    <n v="17664118"/>
    <n v="14840340"/>
    <n v="18804084"/>
    <n v="18804084"/>
    <n v="3963744"/>
    <n v="0.2670925329204048"/>
  </r>
  <r>
    <x v="1"/>
    <x v="0"/>
    <x v="2"/>
    <s v="PUBG PC&amp;Console Dev Div."/>
    <s v="BATTLEGROUNDS_PC/CONSOLE"/>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r>
  <r>
    <x v="1"/>
    <x v="0"/>
    <x v="2"/>
    <s v="PalM Unit"/>
    <s v="OVERHEAD/OTHERS"/>
    <n v="100774"/>
    <s v="I100099999"/>
    <s v="aws-pubg-palm-dev-01@pubg.com(214198970949)"/>
    <s v="이민기"/>
    <s v="이민기"/>
    <s v="v"/>
    <m/>
    <m/>
    <n v="7622"/>
    <n v="1324"/>
    <n v="280202"/>
    <n v="1699803"/>
    <n v="1952037"/>
    <n v="1075146"/>
    <n v="37716"/>
    <n v="38026"/>
    <n v="35579"/>
    <n v="1009298"/>
    <n v="1009298"/>
    <n v="973719"/>
    <n v="27.367801231063268"/>
  </r>
  <r>
    <x v="1"/>
    <x v="0"/>
    <x v="2"/>
    <s v="PalM Unit"/>
    <s v="OVERHEAD/OTHERS"/>
    <e v="#N/A"/>
    <e v="#N/A"/>
    <s v="aws-pubg-palm-manager@pubg.com(568619625254)"/>
    <s v="천궁원"/>
    <s v="이민기"/>
    <s v="v"/>
    <m/>
    <n v="4699"/>
    <n v="591628"/>
    <n v="926853"/>
    <n v="1068993"/>
    <n v="1687907"/>
    <n v="2716587"/>
    <n v="2923758"/>
    <n v="2317672"/>
    <n v="1766080"/>
    <n v="1729355"/>
    <n v="2543752"/>
    <n v="2543752"/>
    <n v="814397"/>
    <n v="0.4709252871735416"/>
  </r>
  <r>
    <x v="1"/>
    <x v="0"/>
    <x v="2"/>
    <s v="PalM Unit"/>
    <s v="OVERHEAD/OTHERS"/>
    <e v="#N/A"/>
    <e v="#N/A"/>
    <s v="aws-pubg-palm-stg-01@pubg.com(350755724755)"/>
    <s v="천궁원"/>
    <s v="이민기"/>
    <s v="v"/>
    <n v="1480"/>
    <n v="17697"/>
    <n v="14589"/>
    <n v="6018"/>
    <n v="12256"/>
    <n v="9754"/>
    <n v="10218"/>
    <n v="10980"/>
    <n v="9901"/>
    <n v="12135"/>
    <n v="10267"/>
    <n v="9026"/>
    <n v="9026"/>
    <n v="-1241"/>
    <n v="-0.12087269893834615"/>
  </r>
  <r>
    <x v="1"/>
    <x v="0"/>
    <x v="2"/>
    <s v="KRAFTON HQ"/>
    <s v="OVERHEAD/OTHERS"/>
    <e v="#N/A"/>
    <e v="#N/A"/>
    <s v="aws-pubg-qdev@pubg.com(442897381348)"/>
    <s v="김승훈"/>
    <s v="김승훈"/>
    <m/>
    <m/>
    <m/>
    <m/>
    <n v="10892"/>
    <n v="12297"/>
    <n v="8289"/>
    <n v="9024"/>
    <n v="9770"/>
    <n v="8711"/>
    <n v="10786"/>
    <n v="9145"/>
    <n v="7961"/>
    <n v="7961"/>
    <n v="-1184"/>
    <n v="-0.12946965554948059"/>
  </r>
  <r>
    <x v="1"/>
    <x v="0"/>
    <x v="2"/>
    <s v="MS DevOps Team"/>
    <s v="UROPA_mobile"/>
    <n v="101451"/>
    <s v="I100099999"/>
    <s v="aws-pubg-uropa-dev-01@pubg.com(854575156645)"/>
    <s v="천궁원"/>
    <s v="최보성"/>
    <s v="v"/>
    <m/>
    <m/>
    <n v="8135"/>
    <n v="1286"/>
    <n v="11236"/>
    <n v="8509"/>
    <n v="8972"/>
    <n v="9788"/>
    <n v="3953283"/>
    <n v="8174320"/>
    <n v="5856517"/>
    <n v="9139132"/>
    <n v="9139132"/>
    <n v="3282615"/>
    <n v="0.56050635556935979"/>
  </r>
  <r>
    <x v="1"/>
    <x v="0"/>
    <x v="2"/>
    <s v="MS DevOps Team"/>
    <s v="OVERHEAD/OTHERS"/>
    <n v="101940"/>
    <s v="I100099999"/>
    <s v="aws-pubg-uropa-manager@pubg.com(039287067346)"/>
    <s v="천궁원"/>
    <s v="최보성"/>
    <s v="v"/>
    <m/>
    <n v="2259"/>
    <n v="12304"/>
    <n v="122007"/>
    <n v="1861555"/>
    <n v="3909368"/>
    <n v="1495136"/>
    <n v="1116619"/>
    <n v="1708271"/>
    <n v="2543706"/>
    <n v="1798915"/>
    <n v="2837934"/>
    <n v="2837934"/>
    <n v="1039019"/>
    <n v="0.57758093072768868"/>
  </r>
  <r>
    <x v="1"/>
    <x v="0"/>
    <x v="2"/>
    <s v="MS DevOps Team"/>
    <s v="UROPA_mobile"/>
    <n v="100009"/>
    <s v="I100099999"/>
    <s v="aws-pubg-uropa-prod-01@krafton.com(006805626322)"/>
    <s v="이민기"/>
    <s v="이민기"/>
    <s v="v"/>
    <m/>
    <m/>
    <m/>
    <m/>
    <m/>
    <m/>
    <m/>
    <m/>
    <m/>
    <n v="12173"/>
    <n v="3593"/>
    <n v="9324"/>
    <n v="9324"/>
    <n v="5731"/>
    <n v="1.595045922627331"/>
  </r>
  <r>
    <x v="1"/>
    <x v="0"/>
    <x v="2"/>
    <s v="MS DevOps Team"/>
    <s v="OVERHEAD/OTHERS"/>
    <n v="101269"/>
    <s v="I100099999"/>
    <s v="aws-pubg-uropa-stg-01@pubg.com(473833401781)"/>
    <s v="천궁원"/>
    <s v="최보성"/>
    <s v="v"/>
    <n v="1121"/>
    <n v="2728"/>
    <n v="13448"/>
    <n v="5891"/>
    <n v="11328"/>
    <n v="8822"/>
    <n v="9210"/>
    <n v="9988"/>
    <n v="9762"/>
    <n v="4179170"/>
    <n v="1468613"/>
    <n v="3395607"/>
    <n v="3395607"/>
    <n v="1926994"/>
    <n v="1.3121183048223051"/>
  </r>
  <r>
    <x v="1"/>
    <x v="0"/>
    <x v="2"/>
    <s v="PUBG PC&amp;Console Dev Div."/>
    <s v="BATTLEGROUNDS_PC/CONSOLE"/>
    <n v="100414"/>
    <s v="P100010012"/>
    <s v="aws-pubgstudios-central@pubg.com(038462770692)"/>
    <s v="김정헌"/>
    <s v="최준석"/>
    <m/>
    <n v="5436"/>
    <n v="6212"/>
    <n v="295985"/>
    <n v="1515575"/>
    <n v="1859655"/>
    <n v="3920082"/>
    <n v="5254058"/>
    <n v="7813616"/>
    <n v="9213329"/>
    <n v="7988074"/>
    <n v="7646568"/>
    <n v="11042279"/>
    <n v="11042279"/>
    <n v="3395711"/>
    <n v="0.44408301868236832"/>
  </r>
  <r>
    <x v="1"/>
    <x v="0"/>
    <x v="2"/>
    <s v="Translation Team 2"/>
    <s v="OVERHEAD/OTHERS"/>
    <n v="100037"/>
    <s v="I100099999"/>
    <s v="aws-pubgtd-automation@bluehole.net(229951847377)"/>
    <s v="이경호"/>
    <s v="Delete"/>
    <s v="v"/>
    <n v="5428"/>
    <n v="6175"/>
    <n v="13978"/>
    <n v="5923"/>
    <n v="3198"/>
    <m/>
    <m/>
    <m/>
    <n v="0"/>
    <n v="0"/>
    <n v="0"/>
    <n v="0"/>
    <m/>
    <n v="0"/>
    <s v=""/>
  </r>
  <r>
    <x v="1"/>
    <x v="0"/>
    <x v="0"/>
    <s v="Publishing QA Team 1"/>
    <s v="OVERHEAD/OTHERS"/>
    <n v="290008"/>
    <s v="I100099999"/>
    <s v="aws-publishing-qa@krfaton.com(512692426877)"/>
    <s v="양준식"/>
    <s v="양준식"/>
    <s v="v"/>
    <m/>
    <m/>
    <m/>
    <m/>
    <m/>
    <m/>
    <m/>
    <m/>
    <n v="24690"/>
    <n v="31421"/>
    <n v="43355"/>
    <n v="98001"/>
    <n v="98001"/>
    <n v="54646"/>
    <n v="1.2604313228001385"/>
  </r>
  <r>
    <x v="1"/>
    <x v="0"/>
    <x v="0"/>
    <s v="Platform Management Team"/>
    <s v="OVERHEAD/OTHERS"/>
    <e v="#N/A"/>
    <e v="#N/A"/>
    <s v="aws-qa-project@krafton.com(500294430830)"/>
    <s v="김수진"/>
    <s v="김수진"/>
    <m/>
    <m/>
    <m/>
    <m/>
    <m/>
    <m/>
    <n v="0"/>
    <n v="2548"/>
    <n v="21744"/>
    <n v="8603"/>
    <n v="10483"/>
    <n v="8969"/>
    <n v="7718"/>
    <n v="7718"/>
    <n v="-1251"/>
    <n v="-0.13948043260118184"/>
  </r>
  <r>
    <x v="1"/>
    <x v="0"/>
    <x v="0"/>
    <s v="Publishing Tech PM Part"/>
    <s v="PalM"/>
    <n v="100561"/>
    <s v="P100010013"/>
    <s v="aws-R3india-stg@krafton.com(571600873674)"/>
    <s v="김정언"/>
    <s v="김정언"/>
    <s v="v"/>
    <n v="597463"/>
    <n v="342858"/>
    <n v="343282"/>
    <n v="251313"/>
    <n v="610024"/>
    <n v="2430250"/>
    <n v="369036"/>
    <n v="347690"/>
    <n v="454752"/>
    <n v="406290"/>
    <n v="280704"/>
    <n v="310181"/>
    <n v="310181"/>
    <n v="29477"/>
    <n v="0.1050109724122207"/>
  </r>
  <r>
    <x v="1"/>
    <x v="0"/>
    <x v="0"/>
    <s v="AI Applied Research Dept."/>
    <s v="DEEP LEARNING"/>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r>
  <r>
    <x v="1"/>
    <x v="3"/>
    <x v="7"/>
    <s v="TechSupport"/>
    <s v="ProjectA"/>
    <e v="#N/A"/>
    <e v="#N/A"/>
    <s v="aws-rw-projectA@risingwings.com(905020613622)"/>
    <s v="ProjectA"/>
    <s v="허지웅"/>
    <m/>
    <m/>
    <m/>
    <m/>
    <m/>
    <n v="59656"/>
    <n v="193748"/>
    <n v="248412"/>
    <n v="248954"/>
    <n v="244703"/>
    <n v="183479"/>
    <n v="0"/>
    <n v="0"/>
    <m/>
    <n v="0"/>
    <s v=""/>
  </r>
  <r>
    <x v="1"/>
    <x v="3"/>
    <x v="7"/>
    <s v="TechSupport"/>
    <n v="0"/>
    <e v="#N/A"/>
    <e v="#N/A"/>
    <s v="aws-rw-projectAegis@risingwings.com(035462351032)"/>
    <n v="0"/>
    <s v="허지웅"/>
    <m/>
    <m/>
    <m/>
    <m/>
    <m/>
    <m/>
    <n v="0"/>
    <n v="474239"/>
    <n v="879255"/>
    <n v="990756"/>
    <n v="1745791"/>
    <n v="1478207"/>
    <n v="1836045"/>
    <n v="1836045"/>
    <n v="357838"/>
    <n v="0.24207570387638538"/>
  </r>
  <r>
    <x v="1"/>
    <x v="3"/>
    <x v="7"/>
    <s v="RW Tech Support Dept."/>
    <s v="RW-ProjectEL"/>
    <e v="#N/A"/>
    <e v="#N/A"/>
    <s v="aws-rw-projectel@bluehole.net(637423166880)"/>
    <s v="RW-ProjectEL"/>
    <s v="허지웅"/>
    <m/>
    <n v="4523868"/>
    <n v="2664221"/>
    <n v="3039734"/>
    <n v="3181496"/>
    <n v="5064425"/>
    <n v="3155203"/>
    <n v="2549114"/>
    <n v="505336"/>
    <n v="957591"/>
    <n v="928606"/>
    <n v="832256"/>
    <n v="681422"/>
    <n v="681422"/>
    <n v="-150834"/>
    <n v="-0.1812351007382344"/>
  </r>
  <r>
    <x v="1"/>
    <x v="0"/>
    <x v="0"/>
    <s v="Security Dept."/>
    <s v="OVERHEAD/OTHERS"/>
    <n v="110024"/>
    <s v="P100020001"/>
    <s v="aws-security-policy-dac-prod@krafton.com(554000693744)"/>
    <s v="홍석범"/>
    <s v="홍석범"/>
    <s v="v"/>
    <m/>
    <m/>
    <m/>
    <m/>
    <n v="10718"/>
    <n v="42846"/>
    <n v="341953"/>
    <n v="1105908"/>
    <n v="5897440"/>
    <n v="7615001"/>
    <n v="6390473"/>
    <n v="7843561"/>
    <n v="7843561"/>
    <n v="1453088"/>
    <n v="0.22738348162960706"/>
  </r>
  <r>
    <x v="1"/>
    <x v="0"/>
    <x v="0"/>
    <s v="Security Policy Part"/>
    <s v="OVERHEAD/OTHERS"/>
    <n v="101758"/>
    <s v="I100099999"/>
    <s v="aws-security-policy-test@krafton.com(604325177752)"/>
    <s v="조남원"/>
    <s v="조남원"/>
    <s v="v"/>
    <m/>
    <m/>
    <m/>
    <m/>
    <m/>
    <m/>
    <m/>
    <n v="13078"/>
    <n v="14670"/>
    <n v="16856"/>
    <n v="13249"/>
    <n v="46805"/>
    <n v="46805"/>
    <n v="33556"/>
    <n v="2.532719450524568"/>
  </r>
  <r>
    <x v="1"/>
    <x v="0"/>
    <x v="0"/>
    <s v="Publishing Tech PM Part"/>
    <s v="OVERHEAD/OTHERS"/>
    <n v="100415"/>
    <s v="P100010012"/>
    <s v="aws-sed-ptpm@krafton.com(792479605411)"/>
    <s v="김정언"/>
    <s v="김정언"/>
    <s v="v"/>
    <m/>
    <m/>
    <n v="4955"/>
    <n v="614502"/>
    <n v="764256"/>
    <n v="160018"/>
    <n v="436864"/>
    <n v="426021"/>
    <n v="459070"/>
    <n v="461824"/>
    <n v="400797"/>
    <n v="472335"/>
    <n v="472335"/>
    <n v="71538"/>
    <n v="0.17848935995029902"/>
  </r>
  <r>
    <x v="1"/>
    <x v="0"/>
    <x v="0"/>
    <s v="DevData Engineering Team"/>
    <s v="OVERHEAD/OTHERS"/>
    <n v="101216"/>
    <s v="I100090817"/>
    <s v="aws-service-close@krafton.com(786684642177)"/>
    <s v="안연주"/>
    <s v="안연주"/>
    <s v="v"/>
    <m/>
    <m/>
    <m/>
    <m/>
    <n v="12557"/>
    <n v="488220"/>
    <n v="982437"/>
    <n v="306400"/>
    <n v="304473"/>
    <n v="304754"/>
    <n v="285358"/>
    <n v="462723"/>
    <n v="462723"/>
    <n v="177365"/>
    <n v="0.6215525760623497"/>
  </r>
  <r>
    <x v="1"/>
    <x v="0"/>
    <x v="0"/>
    <s v="DevData Engineering Team"/>
    <s v="SUBNAUTICA 2"/>
    <n v="102159"/>
    <s v="I100090817"/>
    <s v="aws-sn2-prod@krafton.com(811725779888)"/>
    <s v="안연주"/>
    <s v="안연주"/>
    <s v="v"/>
    <m/>
    <m/>
    <n v="1161331"/>
    <n v="206336"/>
    <n v="66413"/>
    <n v="99507"/>
    <n v="1049075"/>
    <n v="1018354"/>
    <n v="1056585"/>
    <n v="965739"/>
    <n v="1006846"/>
    <n v="5549136"/>
    <n v="5549136"/>
    <n v="4542290"/>
    <n v="4.5114049219046413"/>
  </r>
  <r>
    <x v="1"/>
    <x v="0"/>
    <x v="0"/>
    <s v="DevData Engineering Team"/>
    <s v="SUBNAUTICA 2"/>
    <e v="#N/A"/>
    <e v="#N/A"/>
    <s v="aws-sn2-qa@krafton.com(230030983947)"/>
    <s v="안연주"/>
    <s v="안연주"/>
    <s v="v"/>
    <n v="147594"/>
    <n v="1980166"/>
    <n v="5332782"/>
    <n v="4768448"/>
    <n v="23577"/>
    <n v="135957"/>
    <n v="3112919"/>
    <n v="4384740"/>
    <n v="4705714"/>
    <n v="4495378"/>
    <n v="4766146"/>
    <n v="5212521"/>
    <n v="5212521"/>
    <n v="446375"/>
    <n v="9.3655334939382884E-2"/>
  </r>
  <r>
    <x v="1"/>
    <x v="0"/>
    <x v="25"/>
    <s v="IN Platform Business Team"/>
    <s v="OVERHEAD/OTHERS"/>
    <n v="110119"/>
    <s v="I100099999"/>
    <s v="aws-swagapp@nautilusmbile.com(259546193919)"/>
    <s v="Amit Hardi"/>
    <s v="Amit Hardi"/>
    <m/>
    <m/>
    <m/>
    <m/>
    <m/>
    <m/>
    <m/>
    <m/>
    <m/>
    <m/>
    <n v="13362"/>
    <n v="1435706"/>
    <n v="4175979"/>
    <n v="4175979"/>
    <n v="2740273"/>
    <n v="1.9086588758422685"/>
  </r>
  <r>
    <x v="1"/>
    <x v="5"/>
    <x v="9"/>
    <s v="B_TERA2 R&amp;D Team"/>
    <s v="Tera2"/>
    <n v="100415"/>
    <s v="P100030092"/>
    <s v="aws-t2-dev@bluehole.net(349070093074)"/>
    <s v="한승환"/>
    <s v="한승환"/>
    <s v="v"/>
    <m/>
    <m/>
    <m/>
    <m/>
    <m/>
    <n v="7641"/>
    <n v="3605"/>
    <n v="12074"/>
    <n v="11654"/>
    <n v="14033"/>
    <n v="12128"/>
    <n v="10709"/>
    <n v="10709"/>
    <n v="-1419"/>
    <n v="-0.11700197889182058"/>
  </r>
  <r>
    <x v="1"/>
    <x v="0"/>
    <x v="0"/>
    <s v="Talent Acquisition Team"/>
    <s v="OVERHEAD/OTHERS"/>
    <n v="105019"/>
    <s v="I100099999"/>
    <s v="aws-talent-acquisition-team@krafton.com(796973503901)"/>
    <s v="변현지"/>
    <s v="변현지"/>
    <s v="v"/>
    <n v="5459"/>
    <n v="6469"/>
    <n v="14481"/>
    <n v="6505"/>
    <n v="11663"/>
    <n v="9349"/>
    <n v="9284"/>
    <n v="10678"/>
    <n v="11240"/>
    <n v="11565"/>
    <n v="9877"/>
    <n v="16522"/>
    <n v="16522"/>
    <n v="6645"/>
    <n v="0.67277513415004553"/>
  </r>
  <r>
    <x v="1"/>
    <x v="0"/>
    <x v="26"/>
    <s v="TGW IT Team"/>
    <s v="OVERHEAD/OTHERS"/>
    <n v="480004"/>
    <s v="I100099999"/>
    <s v="aws-tango-web@krafton.com(987475141870)"/>
    <s v="안연주"/>
    <s v="안연주"/>
    <s v="v"/>
    <n v="487422"/>
    <n v="859734"/>
    <n v="863859"/>
    <n v="852610"/>
    <n v="859209"/>
    <n v="819580"/>
    <n v="875797"/>
    <n v="865537"/>
    <n v="913051"/>
    <n v="863269"/>
    <n v="766731"/>
    <n v="891036"/>
    <n v="891036"/>
    <n v="124305"/>
    <n v="0.16212335225783228"/>
  </r>
  <r>
    <x v="1"/>
    <x v="0"/>
    <x v="2"/>
    <s v="Game Security Engineering Dept."/>
    <s v="UROPA_mobile"/>
    <n v="100414"/>
    <s v="P100010012"/>
    <s v="aws-uropa-anticheat-service@pubg.com(954976311480)"/>
    <s v="황범석"/>
    <s v="황범석"/>
    <s v="v"/>
    <n v="1612628"/>
    <n v="1602672"/>
    <n v="1549619"/>
    <n v="1640930"/>
    <n v="1628099"/>
    <n v="1633951"/>
    <n v="1803956"/>
    <n v="1787305"/>
    <n v="1812102"/>
    <n v="1750939"/>
    <n v="1488547"/>
    <n v="1719292"/>
    <n v="1719292"/>
    <n v="230745"/>
    <n v="0.15501358035722082"/>
  </r>
  <r>
    <x v="1"/>
    <x v="0"/>
    <x v="0"/>
    <s v="DevData Engineering Team"/>
    <s v="Project Zeta"/>
    <n v="101269"/>
    <s v="I100099999"/>
    <s v="aws-zeta-prod@krafton.com(494249241819)"/>
    <s v="안연주"/>
    <s v="안연주"/>
    <s v="v"/>
    <m/>
    <m/>
    <m/>
    <m/>
    <m/>
    <m/>
    <m/>
    <n v="4639865"/>
    <n v="337367"/>
    <n v="12054752"/>
    <n v="6879192"/>
    <n v="244822"/>
    <n v="244822"/>
    <n v="-6634370"/>
    <n v="-0.96441122736507423"/>
  </r>
  <r>
    <x v="1"/>
    <x v="0"/>
    <x v="0"/>
    <s v="DevData Engineering Team"/>
    <s v="Project Zeta"/>
    <n v="102096"/>
    <s v="I100090801"/>
    <s v="aws-zeta-qa@krafton.com(633350148323)"/>
    <s v="안연주"/>
    <s v="안연주"/>
    <s v="v"/>
    <n v="17954"/>
    <n v="786948"/>
    <n v="2251252"/>
    <n v="2577413"/>
    <n v="3259350"/>
    <n v="5158343"/>
    <n v="5861986"/>
    <n v="6266277"/>
    <n v="6678906"/>
    <n v="4920593"/>
    <n v="7029427"/>
    <n v="265342"/>
    <n v="265342"/>
    <n v="-6764085"/>
    <n v="-0.962252684322634"/>
  </r>
  <r>
    <x v="1"/>
    <x v="0"/>
    <x v="0"/>
    <s v="DevData Engineering Team"/>
    <s v="inZOI"/>
    <e v="#N/A"/>
    <e v="#N/A"/>
    <s v="aws-zoiworld-qa@krafton.com(150239773202)"/>
    <s v="안연주"/>
    <s v="안연주"/>
    <s v="v"/>
    <m/>
    <m/>
    <m/>
    <m/>
    <m/>
    <n v="7070"/>
    <n v="467696"/>
    <n v="1051493"/>
    <n v="1460019"/>
    <n v="2097111"/>
    <n v="2843218"/>
    <n v="1852601"/>
    <n v="1852601"/>
    <n v="-990617"/>
    <n v="-0.34841401538679062"/>
  </r>
  <r>
    <x v="1"/>
    <x v="1"/>
    <x v="3"/>
    <n v="0"/>
    <n v="0"/>
    <n v="100810"/>
    <e v="#N/A"/>
    <s v="aws001@adpies.com(542838461536)"/>
    <n v="0"/>
    <n v="0"/>
    <m/>
    <m/>
    <m/>
    <m/>
    <n v="25769575"/>
    <n v="25881979"/>
    <n v="25130570"/>
    <n v="26520566"/>
    <n v="26418486"/>
    <n v="26691780"/>
    <n v="26474500"/>
    <n v="23873735"/>
    <n v="28311969"/>
    <n v="28311969"/>
    <n v="4438234"/>
    <n v="0.18590446781787601"/>
  </r>
  <r>
    <x v="1"/>
    <x v="1"/>
    <x v="3"/>
    <n v="0"/>
    <n v="0"/>
    <e v="#N/A"/>
    <e v="#N/A"/>
    <s v="aws002@adpies.com(148930221833)"/>
    <n v="0"/>
    <n v="0"/>
    <m/>
    <m/>
    <m/>
    <m/>
    <n v="10195325"/>
    <n v="10254510"/>
    <n v="10229186"/>
    <n v="11118355"/>
    <n v="11159280"/>
    <n v="11306239"/>
    <n v="11186419"/>
    <n v="9463041"/>
    <n v="11145359"/>
    <n v="11145359"/>
    <n v="1682318"/>
    <n v="0.17777773550806766"/>
  </r>
  <r>
    <x v="1"/>
    <x v="1"/>
    <x v="3"/>
    <n v="0"/>
    <n v="0"/>
    <n v="101712"/>
    <e v="#N/A"/>
    <s v="aws003@adpies.com(298972228563)"/>
    <n v="0"/>
    <n v="0"/>
    <m/>
    <m/>
    <m/>
    <m/>
    <n v="900897"/>
    <n v="897076"/>
    <n v="871353"/>
    <n v="944926"/>
    <n v="929427"/>
    <n v="953233"/>
    <n v="892668"/>
    <n v="766961"/>
    <n v="884094"/>
    <n v="884094"/>
    <n v="117133"/>
    <n v="0.15272354135347169"/>
  </r>
  <r>
    <x v="1"/>
    <x v="1"/>
    <x v="3"/>
    <n v="0"/>
    <n v="0"/>
    <e v="#N/A"/>
    <e v="#N/A"/>
    <s v="aws004@adpies.com(637423399295)"/>
    <n v="0"/>
    <n v="0"/>
    <m/>
    <m/>
    <m/>
    <m/>
    <n v="2183253"/>
    <n v="2147822"/>
    <n v="2085562"/>
    <n v="2294815"/>
    <n v="2239185"/>
    <n v="2313401"/>
    <n v="2121487"/>
    <n v="1763184"/>
    <n v="2052137"/>
    <n v="2052137"/>
    <n v="288953"/>
    <n v="0.1638813646221835"/>
  </r>
  <r>
    <x v="1"/>
    <x v="1"/>
    <x v="11"/>
    <n v="0"/>
    <n v="0"/>
    <n v="100024"/>
    <e v="#N/A"/>
    <s v="aws005@adpies.com(959790660922)"/>
    <n v="0"/>
    <n v="0"/>
    <m/>
    <m/>
    <m/>
    <m/>
    <m/>
    <m/>
    <m/>
    <m/>
    <m/>
    <n v="11550"/>
    <n v="155268"/>
    <n v="1090609"/>
    <n v="1371347"/>
    <n v="1371347"/>
    <n v="280738"/>
    <n v="0.25741397696149582"/>
  </r>
  <r>
    <x v="1"/>
    <x v="0"/>
    <x v="2"/>
    <s v="PUBG PC&amp;Console Dev Div."/>
    <s v="BATTLEGROUNDS_PC/CONSOLE"/>
    <n v="100033"/>
    <s v="P100030012"/>
    <s v="BHAWS_BRO@bluehole.net(628917336532)"/>
    <s v="김정헌"/>
    <s v="최준석"/>
    <m/>
    <n v="4712030"/>
    <n v="4236873"/>
    <n v="3820745"/>
    <n v="3966196"/>
    <n v="3967383"/>
    <n v="3654372"/>
    <n v="3388768"/>
    <n v="3490510"/>
    <n v="3399585"/>
    <n v="1398520"/>
    <n v="39932"/>
    <n v="36473"/>
    <n v="36473"/>
    <n v="-3459"/>
    <n v="-8.6622257838325153E-2"/>
  </r>
  <r>
    <x v="1"/>
    <x v="5"/>
    <x v="9"/>
    <s v="[N/A]TERA"/>
    <s v="TERA_CONSOLE"/>
    <n v="101651"/>
    <s v="I100099999"/>
    <s v="bhaws_da@bluehole.net(218248172704)"/>
    <s v="류현덕"/>
    <s v="안영근"/>
    <s v="v"/>
    <n v="3739744"/>
    <n v="3703676"/>
    <n v="3767571"/>
    <n v="4143783"/>
    <n v="4037664"/>
    <n v="4124630"/>
    <n v="5237935"/>
    <n v="4551990"/>
    <n v="5141418"/>
    <n v="4943169"/>
    <n v="4353760"/>
    <n v="5773347"/>
    <n v="5773347"/>
    <n v="1419587"/>
    <n v="0.32606000330748597"/>
  </r>
  <r>
    <x v="1"/>
    <x v="5"/>
    <x v="9"/>
    <s v="[N/A]TERA"/>
    <s v="TERA_CONSOLE"/>
    <n v="101651"/>
    <s v="I100099999"/>
    <s v="bhaws_da2@bluehole.net(456601888123)"/>
    <s v="류현덕"/>
    <s v="안영근"/>
    <s v="v"/>
    <n v="19583"/>
    <n v="19894"/>
    <n v="27562"/>
    <n v="19227"/>
    <n v="25598"/>
    <n v="23403"/>
    <n v="24131"/>
    <n v="25283"/>
    <n v="23664"/>
    <n v="25522"/>
    <n v="23903"/>
    <n v="23416"/>
    <n v="23416"/>
    <n v="-487"/>
    <n v="-2.0374011630339289E-2"/>
  </r>
  <r>
    <x v="1"/>
    <x v="0"/>
    <x v="0"/>
    <s v="DevData Engineering Team"/>
    <s v="OVERHEAD/OTHERS"/>
    <e v="#N/A"/>
    <e v="#N/A"/>
    <s v="Bhaws_dbdev@bluehole.net(581185314323)"/>
    <s v="김완건"/>
    <s v="이재혁"/>
    <s v="v"/>
    <n v="627111"/>
    <n v="623446"/>
    <n v="344218"/>
    <n v="247965"/>
    <n v="402041"/>
    <n v="534168"/>
    <n v="14570"/>
    <n v="396474"/>
    <n v="721916"/>
    <n v="762804"/>
    <n v="221569"/>
    <n v="256172"/>
    <n v="256172"/>
    <n v="34603"/>
    <n v="0.15617256926736142"/>
  </r>
  <r>
    <x v="1"/>
    <x v="0"/>
    <x v="2"/>
    <s v="PUBG PC&amp;Console Dev Div."/>
    <s v="BATTLEGROUNDS_PC/CONSOLE"/>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r>
  <r>
    <x v="1"/>
    <x v="0"/>
    <x v="0"/>
    <s v="IT Dept."/>
    <s v="OVERHEAD/OTHERS"/>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r>
  <r>
    <x v="1"/>
    <x v="0"/>
    <x v="0"/>
    <s v="IT Dept."/>
    <s v="OVERHEAD/OTHERS"/>
    <n v="110024"/>
    <s v="P100020001"/>
    <s v="bhaws_intradev@bluehole.net(052342468408)"/>
    <s v="홍성철"/>
    <s v="홍성철"/>
    <s v="v"/>
    <n v="2702626"/>
    <n v="2413144"/>
    <n v="2724369"/>
    <n v="2925096"/>
    <n v="6160042"/>
    <n v="4229761"/>
    <n v="5251411"/>
    <n v="5990606"/>
    <n v="5768000"/>
    <n v="5953764"/>
    <n v="5534626"/>
    <n v="7839587"/>
    <n v="7839587"/>
    <n v="2304961"/>
    <n v="0.41646192534057402"/>
  </r>
  <r>
    <x v="1"/>
    <x v="0"/>
    <x v="0"/>
    <s v="IT Dept."/>
    <s v="OVERHEAD/OTHERS"/>
    <n v="101721"/>
    <s v="I100099999"/>
    <s v="bhaws_intraprod@krafton.com(851725237643)"/>
    <s v="홍성철"/>
    <s v="홍성철"/>
    <s v="v"/>
    <n v="441472"/>
    <n v="911247"/>
    <n v="3789379"/>
    <n v="7470943"/>
    <n v="20495839"/>
    <n v="6471825"/>
    <n v="7794808"/>
    <n v="7754440"/>
    <n v="7246481"/>
    <n v="8513695"/>
    <n v="7687465"/>
    <n v="9866195"/>
    <n v="9866195"/>
    <n v="2178730"/>
    <n v="0.28341332285740489"/>
  </r>
  <r>
    <x v="1"/>
    <x v="0"/>
    <x v="0"/>
    <s v="IT Dept."/>
    <s v="OVERHEAD/OTHERS"/>
    <n v="100414"/>
    <s v="P100010012"/>
    <s v="bhaws_kissflow@bluehole.net(612237199640)"/>
    <s v="홍성철"/>
    <s v="홍성철"/>
    <s v="v"/>
    <n v="6080"/>
    <n v="6767"/>
    <n v="14914"/>
    <n v="6231"/>
    <n v="14026"/>
    <n v="11604"/>
    <n v="12148"/>
    <n v="12797"/>
    <n v="11344"/>
    <n v="13523"/>
    <n v="11722"/>
    <n v="10100"/>
    <n v="10100"/>
    <n v="-1622"/>
    <n v="-0.13837229141784679"/>
  </r>
  <r>
    <x v="1"/>
    <x v="0"/>
    <x v="0"/>
    <s v="L10N Team"/>
    <s v="OVERHEAD/OTHERS"/>
    <n v="100561"/>
    <s v="P100010013"/>
    <s v="bhaws_l10n@bluehole.net(432820731734)"/>
    <s v="김재헌"/>
    <s v="김진희"/>
    <s v="v"/>
    <n v="2534827"/>
    <n v="2515165"/>
    <n v="3039464"/>
    <n v="3468758"/>
    <n v="3209340"/>
    <n v="3328739"/>
    <n v="3650194"/>
    <n v="3604833"/>
    <n v="3684004"/>
    <n v="3564086"/>
    <n v="3245330"/>
    <n v="4070452"/>
    <n v="4070452"/>
    <n v="825122"/>
    <n v="0.25424902860417892"/>
  </r>
  <r>
    <x v="1"/>
    <x v="3"/>
    <x v="7"/>
    <s v="RW Tech Support Dept."/>
    <n v="0"/>
    <e v="#N/A"/>
    <e v="#N/A"/>
    <s v="Bhaws_pnix.golf@bluehole.net(352332181309)"/>
    <n v="0"/>
    <s v="허지웅"/>
    <m/>
    <n v="7372523"/>
    <n v="6663145"/>
    <n v="6401510"/>
    <n v="7578300"/>
    <n v="6754683"/>
    <n v="6617121"/>
    <n v="7901566"/>
    <n v="7904281"/>
    <n v="7839956"/>
    <n v="7381642"/>
    <n v="6551862"/>
    <n v="7482801"/>
    <n v="7482801"/>
    <n v="930939"/>
    <n v="0.14208769964935158"/>
  </r>
  <r>
    <x v="1"/>
    <x v="3"/>
    <x v="7"/>
    <s v="RW Tech Support Dept."/>
    <s v="Real golf"/>
    <n v="101721"/>
    <e v="#N/A"/>
    <s v="bhaws_pnix.realgolf@bluehole.net(026864049464)"/>
    <s v="Real golf"/>
    <s v="허지웅"/>
    <m/>
    <n v="9730258"/>
    <n v="9049275"/>
    <n v="8776586"/>
    <n v="10325290"/>
    <n v="9887917"/>
    <n v="9291345"/>
    <n v="10548345"/>
    <n v="10361783"/>
    <n v="10420552"/>
    <n v="9598463"/>
    <n v="7570294"/>
    <n v="8685209"/>
    <n v="8685209"/>
    <n v="1114915"/>
    <n v="0.14727499354714627"/>
  </r>
  <r>
    <x v="1"/>
    <x v="3"/>
    <x v="7"/>
    <s v="RW Tech Support Dept."/>
    <n v="0"/>
    <e v="#N/A"/>
    <e v="#N/A"/>
    <s v="Bhaws_pnixgames@bluehole.net(864894785763)"/>
    <n v="0"/>
    <s v="허지웅"/>
    <m/>
    <n v="785182"/>
    <n v="747190"/>
    <n v="883136"/>
    <n v="967776"/>
    <n v="947372"/>
    <n v="1268958"/>
    <n v="1315444"/>
    <n v="1432400"/>
    <n v="1489322"/>
    <n v="1972443"/>
    <n v="1548904"/>
    <n v="1918122"/>
    <n v="1918122"/>
    <n v="369218"/>
    <n v="0.23837371457495107"/>
  </r>
  <r>
    <x v="1"/>
    <x v="0"/>
    <x v="2"/>
    <s v="PUBG PC&amp;Console Dev Div."/>
    <s v="BATTLEGROUNDS_PC/CONSOLE"/>
    <e v="#N/A"/>
    <s v="I100099999"/>
    <s v="bhaws_pubgpclitelive@bluehole.net(923284402284)"/>
    <s v="김정헌"/>
    <s v="최준석"/>
    <m/>
    <n v="5012902"/>
    <n v="4846331"/>
    <n v="4785298"/>
    <n v="14830847"/>
    <n v="1557894"/>
    <n v="1539793"/>
    <n v="1592954"/>
    <n v="1636886"/>
    <n v="1613205"/>
    <n v="1161227"/>
    <n v="360559"/>
    <n v="427944"/>
    <n v="427944"/>
    <n v="67385"/>
    <n v="0.18689035636331364"/>
  </r>
  <r>
    <x v="1"/>
    <x v="0"/>
    <x v="0"/>
    <s v="Service DevOps Team"/>
    <s v="OVERHEAD/OTHERS"/>
    <n v="100033"/>
    <s v="P100010055"/>
    <s v="bhaws_si@bluehole.net(880227346986)"/>
    <s v="엄기성"/>
    <s v="엄기성"/>
    <m/>
    <n v="2525143"/>
    <n v="2359206"/>
    <n v="1946185"/>
    <n v="2001833"/>
    <n v="2307283"/>
    <n v="2262339"/>
    <n v="1557631"/>
    <n v="1554075"/>
    <n v="2050350"/>
    <n v="3110360"/>
    <n v="2691339"/>
    <n v="3006184"/>
    <n v="3006184"/>
    <n v="314845"/>
    <n v="0.11698451960158122"/>
  </r>
  <r>
    <x v="1"/>
    <x v="5"/>
    <x v="9"/>
    <s v="[N/A]TERA"/>
    <s v="TERA_CONSOLE"/>
    <n v="100774"/>
    <s v="I100099999"/>
    <s v="BHAWS_SPDev@bluehole.net(959785605440)"/>
    <s v="이준호"/>
    <s v="이준호"/>
    <s v="v"/>
    <n v="195816"/>
    <n v="193329"/>
    <n v="198935"/>
    <n v="194189"/>
    <n v="206223"/>
    <n v="197728"/>
    <n v="227284"/>
    <n v="210024"/>
    <n v="209063"/>
    <n v="209174"/>
    <n v="191795"/>
    <n v="216897"/>
    <n v="216897"/>
    <n v="25102"/>
    <n v="0.13087932427852655"/>
  </r>
  <r>
    <x v="1"/>
    <x v="5"/>
    <x v="9"/>
    <s v="T_Console Service Part"/>
    <s v="TERA_CONSOLE"/>
    <n v="100415"/>
    <s v="I100099999"/>
    <s v="bhaws_teraconsoleps@bluehole.net(569142980887)"/>
    <s v="배인성"/>
    <s v="배인성"/>
    <s v="v"/>
    <n v="18673"/>
    <n v="19408"/>
    <n v="26778"/>
    <n v="18767"/>
    <n v="25900"/>
    <n v="22842"/>
    <n v="24111"/>
    <n v="24685"/>
    <n v="23601"/>
    <n v="25588"/>
    <n v="19249"/>
    <n v="0"/>
    <m/>
    <n v="-19249"/>
    <n v="-1"/>
  </r>
  <r>
    <x v="1"/>
    <x v="5"/>
    <x v="9"/>
    <s v="T_Console Service Part"/>
    <s v="TERA_CONSOLE"/>
    <n v="101269"/>
    <s v="I100099999"/>
    <s v="bhaws_teraconsolex@bluehole.net(765398988201)"/>
    <s v="배인성"/>
    <s v="배인성"/>
    <s v="v"/>
    <n v="2496767"/>
    <n v="2460196"/>
    <n v="2493688"/>
    <n v="2539951"/>
    <n v="2530942"/>
    <n v="2444289"/>
    <n v="2436708"/>
    <n v="2499811"/>
    <n v="2499581"/>
    <n v="2510577"/>
    <n v="2435581"/>
    <n v="2634704"/>
    <n v="2634704"/>
    <n v="199123"/>
    <n v="8.17558520944284E-2"/>
  </r>
  <r>
    <x v="1"/>
    <x v="5"/>
    <x v="9"/>
    <s v="T_Console Service Part"/>
    <s v="TERA_Console"/>
    <n v="101758"/>
    <s v="I100099999"/>
    <s v="bhaws_trcs_self@bluehole.net(119070496812)"/>
    <s v="장은진"/>
    <s v="장은진"/>
    <s v="v"/>
    <n v="1018813"/>
    <n v="991461"/>
    <n v="1012156"/>
    <n v="1030814"/>
    <n v="1083186"/>
    <n v="1079183"/>
    <n v="1112293"/>
    <n v="1150312"/>
    <n v="1138815"/>
    <n v="1109295"/>
    <n v="1002180"/>
    <n v="1066680"/>
    <n v="1066680"/>
    <n v="64500"/>
    <n v="6.4359695863018623E-2"/>
  </r>
  <r>
    <x v="1"/>
    <x v="0"/>
    <x v="0"/>
    <s v="IT Dept."/>
    <s v="OVERHEAD/OTHERS"/>
    <n v="460005"/>
    <s v="I100099999"/>
    <s v="bhs_swlc@bluehole.net(846451077710)"/>
    <s v="김재윤"/>
    <s v="김재윤"/>
    <s v="v"/>
    <n v="602392"/>
    <n v="589795"/>
    <n v="615934"/>
    <n v="704299"/>
    <n v="755667"/>
    <n v="834702"/>
    <n v="809674"/>
    <n v="945327"/>
    <n v="876932"/>
    <n v="1025730"/>
    <n v="886245"/>
    <n v="1189569"/>
    <n v="1189569"/>
    <n v="303324"/>
    <n v="0.34225750215798112"/>
  </r>
  <r>
    <x v="1"/>
    <x v="0"/>
    <x v="0"/>
    <s v="Infra div."/>
    <s v="OVERHEAD/OTHERS"/>
    <n v="101609"/>
    <s v="P100010048"/>
    <s v="bluehole_payer@gscdn.com(242807594737)"/>
    <s v="이윤슬"/>
    <s v="이윤슬"/>
    <m/>
    <m/>
    <m/>
    <n v="2941773"/>
    <n v="1554411"/>
    <n v="1615472"/>
    <n v="2027184"/>
    <n v="1327705"/>
    <n v="2435841"/>
    <n v="2470086"/>
    <n v="2488596"/>
    <n v="2512606"/>
    <n v="2688175"/>
    <n v="2688175"/>
    <n v="175569"/>
    <n v="6.9875260984014212E-2"/>
  </r>
  <r>
    <x v="1"/>
    <x v="10"/>
    <x v="21"/>
    <s v="5ml Tech Dept"/>
    <n v="0"/>
    <n v="100038"/>
    <e v="#N/A"/>
    <s v="developers@5minlab.com(798290317353)"/>
    <n v="0"/>
    <s v="유지현"/>
    <m/>
    <n v="100839"/>
    <n v="95408"/>
    <n v="85998"/>
    <n v="91379"/>
    <n v="95239"/>
    <n v="74749"/>
    <n v="88579"/>
    <n v="1419982"/>
    <n v="2540779"/>
    <n v="2055520"/>
    <n v="1856965"/>
    <n v="2471930"/>
    <n v="2471930"/>
    <n v="614965"/>
    <n v="0.3311667155816076"/>
  </r>
  <r>
    <x v="1"/>
    <x v="0"/>
    <x v="0"/>
    <s v="KRAFTON HQ"/>
    <s v="OVERHEAD/OTHERS"/>
    <n v="100677"/>
    <s v="I100099999"/>
    <s v="GPU"/>
    <s v="이윤슬"/>
    <s v="이윤슬"/>
    <m/>
    <m/>
    <m/>
    <m/>
    <m/>
    <m/>
    <m/>
    <m/>
    <m/>
    <n v="-699878760"/>
    <n v="-699878760"/>
    <n v="-699878760"/>
    <n v="-699878760"/>
    <n v="-699878760"/>
    <n v="0"/>
    <n v="0"/>
  </r>
  <r>
    <x v="1"/>
    <x v="0"/>
    <x v="0"/>
    <s v="Data Engineering Dept."/>
    <s v="OVERHEAD/OTHERS"/>
    <n v="100025"/>
    <s v="I100090813"/>
    <s v="krafton-data-platform@bluehole.net(783778041225)"/>
    <s v="염화음"/>
    <s v="김시훈"/>
    <s v="v"/>
    <n v="6649430"/>
    <n v="6476228"/>
    <n v="6190826"/>
    <n v="7041066"/>
    <n v="8330087"/>
    <n v="8213724"/>
    <n v="8952499"/>
    <n v="9367099"/>
    <n v="8894925"/>
    <n v="7526502"/>
    <n v="6258784"/>
    <n v="4332280"/>
    <n v="4332280"/>
    <n v="-1926504"/>
    <n v="-0.30780803427630671"/>
  </r>
  <r>
    <x v="1"/>
    <x v="0"/>
    <x v="0"/>
    <s v="Publishing Tech PM Part"/>
    <s v="DEFENSE DERBY"/>
    <n v="100355"/>
    <s v="P100010012"/>
    <s v="krafton-dd-live@krafton.com(271459992830)"/>
    <s v="김정언"/>
    <s v="이진호"/>
    <s v="v"/>
    <n v="13591124"/>
    <n v="12718349"/>
    <n v="9018727"/>
    <n v="4575704"/>
    <n v="4625992"/>
    <n v="4588542"/>
    <n v="2241491"/>
    <m/>
    <n v="0"/>
    <n v="0"/>
    <n v="0"/>
    <n v="0"/>
    <m/>
    <n v="0"/>
    <s v=""/>
  </r>
  <r>
    <x v="1"/>
    <x v="0"/>
    <x v="0"/>
    <s v="Publishing Tech PM Part"/>
    <s v="OVERHEAD/OTHERS"/>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r>
  <r>
    <x v="1"/>
    <x v="0"/>
    <x v="0"/>
    <s v="Service DevOps Team"/>
    <s v="PROJECT WINDLESS"/>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r>
  <r>
    <x v="1"/>
    <x v="6"/>
    <x v="12"/>
    <s v="OVDR Platform Engineering Team"/>
    <s v="OVERHEAD/OTHERS"/>
    <n v="100774"/>
    <s v="I100099999"/>
    <s v="ovdr-production@krafton.com(905461196704)"/>
    <s v="OVERHEAD/OTHERS"/>
    <s v="이제우"/>
    <m/>
    <n v="4061446"/>
    <n v="3659372"/>
    <n v="3182073"/>
    <n v="3552260"/>
    <n v="3058728"/>
    <n v="3066280"/>
    <n v="3638600"/>
    <n v="3812931"/>
    <n v="4250810"/>
    <n v="4121798"/>
    <n v="3486436"/>
    <n v="4256194"/>
    <n v="4256194"/>
    <n v="769758"/>
    <n v="0.22078649945101531"/>
  </r>
  <r>
    <x v="1"/>
    <x v="0"/>
    <x v="4"/>
    <s v="Striking Distance Studios"/>
    <s v="The Callisto Protocol"/>
    <n v="100212"/>
    <s v="P100010013"/>
    <s v="pubg_accelbyte_ops@bluehole.net(845087158014)"/>
    <s v="Minkz Ngo"/>
    <s v="Jordan Yerkes"/>
    <m/>
    <n v="21047286"/>
    <n v="19874819"/>
    <n v="15535979"/>
    <m/>
    <m/>
    <m/>
    <m/>
    <m/>
    <n v="0"/>
    <n v="0"/>
    <n v="0"/>
    <n v="0"/>
    <m/>
    <n v="0"/>
    <s v=""/>
  </r>
  <r>
    <x v="1"/>
    <x v="0"/>
    <x v="1"/>
    <s v="[N/A]New State Dev Div."/>
    <s v="PUBG:NEW STATE"/>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r>
  <r>
    <x v="1"/>
    <x v="0"/>
    <x v="2"/>
    <s v="PUBG PC&amp;Console Dev Div."/>
    <s v="BATTLEGROUNDS_PC/CONSOLE"/>
    <n v="101269"/>
    <s v="P100030073"/>
    <s v="pubg_data-inno@bluehole.net(266252275839)"/>
    <s v="염화음"/>
    <s v="문중현"/>
    <m/>
    <n v="16649517"/>
    <n v="16664611"/>
    <n v="15898747"/>
    <n v="16277149"/>
    <n v="12562812"/>
    <n v="11977692"/>
    <n v="12408807"/>
    <n v="12087773"/>
    <n v="12325275"/>
    <n v="11750464"/>
    <n v="10272218"/>
    <n v="11908455"/>
    <n v="11908455"/>
    <n v="1636237"/>
    <n v="0.15928760468284453"/>
  </r>
  <r>
    <x v="1"/>
    <x v="0"/>
    <x v="2"/>
    <s v="PUBG PC&amp;Console Dev Div."/>
    <s v="BATTLEGROUNDS_PC/CONSOLE"/>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r>
  <r>
    <x v="1"/>
    <x v="0"/>
    <x v="2"/>
    <s v="PUBG PC&amp;Console Dev Div."/>
    <s v="BATTLEGROUNDS_PC/CONSOLE"/>
    <n v="100561"/>
    <s v="P100010013"/>
    <s v="pubg_psn_retail@bluehole.net(646628557157)"/>
    <s v="김정헌"/>
    <s v="최준석"/>
    <m/>
    <n v="332433"/>
    <n v="336423"/>
    <n v="370557"/>
    <n v="362064"/>
    <n v="411267"/>
    <n v="399846"/>
    <n v="421236"/>
    <n v="429588"/>
    <n v="429559"/>
    <n v="329637"/>
    <n v="174322"/>
    <n v="189734"/>
    <n v="189734"/>
    <n v="15412"/>
    <n v="8.8411101295304093E-2"/>
  </r>
  <r>
    <x v="1"/>
    <x v="0"/>
    <x v="4"/>
    <s v="Striking Distance Studios"/>
    <s v="The Callisto Protocol"/>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r>
  <r>
    <x v="1"/>
    <x v="0"/>
    <x v="4"/>
    <s v="Striking Distance Studios"/>
    <s v="The Callisto Protocol"/>
    <n v="131035"/>
    <s v="P100010013"/>
    <s v="pubg_sds_web@bluehole.net(080552085257)"/>
    <s v="Minkz Ngo"/>
    <s v="Jordan Yerkes"/>
    <m/>
    <n v="114730"/>
    <n v="122950"/>
    <n v="82043"/>
    <n v="123883"/>
    <n v="139376"/>
    <n v="127495"/>
    <n v="132303"/>
    <n v="132925"/>
    <n v="133271"/>
    <n v="135375"/>
    <n v="123553"/>
    <n v="73651"/>
    <n v="73651"/>
    <n v="-49902"/>
    <n v="-0.40389144739504507"/>
  </r>
  <r>
    <x v="1"/>
    <x v="0"/>
    <x v="2"/>
    <s v="PUBG PC&amp;Console Dev Div."/>
    <s v="BATTLEGROUNDS_PC/CONSOLE"/>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r>
  <r>
    <x v="1"/>
    <x v="0"/>
    <x v="0"/>
    <s v="BGMI DevOps Team"/>
    <s v="(2022)BATTLEGROUNDS_MOBILE_IN"/>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r>
  <r>
    <x v="1"/>
    <x v="0"/>
    <x v="2"/>
    <s v="MS DevOps Team"/>
    <s v="OVERHEAD/OTHERS"/>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r>
  <r>
    <x v="1"/>
    <x v="0"/>
    <x v="1"/>
    <s v="Data Engineering Dept."/>
    <s v="PUBG:NEW STATE"/>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r>
  <r>
    <x v="1"/>
    <x v="2"/>
    <x v="6"/>
    <s v="AI research center"/>
    <s v="DEEP LEARNING"/>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r>
  <r>
    <x v="1"/>
    <x v="0"/>
    <x v="27"/>
    <s v="Americas IT Team"/>
    <s v="OVERHEAD/OTHERS"/>
    <n v="100036"/>
    <s v="I100099999"/>
    <s v="sm_it_accounts@pubg.com(314135859452)"/>
    <s v="David Huh"/>
    <s v="David Huh"/>
    <s v="v"/>
    <m/>
    <m/>
    <m/>
    <n v="23164"/>
    <n v="145340"/>
    <n v="142739"/>
    <n v="145778"/>
    <n v="150607"/>
    <n v="146609"/>
    <n v="147869"/>
    <n v="146182"/>
    <n v="153515"/>
    <n v="153515"/>
    <n v="7333"/>
    <n v="5.0163494821523852E-2"/>
  </r>
  <r>
    <x v="1"/>
    <x v="0"/>
    <x v="0"/>
    <s v="Global Subsidiary Management Team"/>
    <s v="OVERHEAD/OTHERS"/>
    <e v="#N/A"/>
    <e v="#N/A"/>
    <s v="storyplay.prod@thingsflow.com(303682502270)"/>
    <s v="김재현"/>
    <s v="김재현"/>
    <m/>
    <n v="334149"/>
    <n v="1233122"/>
    <n v="1210475"/>
    <n v="1235227"/>
    <n v="1259259"/>
    <n v="1267847"/>
    <n v="1317418"/>
    <n v="1260376"/>
    <n v="1620676"/>
    <n v="1407145"/>
    <n v="302765"/>
    <n v="288741"/>
    <n v="288741"/>
    <n v="-14024"/>
    <n v="-4.6319752943702212E-2"/>
  </r>
  <r>
    <x v="1"/>
    <x v="0"/>
    <x v="0"/>
    <s v="HR Operations Team"/>
    <s v="OVERHEAD/OTHERS"/>
    <m/>
    <m/>
    <s v="aws-hr-ops-automation@krafton.com(002889193681)"/>
    <m/>
    <s v="조재현"/>
    <m/>
    <m/>
    <m/>
    <m/>
    <m/>
    <m/>
    <m/>
    <m/>
    <m/>
    <m/>
    <m/>
    <n v="0"/>
    <n v="12895"/>
    <n v="12895"/>
    <n v="12895"/>
    <s v=""/>
  </r>
  <r>
    <x v="1"/>
    <x v="0"/>
    <x v="10"/>
    <s v="Valor DevOps Part"/>
    <s v="Valor_Console"/>
    <m/>
    <m/>
    <s v="aws-msn-valor-cert@pubg.com(059855171766)"/>
    <m/>
    <s v="송영재"/>
    <s v="v"/>
    <m/>
    <m/>
    <m/>
    <m/>
    <m/>
    <m/>
    <m/>
    <m/>
    <m/>
    <m/>
    <n v="0"/>
    <n v="17153"/>
    <n v="17153"/>
    <n v="17153"/>
    <s v=""/>
  </r>
  <r>
    <x v="1"/>
    <x v="0"/>
    <x v="10"/>
    <s v="Valor DevOps Part"/>
    <s v="Valor_Console"/>
    <m/>
    <m/>
    <s v="aws-msn-valor-staging@pubg.com(117891393965)"/>
    <m/>
    <s v="송영재"/>
    <s v="v"/>
    <m/>
    <m/>
    <m/>
    <m/>
    <m/>
    <m/>
    <m/>
    <m/>
    <m/>
    <m/>
    <n v="0"/>
    <n v="14754"/>
    <n v="14754"/>
    <n v="14754"/>
    <s v=""/>
  </r>
  <r>
    <x v="1"/>
    <x v="0"/>
    <x v="24"/>
    <s v="NineB Div."/>
    <s v="OVERHEAD/OTHERS"/>
    <m/>
    <m/>
    <s v="Aws-9b-common-web@krafton.com(200283415652)"/>
    <m/>
    <s v="김성훈"/>
    <m/>
    <m/>
    <m/>
    <m/>
    <m/>
    <m/>
    <m/>
    <m/>
    <m/>
    <m/>
    <m/>
    <n v="0"/>
    <n v="12767"/>
    <n v="12767"/>
    <n v="12767"/>
    <s v=""/>
  </r>
  <r>
    <x v="1"/>
    <x v="0"/>
    <x v="19"/>
    <s v="IN New Games Publishing Team 3"/>
    <s v="OVERHEAD/OTHERS"/>
    <m/>
    <m/>
    <s v="aws-ignt@krafton.com(339918905706)"/>
    <m/>
    <s v="Sudhamshu Mitra"/>
    <m/>
    <m/>
    <m/>
    <m/>
    <m/>
    <m/>
    <m/>
    <m/>
    <m/>
    <m/>
    <m/>
    <n v="0"/>
    <n v="22447"/>
    <n v="22447"/>
    <n v="22447"/>
    <s v=""/>
  </r>
  <r>
    <x v="1"/>
    <x v="0"/>
    <x v="0"/>
    <s v="Video Creative Part"/>
    <s v="OVERHEAD/OTHERS"/>
    <m/>
    <m/>
    <s v="aws-bcd-gdd-reader@krafton.com(372468809148)"/>
    <m/>
    <s v="전지민"/>
    <m/>
    <m/>
    <m/>
    <m/>
    <m/>
    <m/>
    <m/>
    <m/>
    <m/>
    <m/>
    <m/>
    <n v="0"/>
    <n v="197"/>
    <n v="197"/>
    <n v="197"/>
    <s v=""/>
  </r>
  <r>
    <x v="1"/>
    <x v="0"/>
    <x v="0"/>
    <s v="GPD1 Community Management Team"/>
    <s v="OVERHEAD/OTHERS"/>
    <m/>
    <m/>
    <s v="aws-gpd1cmt-project@krafton.com(427780306826)"/>
    <m/>
    <s v="안예슬"/>
    <m/>
    <m/>
    <m/>
    <m/>
    <m/>
    <m/>
    <m/>
    <m/>
    <m/>
    <m/>
    <m/>
    <n v="0"/>
    <n v="13412"/>
    <n v="13412"/>
    <n v="13412"/>
    <s v=""/>
  </r>
  <r>
    <x v="1"/>
    <x v="1"/>
    <x v="11"/>
    <n v="0"/>
    <n v="0"/>
    <m/>
    <m/>
    <s v="aws_neptunez_019@neptunecompany.kr(608420805733)"/>
    <m/>
    <n v="0"/>
    <m/>
    <m/>
    <m/>
    <m/>
    <m/>
    <m/>
    <m/>
    <m/>
    <m/>
    <m/>
    <m/>
    <n v="0"/>
    <n v="80071"/>
    <n v="80071"/>
    <n v="80071"/>
    <s v=""/>
  </r>
  <r>
    <x v="1"/>
    <x v="0"/>
    <x v="27"/>
    <s v="Creative Americas Production Team"/>
    <s v="OVERHEAD/OTHERS"/>
    <m/>
    <m/>
    <s v="aws-blueprint-project@krafton.com(706877673977)"/>
    <m/>
    <s v="Andy Fernandez"/>
    <m/>
    <m/>
    <m/>
    <m/>
    <m/>
    <m/>
    <m/>
    <m/>
    <m/>
    <m/>
    <m/>
    <n v="0"/>
    <n v="14272"/>
    <n v="14272"/>
    <n v="14272"/>
    <s v=""/>
  </r>
  <r>
    <x v="1"/>
    <x v="0"/>
    <x v="0"/>
    <s v="PUBG Strategy &amp; Operations Team"/>
    <s v="OVERHEAD/OTHERS"/>
    <m/>
    <m/>
    <s v="aws-pubgsno-hr@krafton.com(756041605037)"/>
    <m/>
    <s v="김세은"/>
    <m/>
    <m/>
    <m/>
    <m/>
    <m/>
    <m/>
    <m/>
    <m/>
    <m/>
    <m/>
    <m/>
    <n v="0"/>
    <n v="13424"/>
    <n v="13424"/>
    <n v="13424"/>
    <s v=""/>
  </r>
  <r>
    <x v="1"/>
    <x v="0"/>
    <x v="0"/>
    <s v="Live Ops Team"/>
    <s v="OVERHEAD/OTHERS"/>
    <m/>
    <m/>
    <s v="aws-hq-dashboard@krafton.com(774222655862)"/>
    <m/>
    <s v="구지현"/>
    <m/>
    <m/>
    <m/>
    <m/>
    <m/>
    <m/>
    <m/>
    <m/>
    <m/>
    <m/>
    <m/>
    <n v="0"/>
    <n v="55233"/>
    <n v="55233"/>
    <n v="55233"/>
    <s v=""/>
  </r>
  <r>
    <x v="1"/>
    <x v="0"/>
    <x v="0"/>
    <s v="Service DevOps Team"/>
    <s v="Cricket All Stars"/>
    <m/>
    <m/>
    <s v="aws-cas-qa@krafton.com(864617344154)"/>
    <m/>
    <s v="안연주"/>
    <m/>
    <m/>
    <m/>
    <m/>
    <m/>
    <m/>
    <m/>
    <m/>
    <m/>
    <m/>
    <m/>
    <n v="0"/>
    <n v="14921"/>
    <n v="14921"/>
    <n v="14921"/>
    <s v=""/>
  </r>
  <r>
    <x v="1"/>
    <x v="0"/>
    <x v="10"/>
    <s v="Valor DevOps Part"/>
    <s v="Valor_Console"/>
    <m/>
    <m/>
    <s v="aws-msn-valor-test@pubg.com(947782089035)"/>
    <m/>
    <s v="송영재"/>
    <s v="v"/>
    <m/>
    <m/>
    <m/>
    <m/>
    <m/>
    <m/>
    <m/>
    <m/>
    <m/>
    <m/>
    <n v="0"/>
    <n v="15436"/>
    <n v="15436"/>
    <n v="15436"/>
    <s v=""/>
  </r>
  <r>
    <x v="1"/>
    <x v="0"/>
    <x v="0"/>
    <s v="Service DevOps Team"/>
    <s v="sports fantasy project"/>
    <m/>
    <m/>
    <s v="aws-ignt-qa@krafton.com(956314528401)"/>
    <m/>
    <s v="안연주"/>
    <m/>
    <m/>
    <m/>
    <m/>
    <m/>
    <m/>
    <m/>
    <m/>
    <m/>
    <m/>
    <m/>
    <n v="0"/>
    <n v="298601"/>
    <n v="298601"/>
    <n v="298601"/>
    <s v=""/>
  </r>
  <r>
    <x v="1"/>
    <x v="0"/>
    <x v="0"/>
    <s v="GPD1 Community Management Team"/>
    <s v="SUBNAUTICA 2"/>
    <m/>
    <m/>
    <s v="aws-sn2e-project@krafton.com(958175316161)"/>
    <m/>
    <s v="민경윤"/>
    <m/>
    <m/>
    <m/>
    <m/>
    <m/>
    <m/>
    <m/>
    <m/>
    <m/>
    <m/>
    <m/>
    <n v="0"/>
    <n v="685171"/>
    <n v="685171"/>
    <n v="685171"/>
    <s v=""/>
  </r>
  <r>
    <x v="1"/>
    <x v="0"/>
    <x v="0"/>
    <s v="Service DevOps Team"/>
    <s v="OVERHEAD/OTHERS"/>
    <n v="100024"/>
    <s v="I100099999"/>
    <s v="tech_support@bluehole.net(921237081789)"/>
    <s v="엄기성"/>
    <s v="엄기성"/>
    <m/>
    <n v="1312055"/>
    <n v="1149109"/>
    <n v="1083134"/>
    <n v="1102872"/>
    <n v="1103467"/>
    <n v="1183524"/>
    <n v="1088631"/>
    <n v="1124598"/>
    <n v="1264308"/>
    <n v="1072603"/>
    <n v="942217"/>
    <n v="1277071"/>
    <n v="1277071"/>
    <n v="334854"/>
    <n v="0.3553894697293723"/>
  </r>
  <r>
    <x v="1"/>
    <x v="11"/>
    <x v="28"/>
    <n v="0"/>
    <n v="0"/>
    <n v="400030"/>
    <e v="#N/A"/>
    <s v="ted-aws@unknownworlds.com(221334622883)"/>
    <s v="Jack Smith"/>
    <s v="Jack Smith"/>
    <m/>
    <m/>
    <m/>
    <n v="1756556"/>
    <n v="1799670"/>
    <n v="1794443"/>
    <n v="1648704"/>
    <n v="1750195"/>
    <n v="1748828"/>
    <n v="1772253"/>
    <n v="1724926"/>
    <n v="1626021"/>
    <n v="2449090"/>
    <n v="2449090"/>
    <n v="823069"/>
    <n v="0.5061859594679281"/>
  </r>
  <r>
    <x v="2"/>
    <x v="12"/>
    <x v="29"/>
    <s v="ML Sys &amp; Ops Team"/>
    <s v="DEEP LEARNING"/>
    <n v="101721"/>
    <e v="#N/A"/>
    <s v="AI-Research-Deep-Learning"/>
    <s v="이동기"/>
    <s v="김지윤"/>
    <s v="v"/>
    <n v="276540607"/>
    <n v="271107741"/>
    <n v="255360965"/>
    <n v="261480759"/>
    <n v="258980391"/>
    <n v="251108723"/>
    <n v="249788803"/>
    <n v="248612867"/>
    <n v="263767189"/>
    <n v="251769405"/>
    <n v="242636977"/>
    <n v="243315920"/>
    <n v="243315920"/>
    <n v="678943"/>
    <n v="2.7981843839078161E-3"/>
  </r>
  <r>
    <x v="2"/>
    <x v="2"/>
    <x v="6"/>
    <s v="ML Sys &amp; Ops Team"/>
    <s v="DEEP LEARNING"/>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r>
  <r>
    <x v="2"/>
    <x v="0"/>
    <x v="0"/>
    <s v="Art Management Part"/>
    <s v="OVERHEAD/OTHERS"/>
    <n v="100212"/>
    <s v="P100130012"/>
    <s v="ART_ALI_CustomVision"/>
    <s v="배준석"/>
    <s v="배준석"/>
    <m/>
    <m/>
    <m/>
    <m/>
    <m/>
    <m/>
    <m/>
    <n v="1.9032"/>
    <n v="4"/>
    <n v="521"/>
    <n v="258"/>
    <n v="226"/>
    <n v="113"/>
    <n v="113"/>
    <n v="-113"/>
    <n v="-0.5"/>
  </r>
  <r>
    <x v="2"/>
    <x v="12"/>
    <x v="29"/>
    <s v="Art Management Part"/>
    <s v="OVERHEAD/OTHERS"/>
    <n v="101537"/>
    <s v="P100010012"/>
    <s v="ART_ALI_CustomVision"/>
    <s v="배준석"/>
    <s v="배준석"/>
    <m/>
    <m/>
    <m/>
    <m/>
    <m/>
    <m/>
    <m/>
    <n v="3"/>
    <n v="6"/>
    <n v="822"/>
    <n v="406"/>
    <n v="356"/>
    <n v="178"/>
    <n v="178"/>
    <n v="-178"/>
    <n v="-0.5"/>
  </r>
  <r>
    <x v="2"/>
    <x v="0"/>
    <x v="0"/>
    <s v="Art Management Part"/>
    <s v="OVERHEAD/OTHERS"/>
    <n v="100212"/>
    <s v="P100130012"/>
    <s v="ART_ALI_Vision"/>
    <s v="배준석"/>
    <s v="배준석"/>
    <m/>
    <m/>
    <m/>
    <m/>
    <m/>
    <m/>
    <m/>
    <n v="1.9032"/>
    <n v="12"/>
    <n v="0"/>
    <n v="0"/>
    <n v="0"/>
    <n v="0"/>
    <m/>
    <n v="0"/>
    <s v=""/>
  </r>
  <r>
    <x v="2"/>
    <x v="12"/>
    <x v="29"/>
    <s v="Art Management Part"/>
    <s v="OVERHEAD/OTHERS"/>
    <n v="101537"/>
    <s v="P100010012"/>
    <s v="ART_ALI_Vision"/>
    <s v="배준석"/>
    <s v="배준석"/>
    <m/>
    <m/>
    <m/>
    <m/>
    <m/>
    <m/>
    <m/>
    <n v="3"/>
    <n v="19"/>
    <n v="0"/>
    <n v="0"/>
    <n v="0"/>
    <n v="0"/>
    <m/>
    <n v="0"/>
    <s v=""/>
  </r>
  <r>
    <x v="2"/>
    <x v="0"/>
    <x v="0"/>
    <s v="AI Transformation Team"/>
    <s v="OVERHEAD/OTHERS"/>
    <n v="100414"/>
    <s v="P100010012"/>
    <s v="azure-ait-genai-api-project"/>
    <s v="이재준"/>
    <s v="이재준"/>
    <s v="v"/>
    <n v="0"/>
    <n v="27264"/>
    <n v="153677"/>
    <n v="155119"/>
    <n v="148833"/>
    <n v="89015"/>
    <n v="88956.202399999995"/>
    <n v="3057"/>
    <n v="35"/>
    <n v="0"/>
    <n v="3095"/>
    <n v="12144"/>
    <n v="12144"/>
    <n v="9049"/>
    <n v="2.9237479806138933"/>
  </r>
  <r>
    <x v="2"/>
    <x v="12"/>
    <x v="29"/>
    <s v="AI Transformation Team"/>
    <s v="OVERHEAD/OTHERS"/>
    <n v="100414"/>
    <s v="P100010012"/>
    <s v="azure-ait-genai-api-project"/>
    <s v="이재준"/>
    <s v="이재준"/>
    <s v="v"/>
    <n v="2955"/>
    <n v="44695"/>
    <n v="251929"/>
    <n v="254294"/>
    <n v="243989"/>
    <n v="145927"/>
    <n v="140221"/>
    <n v="4819"/>
    <n v="55"/>
    <n v="0"/>
    <n v="4878"/>
    <n v="19142"/>
    <n v="19142"/>
    <n v="14264"/>
    <n v="2.9241492414924148"/>
  </r>
  <r>
    <x v="2"/>
    <x v="0"/>
    <x v="0"/>
    <s v="DevData Engineering Team"/>
    <s v="Cricket All Stars"/>
    <m/>
    <m/>
    <s v="azure-cas-prod"/>
    <m/>
    <s v="안연주"/>
    <s v="v"/>
    <m/>
    <m/>
    <m/>
    <m/>
    <m/>
    <m/>
    <m/>
    <m/>
    <m/>
    <m/>
    <m/>
    <n v="0"/>
    <n v="0"/>
    <n v="0"/>
    <s v=""/>
  </r>
  <r>
    <x v="2"/>
    <x v="12"/>
    <x v="29"/>
    <s v="DevData Engineering Team"/>
    <s v="Cricket All Stars"/>
    <m/>
    <m/>
    <s v="azure-cas-prod"/>
    <m/>
    <s v="안연주"/>
    <s v="v"/>
    <m/>
    <m/>
    <m/>
    <m/>
    <m/>
    <m/>
    <m/>
    <m/>
    <m/>
    <m/>
    <m/>
    <n v="262212"/>
    <n v="262212"/>
    <n v="262212"/>
    <s v=""/>
  </r>
  <r>
    <x v="2"/>
    <x v="0"/>
    <x v="0"/>
    <s v="DevData Engineering Team"/>
    <s v="Cricket All Stars"/>
    <m/>
    <m/>
    <s v="azure-cas-qa"/>
    <m/>
    <s v="안연주"/>
    <s v="v"/>
    <m/>
    <m/>
    <m/>
    <m/>
    <m/>
    <m/>
    <m/>
    <m/>
    <m/>
    <m/>
    <m/>
    <n v="0"/>
    <n v="0"/>
    <n v="0"/>
    <s v=""/>
  </r>
  <r>
    <x v="2"/>
    <x v="12"/>
    <x v="29"/>
    <s v="DevData Engineering Team"/>
    <s v="Cricket All Stars"/>
    <m/>
    <m/>
    <s v="azure-cas-qa"/>
    <m/>
    <s v="안연주"/>
    <s v="v"/>
    <m/>
    <m/>
    <m/>
    <m/>
    <m/>
    <m/>
    <m/>
    <m/>
    <m/>
    <m/>
    <m/>
    <n v="4084367"/>
    <n v="4084367"/>
    <n v="4084367"/>
    <s v=""/>
  </r>
  <r>
    <x v="2"/>
    <x v="0"/>
    <x v="0"/>
    <s v="Service DevOps Team"/>
    <s v="OVERHEAD/OTHERS"/>
    <n v="480001"/>
    <e v="#N/A"/>
    <s v="AzureOpsLAB-DevTest-20181205"/>
    <s v="엄기성"/>
    <s v="엄기성"/>
    <m/>
    <n v="0"/>
    <n v="112497"/>
    <n v="106296"/>
    <n v="107796"/>
    <n v="104288"/>
    <n v="100935"/>
    <n v="106409.8152"/>
    <n v="110056"/>
    <n v="129325"/>
    <n v="135808"/>
    <n v="152069"/>
    <n v="184162"/>
    <n v="184162"/>
    <n v="32093"/>
    <n v="0.21104235577270844"/>
  </r>
  <r>
    <x v="2"/>
    <x v="12"/>
    <x v="29"/>
    <s v="Service DevOps Team"/>
    <s v="OVERHEAD/OTHERS"/>
    <n v="100033"/>
    <s v="P100010048"/>
    <s v="AzureOpsLAB-DevTest-20181205"/>
    <s v="엄기성"/>
    <s v="엄기성"/>
    <m/>
    <n v="68527"/>
    <n v="184421"/>
    <n v="174255"/>
    <n v="176715"/>
    <n v="170964"/>
    <n v="165467"/>
    <n v="167733"/>
    <n v="173480"/>
    <n v="203854"/>
    <n v="214074"/>
    <n v="239706"/>
    <n v="290294"/>
    <n v="290294"/>
    <n v="50588"/>
    <n v="0.21104185961135724"/>
  </r>
  <r>
    <x v="2"/>
    <x v="0"/>
    <x v="0"/>
    <s v="Service DevOps Team"/>
    <s v="OVERHEAD/OTHERS"/>
    <n v="480001"/>
    <e v="#N/A"/>
    <s v="AzureOpsLAB-Enterprise-20171102"/>
    <s v="엄기성"/>
    <s v="엄기성"/>
    <m/>
    <n v="0"/>
    <n v="147830"/>
    <n v="142215"/>
    <n v="146660"/>
    <n v="188011"/>
    <n v="130036"/>
    <n v="158426.17439999999"/>
    <n v="261857"/>
    <n v="159260"/>
    <n v="182613"/>
    <n v="175566"/>
    <n v="171376"/>
    <n v="171376"/>
    <n v="-4190"/>
    <n v="-2.3865668751352768E-2"/>
  </r>
  <r>
    <x v="2"/>
    <x v="12"/>
    <x v="29"/>
    <s v="Service DevOps Team"/>
    <s v="OVERHEAD/OTHERS"/>
    <n v="100033"/>
    <s v="P100010048"/>
    <s v="AzureOpsLAB-Enterprise-20171102"/>
    <s v="엄기성"/>
    <s v="엄기성"/>
    <m/>
    <n v="457449"/>
    <n v="242344"/>
    <n v="233139"/>
    <n v="240426"/>
    <n v="308215"/>
    <n v="213173"/>
    <n v="249726"/>
    <n v="412764"/>
    <n v="251040"/>
    <n v="287851"/>
    <n v="276743"/>
    <n v="270138"/>
    <n v="270138"/>
    <n v="-6605"/>
    <n v="-2.3866909009441974E-2"/>
  </r>
  <r>
    <x v="2"/>
    <x v="0"/>
    <x v="1"/>
    <s v="[N/A]New State Dev Div."/>
    <s v="PUBG:NEW STATE"/>
    <e v="#N/A"/>
    <s v="I100099999"/>
    <s v="AzureOpsLAB-Platform-20231227"/>
    <s v="엄기성"/>
    <s v="엄기성"/>
    <m/>
    <n v="0"/>
    <n v="551948"/>
    <n v="541468"/>
    <n v="543758"/>
    <n v="537788"/>
    <n v="531596"/>
    <n v="554267.03280000004"/>
    <n v="546777"/>
    <n v="554269"/>
    <n v="548288"/>
    <n v="543343"/>
    <n v="549631"/>
    <n v="549631"/>
    <n v="6288"/>
    <n v="1.1572800238523364E-2"/>
  </r>
  <r>
    <x v="2"/>
    <x v="12"/>
    <x v="29"/>
    <s v="[N/A]New State Dev Div."/>
    <s v="PUBG:NEW STATE"/>
    <n v="100033"/>
    <s v="P100010048"/>
    <s v="AzureOpsLAB-Platform-20231227"/>
    <s v="엄기성"/>
    <s v="엄기성"/>
    <m/>
    <n v="749092"/>
    <n v="904833"/>
    <n v="887653"/>
    <n v="891407"/>
    <n v="881620"/>
    <n v="871469"/>
    <n v="873687"/>
    <n v="861881"/>
    <n v="873690"/>
    <n v="864262"/>
    <n v="856467"/>
    <n v="866379"/>
    <n v="866379"/>
    <n v="9912"/>
    <n v="1.15731254093853E-2"/>
  </r>
  <r>
    <x v="2"/>
    <x v="0"/>
    <x v="0"/>
    <s v="IN Platform Business Dept._HQ"/>
    <s v="OVERHEAD/OTHERS"/>
    <n v="100553"/>
    <s v="P100130012"/>
    <s v="Battlin Project"/>
    <s v="김형진"/>
    <s v="김형진"/>
    <s v="v"/>
    <m/>
    <m/>
    <m/>
    <m/>
    <m/>
    <m/>
    <m/>
    <m/>
    <m/>
    <m/>
    <n v="4037"/>
    <n v="3196195"/>
    <n v="3196195"/>
    <n v="3192158"/>
    <n v="790.72529105771616"/>
  </r>
  <r>
    <x v="2"/>
    <x v="12"/>
    <x v="29"/>
    <s v="IN Platform Business Dept._HQ"/>
    <s v="OVERHEAD/OTHERS"/>
    <e v="#N/A"/>
    <s v="I100099999"/>
    <s v="Battlin Project"/>
    <s v="김형진"/>
    <s v="김형진"/>
    <m/>
    <m/>
    <m/>
    <m/>
    <m/>
    <m/>
    <m/>
    <m/>
    <m/>
    <m/>
    <m/>
    <n v="6364"/>
    <n v="5038138"/>
    <n v="5038138"/>
    <n v="5031774"/>
    <n v="790.66216216216219"/>
  </r>
  <r>
    <x v="2"/>
    <x v="0"/>
    <x v="0"/>
    <s v="IN Platform Business Dept._HQ"/>
    <s v="OVERHEAD/OTHERS"/>
    <e v="#N/A"/>
    <s v="I100099999"/>
    <s v="Battlin Project_old"/>
    <s v="김형진"/>
    <s v="김형진"/>
    <m/>
    <m/>
    <m/>
    <m/>
    <m/>
    <m/>
    <m/>
    <m/>
    <m/>
    <m/>
    <n v="3753754"/>
    <n v="8778135"/>
    <n v="0"/>
    <m/>
    <n v="-8778135"/>
    <n v="-1"/>
  </r>
  <r>
    <x v="2"/>
    <x v="0"/>
    <x v="0"/>
    <s v="DevData Engineering Team"/>
    <s v="(2022)BATTLEGROUNDS_MOBILE_IN"/>
    <n v="101799"/>
    <s v="I100099999"/>
    <s v="BGMI-DB-Monitoring"/>
    <s v="김도현"/>
    <s v="김도현"/>
    <s v="v"/>
    <n v="0"/>
    <n v="361912"/>
    <n v="564614"/>
    <n v="376200"/>
    <n v="490439"/>
    <n v="355263"/>
    <n v="706628.97759999998"/>
    <n v="336976"/>
    <n v="379391"/>
    <n v="740866"/>
    <n v="797677"/>
    <n v="802443"/>
    <n v="802443"/>
    <n v="4766"/>
    <n v="5.9748494691460327E-3"/>
  </r>
  <r>
    <x v="2"/>
    <x v="12"/>
    <x v="29"/>
    <s v="DevData Engineering Team"/>
    <s v="(2022)BATTLEGROUNDS_MOBILE_IN"/>
    <n v="101799"/>
    <s v="P100010048"/>
    <s v="BGMI-DB-Monitoring"/>
    <s v="김도현"/>
    <s v="김도현"/>
    <s v="v"/>
    <n v="565325"/>
    <n v="593298"/>
    <n v="925596"/>
    <n v="616722"/>
    <n v="803998"/>
    <n v="582399"/>
    <n v="1113854"/>
    <n v="531173"/>
    <n v="598031"/>
    <n v="1167821"/>
    <n v="1257373"/>
    <n v="1264885"/>
    <n v="1264885"/>
    <n v="7512"/>
    <n v="5.974360830079857E-3"/>
  </r>
  <r>
    <x v="2"/>
    <x v="0"/>
    <x v="0"/>
    <s v="BGMI DevOps Team"/>
    <s v="(2022)BATTLEGROUNDS_MOBILE_IN"/>
    <n v="101721"/>
    <s v="I100099999"/>
    <s v="bgmiops"/>
    <s v="조동현"/>
    <s v="조한경"/>
    <s v="v"/>
    <n v="0"/>
    <n v="194459"/>
    <n v="509492"/>
    <n v="594998"/>
    <n v="581019"/>
    <n v="563025"/>
    <n v="596672.23199999996"/>
    <n v="580624"/>
    <n v="603812"/>
    <n v="588850"/>
    <n v="832785"/>
    <n v="2380478"/>
    <n v="2380478"/>
    <n v="1547693"/>
    <n v="1.8584544630366782"/>
  </r>
  <r>
    <x v="2"/>
    <x v="12"/>
    <x v="29"/>
    <s v="BGMI DevOps Team"/>
    <s v="(2022)BATTLEGROUNDS_MOBILE_IN"/>
    <n v="101721"/>
    <s v="P100010048"/>
    <s v="bgmiops"/>
    <s v="조동현"/>
    <s v="조한경"/>
    <m/>
    <n v="272523"/>
    <n v="318785"/>
    <n v="835233"/>
    <n v="975406"/>
    <n v="952490"/>
    <n v="922992"/>
    <n v="940530"/>
    <n v="915233"/>
    <n v="951785"/>
    <n v="928200"/>
    <n v="1312713"/>
    <n v="3752329"/>
    <n v="3752329"/>
    <n v="2439616"/>
    <n v="1.8584534471739063"/>
  </r>
  <r>
    <x v="2"/>
    <x v="0"/>
    <x v="0"/>
    <s v="HQ Investment Team 2"/>
    <s v="OVERHEAD/OTHERS"/>
    <m/>
    <m/>
    <s v="CorpDev_GameDataAnalysis"/>
    <m/>
    <s v="이유림"/>
    <m/>
    <m/>
    <m/>
    <m/>
    <m/>
    <m/>
    <m/>
    <m/>
    <m/>
    <m/>
    <m/>
    <m/>
    <n v="302"/>
    <n v="302"/>
    <n v="302"/>
    <s v=""/>
  </r>
  <r>
    <x v="2"/>
    <x v="12"/>
    <x v="29"/>
    <s v="HQ Investment Team 2"/>
    <s v="OVERHEAD/OTHERS"/>
    <m/>
    <m/>
    <s v="CorpDev_GameDataAnalysis"/>
    <m/>
    <s v="이유림"/>
    <m/>
    <m/>
    <m/>
    <m/>
    <m/>
    <m/>
    <m/>
    <m/>
    <m/>
    <m/>
    <m/>
    <m/>
    <n v="476"/>
    <n v="476"/>
    <n v="476"/>
    <s v=""/>
  </r>
  <r>
    <x v="2"/>
    <x v="0"/>
    <x v="0"/>
    <s v="Data Engineering Dept."/>
    <s v="OVERHEAD/OTHERS"/>
    <n v="101651"/>
    <s v="I100099999"/>
    <s v="data-accounting"/>
    <s v="염화음"/>
    <s v="김시훈"/>
    <s v="v"/>
    <n v="0"/>
    <n v="15317371"/>
    <n v="14594182"/>
    <n v="14556277"/>
    <n v="13828244"/>
    <n v="13629480"/>
    <n v="14008017.0152"/>
    <n v="13397822"/>
    <n v="13090452"/>
    <n v="17211313"/>
    <n v="21263698"/>
    <n v="13904338"/>
    <n v="13904338"/>
    <n v="-7359360"/>
    <n v="-0.34609972357583335"/>
  </r>
  <r>
    <x v="2"/>
    <x v="12"/>
    <x v="29"/>
    <s v="Data Engineering Dept."/>
    <s v="OVERHEAD/OTHERS"/>
    <n v="101721"/>
    <s v="P100010012"/>
    <s v="data-accounting"/>
    <s v="염화음"/>
    <s v="김시훈"/>
    <m/>
    <n v="23957587"/>
    <n v="25110445"/>
    <n v="23924888"/>
    <n v="23862749"/>
    <n v="22669253"/>
    <n v="22343410"/>
    <n v="22080733"/>
    <n v="21118887"/>
    <n v="20634632"/>
    <n v="27130065"/>
    <n v="33517809"/>
    <n v="21917304"/>
    <n v="21917304"/>
    <n v="-11600505"/>
    <n v="-0.34609974058865245"/>
  </r>
  <r>
    <x v="2"/>
    <x v="0"/>
    <x v="0"/>
    <s v="Data Engineering Dept."/>
    <s v="OVERHEAD/OTHERS"/>
    <n v="101651"/>
    <s v="I100099999"/>
    <s v="data-platform"/>
    <s v="염화음"/>
    <s v="김시훈"/>
    <s v="v"/>
    <n v="0"/>
    <n v="126728664"/>
    <n v="127628160"/>
    <n v="149218418"/>
    <n v="172934433"/>
    <n v="141380470"/>
    <n v="136497312.41119999"/>
    <n v="159184683"/>
    <n v="149900669"/>
    <n v="156504733"/>
    <n v="357963114"/>
    <n v="357026560"/>
    <n v="357026560"/>
    <n v="-936554"/>
    <n v="-2.6163421966431994E-3"/>
  </r>
  <r>
    <x v="2"/>
    <x v="12"/>
    <x v="29"/>
    <s v="Data Engineering Dept."/>
    <s v="OVERHEAD/OTHERS"/>
    <n v="101721"/>
    <s v="P100010012"/>
    <s v="data-platform"/>
    <s v="염화음"/>
    <s v="김시훈"/>
    <m/>
    <n v="199081588"/>
    <n v="207751908"/>
    <n v="209226492"/>
    <n v="244620357"/>
    <n v="283499070"/>
    <n v="231771262"/>
    <n v="215159698"/>
    <n v="250921631"/>
    <n v="236292378"/>
    <n v="246697246"/>
    <n v="564254593"/>
    <n v="562778310"/>
    <n v="562778310"/>
    <n v="-1476283"/>
    <n v="-2.6163420170866028E-3"/>
  </r>
  <r>
    <x v="2"/>
    <x v="0"/>
    <x v="0"/>
    <s v="Data Engineering Dept."/>
    <s v="OVERHEAD/OTHERS"/>
    <n v="100212"/>
    <s v="I100099999"/>
    <s v="data-service"/>
    <s v="염화음"/>
    <s v="문중현"/>
    <m/>
    <n v="0"/>
    <n v="2189"/>
    <n v="0"/>
    <m/>
    <m/>
    <m/>
    <m/>
    <m/>
    <n v="0"/>
    <n v="0"/>
    <n v="0"/>
    <n v="0"/>
    <m/>
    <n v="0"/>
    <s v=""/>
  </r>
  <r>
    <x v="2"/>
    <x v="12"/>
    <x v="29"/>
    <s v="Data Engineering Dept."/>
    <s v="OVERHEAD/OTHERS"/>
    <n v="100212"/>
    <s v="P100010048"/>
    <s v="data-service"/>
    <s v="염화음"/>
    <s v="문중현"/>
    <m/>
    <n v="3471486"/>
    <n v="3589"/>
    <n v="0"/>
    <m/>
    <m/>
    <m/>
    <m/>
    <m/>
    <n v="0"/>
    <n v="0"/>
    <n v="0"/>
    <n v="0"/>
    <m/>
    <n v="0"/>
    <s v=""/>
  </r>
  <r>
    <x v="2"/>
    <x v="0"/>
    <x v="0"/>
    <s v="Data Engineering Dept."/>
    <s v="OVERHEAD/OTHERS"/>
    <n v="101721"/>
    <s v="P100130145"/>
    <s v="data-tech"/>
    <s v="염화음"/>
    <s v="김시훈"/>
    <s v="v"/>
    <n v="0"/>
    <n v="65443626"/>
    <n v="83196799"/>
    <n v="88226201"/>
    <n v="97461072"/>
    <n v="91968279"/>
    <n v="99677091.6752"/>
    <n v="119954546"/>
    <n v="123162553"/>
    <n v="104060185"/>
    <n v="119579697"/>
    <n v="116618711"/>
    <n v="116618711"/>
    <n v="-2960986"/>
    <n v="-2.4761611496640603E-2"/>
  </r>
  <r>
    <x v="2"/>
    <x v="12"/>
    <x v="29"/>
    <s v="Data Engineering Dept."/>
    <s v="OVERHEAD/OTHERS"/>
    <n v="100033"/>
    <s v="P100010048"/>
    <s v="data-tech"/>
    <s v="염화음"/>
    <s v="김시훈"/>
    <m/>
    <n v="101244451"/>
    <n v="107284632"/>
    <n v="136388195"/>
    <n v="144633116"/>
    <n v="159772249"/>
    <n v="150767671"/>
    <n v="157120258"/>
    <n v="189083458"/>
    <n v="194140226"/>
    <n v="164029296"/>
    <n v="188492587"/>
    <n v="183825207"/>
    <n v="183825207"/>
    <n v="-4667380"/>
    <n v="-2.4761610386301293E-2"/>
  </r>
  <r>
    <x v="2"/>
    <x v="0"/>
    <x v="0"/>
    <s v="DevData Engineering Team"/>
    <s v="OVERHEAD/OTHERS"/>
    <n v="100829"/>
    <s v="P100010048"/>
    <s v="DB-Monitoring"/>
    <s v="이동준"/>
    <s v="이동준"/>
    <s v="v"/>
    <n v="0"/>
    <n v="91530"/>
    <n v="96451"/>
    <n v="96546"/>
    <n v="93628"/>
    <n v="90750"/>
    <n v="1221306.2784"/>
    <n v="1179310"/>
    <n v="115770"/>
    <n v="119820"/>
    <n v="108288"/>
    <n v="116597"/>
    <n v="116597"/>
    <n v="8309"/>
    <n v="7.6730570330969264E-2"/>
  </r>
  <r>
    <x v="2"/>
    <x v="12"/>
    <x v="29"/>
    <s v="DevData Engineering Team"/>
    <s v="OVERHEAD/OTHERS"/>
    <n v="100829"/>
    <s v="P100010012"/>
    <s v="DB-Monitoring"/>
    <s v="이동준"/>
    <s v="이동준"/>
    <m/>
    <n v="138544"/>
    <n v="150049"/>
    <n v="158117"/>
    <n v="158272"/>
    <n v="153489"/>
    <n v="148770"/>
    <n v="1925136"/>
    <n v="1858938"/>
    <n v="182487"/>
    <n v="188871"/>
    <n v="170693"/>
    <n v="183791"/>
    <n v="183791"/>
    <n v="13098"/>
    <n v="7.6734253894418639E-2"/>
  </r>
  <r>
    <x v="2"/>
    <x v="0"/>
    <x v="0"/>
    <s v="DevData Engineering Team"/>
    <s v="OVERHEAD/OTHERS"/>
    <n v="101799"/>
    <s v="I100099999"/>
    <s v="DB-Tech_BHS"/>
    <s v="김도현"/>
    <s v="김도현"/>
    <m/>
    <n v="0"/>
    <n v="323937"/>
    <n v="389658"/>
    <n v="595835"/>
    <n v="856721"/>
    <n v="923465"/>
    <n v="1165130.7927999999"/>
    <n v="2104265"/>
    <n v="2179241"/>
    <n v="1280283"/>
    <n v="2126445"/>
    <n v="9181045"/>
    <n v="9181045"/>
    <n v="7054600"/>
    <n v="3.3175558267436966"/>
  </r>
  <r>
    <x v="2"/>
    <x v="12"/>
    <x v="29"/>
    <s v="DevData Engineering Team"/>
    <s v="OVERHEAD/OTHERS"/>
    <n v="101799"/>
    <s v="P100010048"/>
    <s v="DB-Tech_BHS"/>
    <s v="김도현"/>
    <s v="김도현"/>
    <m/>
    <n v="511956"/>
    <n v="531044"/>
    <n v="638783"/>
    <n v="976778"/>
    <n v="1404460"/>
    <n v="1513877"/>
    <n v="1836587"/>
    <n v="3316937"/>
    <n v="3435122"/>
    <n v="2018100"/>
    <n v="3351899"/>
    <n v="14472013"/>
    <n v="14472013"/>
    <n v="11120114"/>
    <n v="3.317556406085028"/>
  </r>
  <r>
    <x v="2"/>
    <x v="0"/>
    <x v="0"/>
    <s v="Data Engineering Dept."/>
    <s v="OVERHEAD/OTHERS"/>
    <n v="100212"/>
    <s v="I100099999"/>
    <s v="ded-data-intelligence"/>
    <s v="염화음"/>
    <s v="문중현"/>
    <m/>
    <n v="0"/>
    <n v="7475391"/>
    <n v="14338676"/>
    <n v="497669"/>
    <n v="567236"/>
    <n v="2818292"/>
    <n v="1435164.4216"/>
    <n v="1555487"/>
    <n v="5437463"/>
    <n v="4623765"/>
    <n v="4114446"/>
    <n v="6756194"/>
    <n v="6756194"/>
    <n v="2641748"/>
    <n v="0.64206651393650571"/>
  </r>
  <r>
    <x v="2"/>
    <x v="12"/>
    <x v="29"/>
    <s v="Data Engineering Dept."/>
    <s v="OVERHEAD/OTHERS"/>
    <n v="100212"/>
    <s v="P100010048"/>
    <s v="ded-data-intelligence"/>
    <s v="염화음"/>
    <s v="문중현"/>
    <m/>
    <n v="3072171"/>
    <n v="12254739"/>
    <n v="23506026"/>
    <n v="815850"/>
    <n v="929895"/>
    <n v="4620150"/>
    <n v="2262239"/>
    <n v="2451903"/>
    <n v="8571032"/>
    <n v="7288407"/>
    <n v="6485571"/>
    <n v="10649738"/>
    <n v="10649738"/>
    <n v="4164167"/>
    <n v="0.64206636547499052"/>
  </r>
  <r>
    <x v="2"/>
    <x v="0"/>
    <x v="0"/>
    <s v="Data Engineering Dept."/>
    <s v="(2022)BATTLEGROUNDS_MOBILE_IN"/>
    <n v="101721"/>
    <s v="P100130145"/>
    <s v="ded-engineering"/>
    <s v="염화음"/>
    <s v="김시훈"/>
    <s v="v"/>
    <n v="0"/>
    <n v="41084654"/>
    <n v="34897936"/>
    <n v="30461387"/>
    <n v="40749550"/>
    <n v="82303641"/>
    <n v="84995686.9736"/>
    <n v="105864456"/>
    <n v="110659586"/>
    <n v="108055470"/>
    <n v="101452552"/>
    <n v="161713966"/>
    <n v="161713966"/>
    <n v="60261414"/>
    <n v="0.59398618183601726"/>
  </r>
  <r>
    <x v="2"/>
    <x v="12"/>
    <x v="29"/>
    <s v="Data Engineering Dept."/>
    <s v="(2022)BATTLEGROUNDS_MOBILE_IN"/>
    <n v="100033"/>
    <s v="P100010048"/>
    <s v="ded-engineering"/>
    <s v="염화음"/>
    <s v="김시훈"/>
    <m/>
    <n v="58544910"/>
    <n v="67351891"/>
    <n v="57209731"/>
    <n v="49936700"/>
    <n v="66802541"/>
    <n v="134924001"/>
    <n v="133978069"/>
    <n v="166873355"/>
    <n v="174484781"/>
    <n v="170327034"/>
    <n v="159918903"/>
    <n v="254908521"/>
    <n v="254908521"/>
    <n v="94989618"/>
    <n v="0.593986178106787"/>
  </r>
  <r>
    <x v="2"/>
    <x v="0"/>
    <x v="0"/>
    <s v="Live Service Support Dept."/>
    <s v="inZOI"/>
    <n v="100414"/>
    <s v="P100010012"/>
    <s v="DL-Service-SafeCanvas-inZOI-LiveOps"/>
    <s v="임형진"/>
    <s v="임형진"/>
    <m/>
    <n v="0"/>
    <n v="184"/>
    <n v="99"/>
    <n v="0"/>
    <n v="159"/>
    <n v="85"/>
    <n v="19.032"/>
    <n v="27"/>
    <n v="29"/>
    <n v="65"/>
    <n v="0"/>
    <n v="0"/>
    <n v="0"/>
    <n v="0"/>
    <s v=""/>
  </r>
  <r>
    <x v="2"/>
    <x v="12"/>
    <x v="29"/>
    <s v="Live Service Support Dept."/>
    <s v="inZOI"/>
    <n v="100553"/>
    <e v="#N/A"/>
    <s v="DL-Service-SafeCanvas-inZOI-LiveOps"/>
    <s v="임형진"/>
    <s v="임형진"/>
    <m/>
    <n v="345"/>
    <n v="302"/>
    <n v="163"/>
    <n v="0"/>
    <n v="261"/>
    <n v="139"/>
    <n v="30"/>
    <n v="43"/>
    <n v="46"/>
    <n v="103"/>
    <n v="0"/>
    <n v="0"/>
    <n v="0"/>
    <n v="0"/>
    <s v=""/>
  </r>
  <r>
    <x v="2"/>
    <x v="0"/>
    <x v="0"/>
    <s v="GPD1 Publishing Coordination Team"/>
    <s v="inZOI"/>
    <n v="100810"/>
    <s v="I100090817"/>
    <s v="DL-Service-SafeCanvas-inZOI-Publishing2"/>
    <s v="임형진"/>
    <s v="국용상"/>
    <m/>
    <n v="0"/>
    <n v="128546"/>
    <n v="72109"/>
    <n v="47250"/>
    <n v="113201"/>
    <n v="329653"/>
    <n v="33605.436800000003"/>
    <n v="0"/>
    <n v="0"/>
    <n v="0"/>
    <n v="40905"/>
    <n v="62216"/>
    <n v="62216"/>
    <n v="21311"/>
    <n v="0.5209876543209877"/>
  </r>
  <r>
    <x v="2"/>
    <x v="12"/>
    <x v="29"/>
    <s v="GPD1 Publishing Coordination Team"/>
    <s v="inZOI"/>
    <n v="100810"/>
    <s v="P100010012"/>
    <s v="DL-Service-SafeCanvas-inZOI-Publishing2"/>
    <s v="임형진"/>
    <s v="국용상"/>
    <m/>
    <n v="470504"/>
    <n v="210731"/>
    <n v="118211"/>
    <n v="77459"/>
    <n v="185575"/>
    <n v="540414"/>
    <n v="52972"/>
    <n v="0"/>
    <n v="0"/>
    <n v="0"/>
    <n v="64479"/>
    <n v="98070"/>
    <n v="98070"/>
    <n v="33591"/>
    <n v="0.52096031265993581"/>
  </r>
  <r>
    <x v="2"/>
    <x v="0"/>
    <x v="0"/>
    <s v="Live Service Support Dept."/>
    <s v="Dark and Darker_Mobile"/>
    <n v="100774"/>
    <s v="I100099999"/>
    <s v="DL-Service-Toxic-Filter-DnDM"/>
    <s v="오명석"/>
    <s v="오명석"/>
    <m/>
    <n v="0"/>
    <n v="0"/>
    <n v="0"/>
    <m/>
    <m/>
    <m/>
    <m/>
    <m/>
    <n v="0"/>
    <n v="0"/>
    <n v="0"/>
    <n v="0"/>
    <m/>
    <n v="0"/>
    <s v=""/>
  </r>
  <r>
    <x v="2"/>
    <x v="12"/>
    <x v="29"/>
    <s v="Live Service Support Dept."/>
    <s v="Dark and Darker_Mobile"/>
    <n v="101835"/>
    <s v="P100010048"/>
    <s v="DL-Service-Toxic-Filter-DnDM"/>
    <s v="오명석"/>
    <s v="오명석"/>
    <m/>
    <n v="0"/>
    <n v="0"/>
    <n v="0"/>
    <m/>
    <m/>
    <m/>
    <m/>
    <m/>
    <n v="0"/>
    <n v="0"/>
    <n v="0"/>
    <n v="0"/>
    <m/>
    <n v="0"/>
    <s v=""/>
  </r>
  <r>
    <x v="2"/>
    <x v="0"/>
    <x v="0"/>
    <s v="Live Service Support Dept."/>
    <s v="inZOI"/>
    <n v="101835"/>
    <s v="I100099999"/>
    <s v="DL-Service-Toxic-Filter-inZOI"/>
    <s v="오명석"/>
    <s v="오명석"/>
    <m/>
    <n v="0"/>
    <n v="4585"/>
    <n v="1"/>
    <n v="0"/>
    <n v="0"/>
    <n v="0"/>
    <n v="0"/>
    <n v="0"/>
    <n v="0"/>
    <n v="0"/>
    <n v="0"/>
    <n v="0"/>
    <n v="0"/>
    <n v="0"/>
    <s v=""/>
  </r>
  <r>
    <x v="2"/>
    <x v="12"/>
    <x v="29"/>
    <s v="Live Service Support Dept."/>
    <s v="inZOI"/>
    <n v="100090"/>
    <s v="P100010048"/>
    <s v="DL-Service-Toxic-Filter-inZOI"/>
    <s v="오명석"/>
    <s v="오명석"/>
    <m/>
    <n v="29"/>
    <n v="7516"/>
    <n v="2"/>
    <n v="0"/>
    <n v="0"/>
    <n v="0"/>
    <n v="0"/>
    <n v="0"/>
    <n v="0"/>
    <n v="0"/>
    <n v="0"/>
    <n v="0"/>
    <n v="0"/>
    <n v="0"/>
    <s v=""/>
  </r>
  <r>
    <x v="2"/>
    <x v="0"/>
    <x v="0"/>
    <s v="Service DevOps Team"/>
    <s v="OVERHEAD/OTHERS"/>
    <n v="100553"/>
    <s v="P100130012"/>
    <s v="EME-SUNSET-API"/>
    <s v="장은진"/>
    <s v="장은진"/>
    <m/>
    <n v="0"/>
    <n v="142797"/>
    <n v="142696"/>
    <n v="142797"/>
    <n v="142797"/>
    <n v="142696"/>
    <n v="148503.524"/>
    <n v="148404"/>
    <n v="148509"/>
    <n v="148509"/>
    <n v="148117"/>
    <n v="148509"/>
    <n v="148509"/>
    <n v="392"/>
    <n v="2.6465564384911926E-3"/>
  </r>
  <r>
    <x v="2"/>
    <x v="12"/>
    <x v="29"/>
    <s v="Service DevOps Team"/>
    <s v="OVERHEAD/OTHERS"/>
    <n v="100553"/>
    <e v="#N/A"/>
    <s v="EME-SUNSET-API"/>
    <s v="장은진"/>
    <s v="장은진"/>
    <m/>
    <n v="233928"/>
    <n v="234093"/>
    <n v="233928"/>
    <n v="234093"/>
    <n v="234093"/>
    <n v="233928"/>
    <n v="234085"/>
    <n v="233928"/>
    <n v="234093"/>
    <n v="234093"/>
    <n v="233475"/>
    <n v="234093"/>
    <n v="234093"/>
    <n v="618"/>
    <n v="2.6469643430774171E-3"/>
  </r>
  <r>
    <x v="2"/>
    <x v="0"/>
    <x v="0"/>
    <s v="Publishing Tech PM Part"/>
    <s v="OVERHEAD/OTHERS"/>
    <n v="100368"/>
    <s v="P100030014"/>
    <s v="EME-SUNSET-BACKUP"/>
    <s v="김정언"/>
    <s v="김정언"/>
    <s v="v"/>
    <n v="0"/>
    <n v="104600"/>
    <n v="104600"/>
    <n v="104600"/>
    <n v="104600"/>
    <n v="104600"/>
    <n v="108784.3744"/>
    <n v="108784"/>
    <n v="108784"/>
    <n v="108784"/>
    <n v="108784"/>
    <n v="108784"/>
    <n v="108784"/>
    <n v="0"/>
    <n v="0"/>
  </r>
  <r>
    <x v="2"/>
    <x v="12"/>
    <x v="29"/>
    <s v="Publishing Tech PM Part"/>
    <s v="OVERHEAD/OTHERS"/>
    <n v="101835"/>
    <s v="P100010048"/>
    <s v="EME-SUNSET-BACKUP"/>
    <s v="김정언"/>
    <s v="김정언"/>
    <s v="v"/>
    <n v="171809"/>
    <n v="171475"/>
    <n v="171476"/>
    <n v="171476"/>
    <n v="171476"/>
    <n v="171476"/>
    <n v="171476"/>
    <n v="171476"/>
    <n v="171476"/>
    <n v="171476"/>
    <n v="171476"/>
    <n v="171476"/>
    <n v="171476"/>
    <n v="0"/>
    <n v="0"/>
  </r>
  <r>
    <x v="2"/>
    <x v="13"/>
    <x v="30"/>
    <s v="EME IT Admin Part"/>
    <s v="BLACK BUDGET"/>
    <n v="110119"/>
    <s v="AI Tools"/>
    <s v="EMEA_VisualStudio"/>
    <s v="Ben Moore"/>
    <s v="Ben Moore"/>
    <m/>
    <n v="1640680"/>
    <n v="1000815"/>
    <n v="1000815"/>
    <n v="1000815"/>
    <n v="1000815"/>
    <n v="1000815"/>
    <n v="1000814.8"/>
    <n v="1000815"/>
    <n v="1000815"/>
    <n v="1000815"/>
    <n v="1000815"/>
    <n v="0"/>
    <m/>
    <n v="-1000815"/>
    <n v="-1"/>
  </r>
  <r>
    <x v="2"/>
    <x v="12"/>
    <x v="29"/>
    <s v="EME IT Admin Part"/>
    <s v="BLACK BUDGET"/>
    <n v="110119"/>
    <s v="AI Tools"/>
    <s v="EMEA_VisualStudio"/>
    <s v="Ben Moore"/>
    <s v="Ben Moore"/>
    <m/>
    <m/>
    <m/>
    <m/>
    <n v="1640680"/>
    <n v="1640680"/>
    <n v="1640680"/>
    <n v="1640680"/>
    <n v="1640680"/>
    <n v="1640680"/>
    <n v="1640680"/>
    <n v="1640680"/>
    <n v="0"/>
    <m/>
    <n v="-1640680"/>
    <n v="-1"/>
  </r>
  <r>
    <x v="2"/>
    <x v="0"/>
    <x v="0"/>
    <s v="IT Dept."/>
    <s v="OVERHEAD/OTHERS"/>
    <n v="105011"/>
    <s v="P100010055"/>
    <s v="ERP_SystemCell"/>
    <s v="백용원"/>
    <s v="백용원"/>
    <s v="v"/>
    <n v="0"/>
    <n v="3097273"/>
    <n v="20956469"/>
    <n v="3031878"/>
    <n v="2943603"/>
    <n v="2968924"/>
    <n v="3311401.7872000001"/>
    <n v="3570659"/>
    <n v="3642868"/>
    <n v="3769614"/>
    <n v="3888371"/>
    <n v="3975313"/>
    <n v="3975313"/>
    <n v="86942"/>
    <n v="2.2359491931196896E-2"/>
  </r>
  <r>
    <x v="2"/>
    <x v="12"/>
    <x v="29"/>
    <s v="IT Dept."/>
    <s v="OVERHEAD/OTHERS"/>
    <n v="101537"/>
    <s v="P100010012"/>
    <s v="ERP_SystemCell"/>
    <s v="백용원"/>
    <s v="백용원"/>
    <s v="v"/>
    <n v="5076819"/>
    <n v="5077496"/>
    <n v="4846670"/>
    <n v="4970292"/>
    <n v="4825578"/>
    <n v="4867089"/>
    <n v="5219738"/>
    <n v="5628404"/>
    <n v="5742684"/>
    <n v="5942015"/>
    <n v="6129211"/>
    <n v="6266257"/>
    <n v="6266257"/>
    <n v="137046"/>
    <n v="2.2359484768920503E-2"/>
  </r>
  <r>
    <x v="2"/>
    <x v="9"/>
    <x v="18"/>
    <s v="Flyway Games"/>
    <s v="Flyway Games"/>
    <e v="#N/A"/>
    <s v="AI Tools"/>
    <s v="Flyway-visualstudio"/>
    <s v="전민욱"/>
    <s v="전민욱"/>
    <m/>
    <n v="164068"/>
    <n v="100081"/>
    <n v="100081"/>
    <n v="100081"/>
    <n v="120260"/>
    <n v="150122"/>
    <n v="186442.23"/>
    <n v="225183"/>
    <n v="250204"/>
    <n v="250204"/>
    <n v="250204"/>
    <n v="0"/>
    <m/>
    <n v="-250204"/>
    <n v="-1"/>
  </r>
  <r>
    <x v="2"/>
    <x v="12"/>
    <x v="29"/>
    <s v="Flyway Games"/>
    <s v="Flyway Games"/>
    <n v="100677"/>
    <s v="P100010048"/>
    <s v="Flyway-visualstudio"/>
    <s v="전민욱"/>
    <s v="전민욱"/>
    <m/>
    <n v="0"/>
    <n v="164068"/>
    <n v="164068"/>
    <n v="164068"/>
    <n v="265949"/>
    <n v="246102"/>
    <n v="305643"/>
    <n v="369153"/>
    <n v="410170"/>
    <n v="410170"/>
    <n v="410170"/>
    <n v="0"/>
    <m/>
    <n v="-410170"/>
    <n v="-1"/>
  </r>
  <r>
    <x v="2"/>
    <x v="0"/>
    <x v="0"/>
    <s v="Service DevOps Team"/>
    <s v="OVERHEAD/OTHERS"/>
    <n v="100036"/>
    <s v="I100099999"/>
    <s v="GameDevTest2304"/>
    <s v="엄기성"/>
    <s v="엄기성"/>
    <m/>
    <n v="0"/>
    <n v="0"/>
    <n v="0"/>
    <m/>
    <m/>
    <m/>
    <m/>
    <m/>
    <n v="0"/>
    <n v="0"/>
    <n v="0"/>
    <n v="0"/>
    <m/>
    <n v="0"/>
    <s v=""/>
  </r>
  <r>
    <x v="2"/>
    <x v="12"/>
    <x v="29"/>
    <s v="Service DevOps Team"/>
    <s v="OVERHEAD/OTHERS"/>
    <n v="100037"/>
    <s v="P100010048"/>
    <s v="GameDevTest2304"/>
    <s v="엄기성"/>
    <s v="엄기성"/>
    <m/>
    <n v="0"/>
    <n v="0"/>
    <n v="0"/>
    <m/>
    <m/>
    <m/>
    <m/>
    <m/>
    <n v="0"/>
    <n v="0"/>
    <n v="0"/>
    <n v="0"/>
    <m/>
    <n v="0"/>
    <s v=""/>
  </r>
  <r>
    <x v="2"/>
    <x v="0"/>
    <x v="0"/>
    <s v="Service DevOps Team"/>
    <s v="OVERHEAD/OTHERS"/>
    <n v="100033"/>
    <s v="I100099999"/>
    <s v="giseongeom-DevTest"/>
    <s v="엄기성"/>
    <s v="엄기성"/>
    <m/>
    <n v="0"/>
    <n v="240056"/>
    <n v="221064"/>
    <n v="222559"/>
    <n v="214214"/>
    <n v="199449"/>
    <n v="207198.212"/>
    <n v="200526"/>
    <n v="207295"/>
    <n v="200727"/>
    <n v="198608"/>
    <n v="202264"/>
    <n v="202264"/>
    <n v="3656"/>
    <n v="1.8408120518810925E-2"/>
  </r>
  <r>
    <x v="2"/>
    <x v="12"/>
    <x v="29"/>
    <s v="Service DevOps Team"/>
    <s v="OVERHEAD/OTHERS"/>
    <n v="100037"/>
    <s v="P100010048"/>
    <s v="giseongeom-DevTest"/>
    <s v="엄기성"/>
    <s v="엄기성"/>
    <m/>
    <n v="389854"/>
    <n v="393534"/>
    <n v="362400"/>
    <n v="364850"/>
    <n v="351171"/>
    <n v="326965"/>
    <n v="326605"/>
    <n v="316088"/>
    <n v="326758"/>
    <n v="316405"/>
    <n v="313064"/>
    <n v="318828"/>
    <n v="318828"/>
    <n v="5764"/>
    <n v="1.8411570797025528E-2"/>
  </r>
  <r>
    <x v="2"/>
    <x v="0"/>
    <x v="0"/>
    <s v="System Team"/>
    <s v="OVERHEAD/OTHERS"/>
    <n v="105011"/>
    <s v="P100010055"/>
    <s v="GitHub-Cloud-Azure-Enterprise"/>
    <s v="백용원"/>
    <s v="백용원"/>
    <s v="v"/>
    <n v="0"/>
    <n v="4285978"/>
    <n v="4535689"/>
    <n v="4700283"/>
    <n v="4819475"/>
    <n v="4998676"/>
    <n v="5333632.9903999995"/>
    <n v="6047147"/>
    <n v="6555691"/>
    <n v="6958431"/>
    <n v="7257705"/>
    <n v="7379760"/>
    <n v="7379760"/>
    <n v="122055"/>
    <n v="1.6817299683577661E-2"/>
  </r>
  <r>
    <x v="2"/>
    <x v="12"/>
    <x v="29"/>
    <s v="System Team"/>
    <s v="OVERHEAD/OTHERS"/>
    <n v="101537"/>
    <s v="P100010012"/>
    <s v="GitHub-Cloud-Azure-Enterprise"/>
    <s v="백용원"/>
    <s v="백용원"/>
    <s v="v"/>
    <n v="6928615"/>
    <n v="7026194"/>
    <n v="7435555"/>
    <n v="7705382"/>
    <n v="7900779"/>
    <n v="8194550"/>
    <n v="8407366"/>
    <n v="9532073"/>
    <n v="10333687"/>
    <n v="10968523"/>
    <n v="11440266"/>
    <n v="11632661"/>
    <n v="11632661"/>
    <n v="192395"/>
    <n v="1.6817353722369741E-2"/>
  </r>
  <r>
    <x v="2"/>
    <x v="0"/>
    <x v="0"/>
    <s v="Publishing Portfolio Management Team"/>
    <s v="OVERHEAD/OTHERS"/>
    <m/>
    <m/>
    <s v="gp-playtest-tool"/>
    <m/>
    <s v="백상훈"/>
    <m/>
    <m/>
    <m/>
    <m/>
    <m/>
    <m/>
    <m/>
    <m/>
    <m/>
    <m/>
    <m/>
    <m/>
    <n v="394"/>
    <n v="394"/>
    <n v="394"/>
    <s v=""/>
  </r>
  <r>
    <x v="2"/>
    <x v="12"/>
    <x v="29"/>
    <s v="Publishing Portfolio Management Team"/>
    <s v="OVERHEAD/OTHERS"/>
    <m/>
    <m/>
    <s v="gp-playtest-tool"/>
    <m/>
    <s v="백상훈"/>
    <m/>
    <m/>
    <m/>
    <m/>
    <m/>
    <m/>
    <m/>
    <m/>
    <m/>
    <m/>
    <m/>
    <m/>
    <n v="621"/>
    <n v="621"/>
    <n v="621"/>
    <s v=""/>
  </r>
  <r>
    <x v="2"/>
    <x v="0"/>
    <x v="31"/>
    <m/>
    <s v="OVERHEAD/OTHERS"/>
    <n v="100076"/>
    <s v="P100010048"/>
    <s v="KraftonMontrealStudio"/>
    <m/>
    <m/>
    <m/>
    <m/>
    <m/>
    <m/>
    <m/>
    <m/>
    <m/>
    <m/>
    <m/>
    <n v="7065"/>
    <n v="18151"/>
    <n v="20331"/>
    <n v="22161"/>
    <n v="22161"/>
    <n v="1830"/>
    <n v="9.0010329054153751E-2"/>
  </r>
  <r>
    <x v="2"/>
    <x v="12"/>
    <x v="29"/>
    <m/>
    <s v="OVERHEAD/OTHERS"/>
    <n v="110119"/>
    <s v="AI Tools"/>
    <s v="KraftonMontrealStudio"/>
    <m/>
    <m/>
    <m/>
    <m/>
    <m/>
    <m/>
    <m/>
    <m/>
    <m/>
    <m/>
    <m/>
    <m/>
    <n v="28611"/>
    <n v="32047"/>
    <n v="34933"/>
    <n v="34933"/>
    <n v="2886"/>
    <n v="9.0055231378912221E-2"/>
  </r>
  <r>
    <x v="2"/>
    <x v="0"/>
    <x v="0"/>
    <s v="L10N Team"/>
    <s v="OVERHEAD/OTHERS"/>
    <n v="100677"/>
    <s v="I100099999"/>
    <s v="L10N"/>
    <s v="김재헌"/>
    <s v="전평준"/>
    <s v="v"/>
    <n v="0"/>
    <n v="3729345"/>
    <n v="4503851"/>
    <n v="4752644"/>
    <n v="4729282"/>
    <n v="4570596"/>
    <n v="4875433.784"/>
    <n v="6098403"/>
    <n v="5160618"/>
    <n v="4907736"/>
    <n v="4627068"/>
    <n v="5020605"/>
    <n v="5020605"/>
    <n v="393537"/>
    <n v="8.5051051767555605E-2"/>
  </r>
  <r>
    <x v="2"/>
    <x v="12"/>
    <x v="29"/>
    <s v="L10N Team"/>
    <s v="OVERHEAD/OTHERS"/>
    <n v="100561"/>
    <s v="AI Tools"/>
    <s v="L10N"/>
    <s v="김재헌"/>
    <s v="전평준"/>
    <m/>
    <n v="6739152"/>
    <n v="6113680"/>
    <n v="7383363"/>
    <n v="7791220"/>
    <n v="7752921"/>
    <n v="7492781"/>
    <n v="7685110"/>
    <n v="9612868"/>
    <n v="8134643"/>
    <n v="7736028"/>
    <n v="7293613"/>
    <n v="7913943"/>
    <n v="7913943"/>
    <n v="620330"/>
    <n v="8.5051126238806479E-2"/>
  </r>
  <r>
    <x v="2"/>
    <x v="0"/>
    <x v="2"/>
    <s v="MS DevOps Team"/>
    <s v="OVERHEAD/OTHERS"/>
    <n v="100774"/>
    <s v="I100099999"/>
    <s v="majesta"/>
    <s v="천궁원"/>
    <s v="엄희영"/>
    <s v="v"/>
    <n v="0"/>
    <n v="0"/>
    <n v="0"/>
    <n v="0"/>
    <n v="0"/>
    <n v="0"/>
    <n v="41443.687248793998"/>
    <n v="2547814"/>
    <n v="2749611"/>
    <n v="2818120"/>
    <n v="2285967"/>
    <n v="2189229"/>
    <n v="2189229"/>
    <n v="-96738"/>
    <n v="-4.231819619443325E-2"/>
  </r>
  <r>
    <x v="2"/>
    <x v="12"/>
    <x v="29"/>
    <s v="MS DevOps Team"/>
    <s v="OVERHEAD/OTHERS"/>
    <n v="100092"/>
    <s v="P100010048"/>
    <s v="majesta"/>
    <s v="천궁원"/>
    <s v="엄희영"/>
    <s v="v"/>
    <n v="3346784"/>
    <n v="3546603"/>
    <n v="0"/>
    <n v="3850441"/>
    <n v="3103765"/>
    <n v="4380720"/>
    <n v="4221852"/>
    <n v="4016100"/>
    <n v="4334192"/>
    <n v="4442182"/>
    <n v="3603352"/>
    <n v="3450865"/>
    <n v="3450865"/>
    <n v="-152487"/>
    <n v="-4.2318097149542981E-2"/>
  </r>
  <r>
    <x v="2"/>
    <x v="0"/>
    <x v="0"/>
    <s v="IN Platform Business Dept._HQ"/>
    <s v="OVERHEAD/OTHERS"/>
    <n v="100025"/>
    <s v="I100099999"/>
    <s v="MCA"/>
    <s v="이승우"/>
    <s v="이승우"/>
    <m/>
    <m/>
    <m/>
    <m/>
    <m/>
    <m/>
    <m/>
    <m/>
    <m/>
    <m/>
    <n v="9406566"/>
    <n v="0"/>
    <n v="0"/>
    <m/>
    <n v="0"/>
    <s v=""/>
  </r>
  <r>
    <x v="2"/>
    <x v="12"/>
    <x v="29"/>
    <s v="IN Platform Business Dept._HQ"/>
    <s v="OVERHEAD/OTHERS"/>
    <n v="100025"/>
    <s v="P100010048"/>
    <s v="MCA"/>
    <s v="이승우"/>
    <s v="이승우"/>
    <m/>
    <m/>
    <m/>
    <m/>
    <m/>
    <m/>
    <m/>
    <m/>
    <m/>
    <m/>
    <n v="0"/>
    <n v="0"/>
    <n v="0"/>
    <m/>
    <n v="0"/>
    <s v=""/>
  </r>
  <r>
    <x v="2"/>
    <x v="0"/>
    <x v="0"/>
    <s v="Milestone Review Support Office"/>
    <s v="OVERHEAD/OTHERS"/>
    <n v="100033"/>
    <s v="I100099999"/>
    <s v="MRSO"/>
    <s v="송진나"/>
    <s v="송진나"/>
    <s v="v"/>
    <m/>
    <m/>
    <m/>
    <m/>
    <m/>
    <m/>
    <m/>
    <m/>
    <m/>
    <n v="17552"/>
    <n v="6021"/>
    <n v="39863"/>
    <n v="39863"/>
    <n v="33842"/>
    <n v="5.6206610197641584"/>
  </r>
  <r>
    <x v="2"/>
    <x v="12"/>
    <x v="29"/>
    <s v="Milestone Review Support Office"/>
    <s v="OVERHEAD/OTHERS"/>
    <n v="100033"/>
    <s v="P100010048"/>
    <s v="MRSO"/>
    <s v="송진나"/>
    <s v="송진나"/>
    <s v="v"/>
    <m/>
    <m/>
    <m/>
    <m/>
    <m/>
    <m/>
    <m/>
    <m/>
    <m/>
    <n v="0"/>
    <n v="9491"/>
    <n v="62836"/>
    <n v="62836"/>
    <n v="53345"/>
    <n v="5.6205879254030133"/>
  </r>
  <r>
    <x v="2"/>
    <x v="0"/>
    <x v="0"/>
    <s v="Milestone Review Support Office"/>
    <s v="OVERHEAD/OTHERS"/>
    <n v="101269"/>
    <s v="I100099999"/>
    <s v="MRSO_old"/>
    <s v="송진나"/>
    <s v="송진나"/>
    <s v="v"/>
    <m/>
    <m/>
    <m/>
    <m/>
    <m/>
    <m/>
    <m/>
    <m/>
    <m/>
    <m/>
    <n v="68850"/>
    <n v="0"/>
    <m/>
    <n v="-68850"/>
    <n v="-1"/>
  </r>
  <r>
    <x v="2"/>
    <x v="14"/>
    <x v="25"/>
    <s v="Nautilus"/>
    <s v="Nautilus"/>
    <n v="110119"/>
    <s v="AI Tools"/>
    <s v="Nautilus_azure_sce_krafton_general"/>
    <s v="Mithil Bhatia"/>
    <s v="Mithil Bhatia"/>
    <s v="v"/>
    <m/>
    <m/>
    <m/>
    <m/>
    <n v="0"/>
    <n v="9427554"/>
    <n v="605447.25280000002"/>
    <n v="18349095"/>
    <n v="24970152"/>
    <n v="26039966"/>
    <n v="26065314"/>
    <n v="29799779"/>
    <n v="29799779"/>
    <n v="3734465"/>
    <n v="0.14327335554062384"/>
  </r>
  <r>
    <x v="2"/>
    <x v="12"/>
    <x v="29"/>
    <s v="Nautilus"/>
    <s v="Nautilus"/>
    <n v="100076"/>
    <s v="P100010048"/>
    <s v="Nautilus_azure_sce_krafton_general"/>
    <m/>
    <m/>
    <m/>
    <m/>
    <m/>
    <m/>
    <n v="4488659"/>
    <n v="22485885"/>
    <n v="20099067"/>
    <n v="27584638"/>
    <n v="29425293"/>
    <n v="39360265"/>
    <n v="41046604"/>
    <n v="41086560"/>
    <n v="46973170"/>
    <n v="46973170"/>
    <n v="5886610"/>
    <n v="0.1432733721197394"/>
  </r>
  <r>
    <x v="2"/>
    <x v="6"/>
    <x v="12"/>
    <s v="OVDR People Team"/>
    <s v="OVERHEAD/OTHERS"/>
    <n v="100212"/>
    <s v="P100010048"/>
    <s v="overdare_visualstudio"/>
    <s v="나윤호"/>
    <s v="나윤호"/>
    <m/>
    <n v="1066442"/>
    <n v="650530"/>
    <n v="650530"/>
    <n v="639230"/>
    <n v="650530"/>
    <n v="650530"/>
    <n v="625509.25"/>
    <n v="625509"/>
    <n v="625509"/>
    <n v="625509"/>
    <n v="625509"/>
    <n v="0"/>
    <m/>
    <n v="-625509"/>
    <n v="-1"/>
  </r>
  <r>
    <x v="2"/>
    <x v="12"/>
    <x v="29"/>
    <s v="OVDR People Team"/>
    <s v="OVERHEAD/OTHERS"/>
    <n v="100212"/>
    <s v="P100010048"/>
    <s v="overdare_visualstudio"/>
    <s v="나윤호"/>
    <s v="나윤호"/>
    <m/>
    <n v="0"/>
    <n v="1066442"/>
    <n v="1066442"/>
    <n v="1047918"/>
    <n v="1066442"/>
    <n v="1066442"/>
    <n v="1025425"/>
    <n v="1025425"/>
    <n v="1025425"/>
    <n v="1025425"/>
    <n v="1025425"/>
    <n v="0"/>
    <m/>
    <n v="-1025425"/>
    <n v="-1"/>
  </r>
  <r>
    <x v="2"/>
    <x v="0"/>
    <x v="2"/>
    <s v="Black Budget Div."/>
    <s v="BLACK BUDGET"/>
    <n v="101451"/>
    <s v="I100099999"/>
    <s v="PBB Dev"/>
    <s v="조원빈"/>
    <s v="조원빈"/>
    <m/>
    <n v="0"/>
    <n v="64923422"/>
    <n v="32400079"/>
    <n v="67015755"/>
    <n v="93084079"/>
    <n v="86855377"/>
    <n v="98894909.464000002"/>
    <n v="86537325"/>
    <n v="193495469"/>
    <n v="100301273"/>
    <n v="99110413"/>
    <n v="107833504"/>
    <n v="107833504"/>
    <n v="8723091"/>
    <n v="8.8013869945229667E-2"/>
  </r>
  <r>
    <x v="2"/>
    <x v="12"/>
    <x v="29"/>
    <s v="Black Budget Div."/>
    <s v="BLACK BUDGET"/>
    <n v="101451"/>
    <s v="P100010048"/>
    <s v="PBB Dev"/>
    <s v="조원빈"/>
    <s v="조원빈"/>
    <m/>
    <n v="58472583"/>
    <n v="106431840"/>
    <n v="53114884"/>
    <n v="109861894"/>
    <n v="152596850"/>
    <n v="142385864"/>
    <n v="155887310"/>
    <n v="136408141"/>
    <n v="305005468"/>
    <n v="158104150"/>
    <n v="156227007"/>
    <n v="169977150"/>
    <n v="169977150"/>
    <n v="13750143"/>
    <n v="8.8013866898186174E-2"/>
  </r>
  <r>
    <x v="2"/>
    <x v="0"/>
    <x v="0"/>
    <s v="KOS Engineering Dept."/>
    <s v="OVERHEAD/OTHERS"/>
    <n v="101269"/>
    <s v="I100099999"/>
    <s v="PPE-KCN"/>
    <s v="조국환"/>
    <s v="신근우"/>
    <m/>
    <n v="0"/>
    <n v="27264"/>
    <n v="153677"/>
    <n v="155119"/>
    <n v="148833"/>
    <n v="89015"/>
    <n v="88956.202399999995"/>
    <n v="86061"/>
    <n v="88809"/>
    <n v="86604"/>
    <n v="84916"/>
    <n v="86931"/>
    <n v="86931"/>
    <n v="2015"/>
    <n v="2.372933251684017E-2"/>
  </r>
  <r>
    <x v="2"/>
    <x v="12"/>
    <x v="29"/>
    <s v="KOS Engineering Dept."/>
    <s v="OVERHEAD/OTHERS"/>
    <e v="#N/A"/>
    <s v="P100010012"/>
    <s v="PPE-KCN"/>
    <s v="조국환"/>
    <s v="신근우"/>
    <m/>
    <n v="2955"/>
    <n v="44695"/>
    <n v="251929"/>
    <n v="254294"/>
    <n v="243989"/>
    <n v="145927"/>
    <n v="140221"/>
    <n v="135657"/>
    <n v="139989"/>
    <n v="136513"/>
    <n v="133853"/>
    <n v="137028"/>
    <n v="137028"/>
    <n v="3175"/>
    <n v="2.3720051100834496E-2"/>
  </r>
  <r>
    <x v="2"/>
    <x v="9"/>
    <x v="18"/>
    <s v="Service DevOps Team"/>
    <s v="Project MC"/>
    <n v="102057"/>
    <s v="P100010048"/>
    <s v="Project-MC"/>
    <s v="엄기성"/>
    <s v="엄기성"/>
    <m/>
    <n v="0"/>
    <n v="0"/>
    <m/>
    <m/>
    <m/>
    <m/>
    <m/>
    <m/>
    <n v="0"/>
    <n v="0"/>
    <n v="0"/>
    <n v="0"/>
    <m/>
    <n v="0"/>
    <s v=""/>
  </r>
  <r>
    <x v="2"/>
    <x v="12"/>
    <x v="29"/>
    <s v="Service DevOps Team"/>
    <s v="Project MC"/>
    <n v="102057"/>
    <s v="P100010048"/>
    <s v="Project-MC"/>
    <s v="엄기성"/>
    <s v="엄기성"/>
    <m/>
    <n v="0"/>
    <n v="0"/>
    <n v="0"/>
    <m/>
    <m/>
    <m/>
    <m/>
    <m/>
    <n v="0"/>
    <n v="0"/>
    <n v="0"/>
    <n v="0"/>
    <m/>
    <n v="0"/>
    <s v=""/>
  </r>
  <r>
    <x v="2"/>
    <x v="0"/>
    <x v="2"/>
    <s v="PUBG PC&amp;Console Dev Div."/>
    <s v="BATTLEGROUNDS_PC/CONSOLE"/>
    <n v="100974"/>
    <s v="I100099999"/>
    <s v="PUBG Console"/>
    <s v="김정헌"/>
    <s v="최준석"/>
    <s v="v"/>
    <n v="0"/>
    <n v="43349022"/>
    <n v="40223578"/>
    <n v="34438652"/>
    <n v="29686673"/>
    <n v="28623552"/>
    <n v="29541266.757599998"/>
    <n v="40130689"/>
    <n v="55695481"/>
    <n v="57950978"/>
    <n v="65344334"/>
    <n v="62481829"/>
    <n v="62481829"/>
    <n v="-2862505"/>
    <n v="-4.3806476013666308E-2"/>
  </r>
  <r>
    <x v="2"/>
    <x v="12"/>
    <x v="29"/>
    <s v="PUBG PC&amp;Console Dev Div."/>
    <s v="BATTLEGROUNDS_PC/CONSOLE"/>
    <n v="101835"/>
    <s v="P100010012"/>
    <s v="PUBG Console"/>
    <s v="김정헌"/>
    <s v="최준석"/>
    <s v="v"/>
    <n v="71663951"/>
    <n v="71063971"/>
    <n v="65940291"/>
    <n v="56456807"/>
    <n v="48666677"/>
    <n v="46923856"/>
    <n v="46565679"/>
    <n v="63257706"/>
    <n v="87792373"/>
    <n v="91347696"/>
    <n v="103001788"/>
    <n v="98489642"/>
    <n v="98489642"/>
    <n v="-4512146"/>
    <n v="-4.3806482271938813E-2"/>
  </r>
  <r>
    <x v="2"/>
    <x v="0"/>
    <x v="2"/>
    <s v="PUBG PC&amp;Console Dev Div."/>
    <s v="BATTLEGROUNDS_PC/CONSOLE"/>
    <n v="101835"/>
    <s v="I100099999"/>
    <s v="PUBG DevOps"/>
    <s v="김정헌"/>
    <s v="최준석"/>
    <s v="v"/>
    <n v="0"/>
    <n v="31892561"/>
    <n v="29032457"/>
    <n v="27276188"/>
    <n v="28936216"/>
    <n v="46992394"/>
    <n v="37244470.660800003"/>
    <n v="39551595"/>
    <n v="42634095"/>
    <n v="44015945"/>
    <n v="43136249"/>
    <n v="44909556"/>
    <n v="44909556"/>
    <n v="1773307"/>
    <n v="4.1109439070606255E-2"/>
  </r>
  <r>
    <x v="2"/>
    <x v="12"/>
    <x v="29"/>
    <s v="PUBG PC&amp;Console Dev Div."/>
    <s v="BATTLEGROUNDS_PC/CONSOLE"/>
    <n v="101835"/>
    <s v="P100010012"/>
    <s v="PUBG DevOps"/>
    <s v="김정헌"/>
    <s v="최준석"/>
    <s v="v"/>
    <n v="50497745"/>
    <n v="52282887"/>
    <n v="47594192"/>
    <n v="44715062"/>
    <n v="47436420"/>
    <n v="77036712"/>
    <n v="58708182"/>
    <n v="62344885"/>
    <n v="67203806"/>
    <n v="69382006"/>
    <n v="67995349"/>
    <n v="70790599"/>
    <n v="70790599"/>
    <n v="2795250"/>
    <n v="4.110942941112046E-2"/>
  </r>
  <r>
    <x v="2"/>
    <x v="0"/>
    <x v="2"/>
    <s v="PUBG PC&amp;Console Dev Div."/>
    <s v="BATTLEGROUNDS_PC/CONSOLE"/>
    <n v="101835"/>
    <s v="I100099999"/>
    <s v="PUBG PC"/>
    <s v="김정헌"/>
    <s v="최준석"/>
    <s v="v"/>
    <n v="0"/>
    <n v="654122055"/>
    <n v="632675274"/>
    <n v="643153731"/>
    <n v="613043775"/>
    <n v="583476656"/>
    <n v="629518453.13759995"/>
    <n v="566841287"/>
    <n v="608623170"/>
    <n v="614123098"/>
    <n v="545561778"/>
    <n v="674310259"/>
    <n v="674310259"/>
    <n v="128748481"/>
    <n v="0.23599248736226533"/>
  </r>
  <r>
    <x v="2"/>
    <x v="12"/>
    <x v="29"/>
    <s v="PUBG PC&amp;Console Dev Div."/>
    <s v="BATTLEGROUNDS_PC/CONSOLE"/>
    <n v="100974"/>
    <s v="P100010048"/>
    <s v="PUBG PC"/>
    <s v="김정헌"/>
    <s v="최준석"/>
    <s v="v"/>
    <n v="1107321813"/>
    <n v="1072331238"/>
    <n v="1037172581"/>
    <n v="1054350379"/>
    <n v="1004989795"/>
    <n v="956519110"/>
    <n v="992305254"/>
    <n v="893507704"/>
    <n v="959368174"/>
    <n v="968037670"/>
    <n v="859964972"/>
    <n v="1062910245"/>
    <n v="1062910245"/>
    <n v="202945273"/>
    <n v="0.2359924876102977"/>
  </r>
  <r>
    <x v="2"/>
    <x v="0"/>
    <x v="0"/>
    <s v="BGMI DevOps Team"/>
    <s v="(2022)BATTLEGROUNDS_MOBILE_IN"/>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r>
  <r>
    <x v="2"/>
    <x v="12"/>
    <x v="29"/>
    <s v="BGMI DevOps Team"/>
    <s v="(2022)BATTLEGROUNDS_MOBILE_IN"/>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r>
  <r>
    <x v="2"/>
    <x v="0"/>
    <x v="0"/>
    <s v="BGMI DevOps Team"/>
    <s v="(2022)BATTLEGROUNDS_MOBILE_IN"/>
    <n v="101721"/>
    <s v="I100099999"/>
    <s v="pubg_mobile_Test"/>
    <s v="조동현"/>
    <s v="조한경"/>
    <s v="v"/>
    <n v="0"/>
    <n v="5918183"/>
    <n v="10063622"/>
    <n v="7652918"/>
    <n v="6458424"/>
    <n v="5882031"/>
    <n v="7633905.2192000002"/>
    <n v="8523777"/>
    <n v="8947618"/>
    <n v="9256166"/>
    <n v="8813779"/>
    <n v="9441613"/>
    <n v="9441613"/>
    <n v="627834"/>
    <n v="7.1233236050052995E-2"/>
  </r>
  <r>
    <x v="2"/>
    <x v="12"/>
    <x v="29"/>
    <s v="BGMI DevOps Team"/>
    <s v="(2022)BATTLEGROUNDS_MOBILE_IN"/>
    <n v="100212"/>
    <s v="P100010048"/>
    <s v="pubg_mobile_Test"/>
    <s v="조동현"/>
    <s v="조한경"/>
    <m/>
    <n v="5229135"/>
    <n v="9701940"/>
    <n v="16497741"/>
    <n v="12545767"/>
    <n v="10587581"/>
    <n v="9642674"/>
    <n v="12033268"/>
    <n v="13435967"/>
    <n v="14104063"/>
    <n v="14590426"/>
    <n v="13893094"/>
    <n v="14882745"/>
    <n v="14882745"/>
    <n v="989651"/>
    <n v="7.1233304834761785E-2"/>
  </r>
  <r>
    <x v="2"/>
    <x v="0"/>
    <x v="2"/>
    <s v="PUBG Valor Div."/>
    <s v="Valor_console"/>
    <n v="101537"/>
    <s v="P100010055"/>
    <s v="PUBG-Madison"/>
    <s v="송영재"/>
    <s v="송영재"/>
    <m/>
    <n v="0"/>
    <n v="0"/>
    <n v="0"/>
    <m/>
    <m/>
    <m/>
    <m/>
    <m/>
    <n v="0"/>
    <n v="0"/>
    <n v="0"/>
    <n v="0"/>
    <m/>
    <n v="0"/>
    <s v=""/>
  </r>
  <r>
    <x v="2"/>
    <x v="12"/>
    <x v="29"/>
    <s v="PUBG Valor Div."/>
    <s v="Valor_console"/>
    <n v="101537"/>
    <s v="P100010012"/>
    <s v="PUBG-Madison"/>
    <s v="송영재"/>
    <s v="송영재"/>
    <m/>
    <n v="0"/>
    <n v="0"/>
    <n v="0"/>
    <m/>
    <m/>
    <m/>
    <m/>
    <m/>
    <n v="0"/>
    <n v="0"/>
    <n v="0"/>
    <n v="0"/>
    <m/>
    <n v="0"/>
    <s v=""/>
  </r>
  <r>
    <x v="2"/>
    <x v="12"/>
    <x v="29"/>
    <s v="ReLU Dev Dept."/>
    <s v="ReLU Games"/>
    <n v="100090"/>
    <s v="P100010048"/>
    <s v="ReLu_deep learning"/>
    <s v="이기문"/>
    <s v="이기문"/>
    <m/>
    <n v="389251"/>
    <n v="436911"/>
    <n v="437712"/>
    <n v="439454"/>
    <n v="436084"/>
    <n v="417513"/>
    <n v="433062"/>
    <n v="416606"/>
    <n v="465768"/>
    <n v="432899"/>
    <n v="359540"/>
    <n v="393443"/>
    <n v="393443"/>
    <n v="33903"/>
    <n v="9.4295488679979972E-2"/>
  </r>
  <r>
    <x v="2"/>
    <x v="15"/>
    <x v="13"/>
    <s v="ReLU Dev Dept."/>
    <s v="ReLU Games"/>
    <n v="100090"/>
    <s v="P100010048"/>
    <s v="ReLu_deep learning"/>
    <s v="이기문"/>
    <s v="이기문"/>
    <s v="v"/>
    <n v="0"/>
    <n v="266516"/>
    <n v="267004"/>
    <n v="268067"/>
    <n v="266011"/>
    <n v="254683"/>
    <n v="274734.53279999999"/>
    <n v="264295"/>
    <n v="295483"/>
    <n v="274631"/>
    <n v="228092"/>
    <n v="249600"/>
    <n v="249600"/>
    <n v="21508"/>
    <n v="9.4295284358942882E-2"/>
  </r>
  <r>
    <x v="2"/>
    <x v="12"/>
    <x v="29"/>
    <s v="ReLU Dev Dept."/>
    <s v="ReLU Games"/>
    <e v="#N/A"/>
    <s v="P100010048"/>
    <s v="relu_deeplearning_prod"/>
    <s v="이기문"/>
    <s v="이기문"/>
    <m/>
    <n v="24488"/>
    <n v="26056"/>
    <n v="25343"/>
    <n v="25869"/>
    <n v="26130"/>
    <n v="27454"/>
    <n v="27549"/>
    <n v="31547"/>
    <n v="36060"/>
    <n v="32075"/>
    <n v="27016"/>
    <n v="29955"/>
    <n v="29955"/>
    <n v="2939"/>
    <n v="0.10878738525318329"/>
  </r>
  <r>
    <x v="2"/>
    <x v="15"/>
    <x v="32"/>
    <s v="ReLU Dev Dept."/>
    <s v="ReLU Games"/>
    <e v="#N/A"/>
    <s v="P100010048"/>
    <s v="relu_deeplearning_prod"/>
    <s v="이기문"/>
    <s v="이기문"/>
    <s v="v"/>
    <n v="0"/>
    <n v="15894"/>
    <n v="15459"/>
    <n v="15780"/>
    <n v="15939"/>
    <n v="16747"/>
    <n v="17477.085599999999"/>
    <n v="20013"/>
    <n v="22876"/>
    <n v="20348"/>
    <n v="17139"/>
    <n v="19003"/>
    <n v="19003"/>
    <n v="1864"/>
    <n v="0.10875780383919716"/>
  </r>
  <r>
    <x v="2"/>
    <x v="12"/>
    <x v="29"/>
    <s v="ReLU Dev Dept."/>
    <s v="ReLU Games"/>
    <n v="460013"/>
    <s v="P100010048"/>
    <s v="relu_deeplearning_prod_secondary"/>
    <s v="이기문"/>
    <s v="이기문"/>
    <m/>
    <n v="24484"/>
    <n v="26080"/>
    <n v="25554"/>
    <n v="26303"/>
    <n v="26354"/>
    <n v="27607"/>
    <n v="27579"/>
    <n v="31525"/>
    <n v="36068"/>
    <n v="32075"/>
    <n v="27022"/>
    <n v="29965"/>
    <n v="29965"/>
    <n v="2943"/>
    <n v="0.10891125749389387"/>
  </r>
  <r>
    <x v="2"/>
    <x v="15"/>
    <x v="32"/>
    <s v="ReLU Dev Dept."/>
    <s v="ReLU Games"/>
    <n v="460013"/>
    <s v="P100010048"/>
    <s v="relu_deeplearning_prod_secondary"/>
    <s v="이기문"/>
    <s v="이기문"/>
    <s v="v"/>
    <n v="0"/>
    <n v="15909"/>
    <n v="15588"/>
    <n v="16045"/>
    <n v="16076"/>
    <n v="16840"/>
    <n v="17496.117600000001"/>
    <n v="19999"/>
    <n v="22882"/>
    <n v="20348"/>
    <n v="17143"/>
    <n v="19010"/>
    <n v="19010"/>
    <n v="1867"/>
    <n v="0.1089074257714519"/>
  </r>
  <r>
    <x v="2"/>
    <x v="12"/>
    <x v="29"/>
    <s v="AI research center"/>
    <s v="OVERHEAD/OTHERS"/>
    <e v="#N/A"/>
    <s v="P100010012"/>
    <s v="Research"/>
    <s v="심재한"/>
    <s v="심재한"/>
    <m/>
    <n v="29889"/>
    <n v="58705"/>
    <n v="51794"/>
    <n v="54218"/>
    <n v="58561"/>
    <n v="76466"/>
    <n v="53111"/>
    <n v="40466"/>
    <n v="22490"/>
    <n v="22489"/>
    <n v="22254"/>
    <n v="22489"/>
    <n v="22489"/>
    <n v="235"/>
    <n v="1.0559899343938169E-2"/>
  </r>
  <r>
    <x v="2"/>
    <x v="2"/>
    <x v="6"/>
    <s v="AI research center"/>
    <s v="OVERHEAD/OTHERS"/>
    <n v="100036"/>
    <s v="I100099999"/>
    <s v="Research"/>
    <s v="심재한"/>
    <s v="심재한"/>
    <m/>
    <n v="0"/>
    <n v="35810"/>
    <n v="31594"/>
    <n v="33073"/>
    <n v="35722"/>
    <n v="46644"/>
    <n v="33693.618399999999"/>
    <n v="25672"/>
    <n v="14268"/>
    <n v="14267"/>
    <n v="14118"/>
    <n v="14267"/>
    <n v="14267"/>
    <n v="149"/>
    <n v="1.0553902819096189E-2"/>
  </r>
  <r>
    <x v="2"/>
    <x v="0"/>
    <x v="4"/>
    <s v="Striking Distance Studios"/>
    <s v="The Callisto Protocol"/>
    <n v="110119"/>
    <s v="AI Tools"/>
    <s v="SDS-Azure subscription"/>
    <s v="Jordan Yerkes"/>
    <s v="Jordan Yerkes"/>
    <m/>
    <n v="0"/>
    <n v="0"/>
    <n v="0"/>
    <n v="1"/>
    <m/>
    <n v="0"/>
    <m/>
    <n v="0"/>
    <n v="0"/>
    <n v="0"/>
    <n v="0"/>
    <n v="0"/>
    <m/>
    <n v="0"/>
    <s v=""/>
  </r>
  <r>
    <x v="2"/>
    <x v="12"/>
    <x v="29"/>
    <s v="Striking Distance Studios"/>
    <s v="The Callisto Protocol"/>
    <n v="110119"/>
    <s v="AI Tools"/>
    <s v="SDS-Azure subscription"/>
    <s v="Jordan Yerkes"/>
    <s v="Jordan Yerkes"/>
    <m/>
    <n v="2"/>
    <n v="0"/>
    <n v="1"/>
    <n v="1"/>
    <n v="1"/>
    <n v="0"/>
    <n v="1"/>
    <n v="0"/>
    <n v="1"/>
    <n v="0"/>
    <n v="1"/>
    <n v="1"/>
    <n v="1"/>
    <n v="0"/>
    <n v="0"/>
  </r>
  <r>
    <x v="2"/>
    <x v="0"/>
    <x v="0"/>
    <s v="Security Policy Part"/>
    <s v="OVERHEAD/OTHERS"/>
    <n v="101940"/>
    <s v="I100099999"/>
    <s v="security_policy_prod"/>
    <s v="조남원"/>
    <s v="조남원"/>
    <s v="v"/>
    <m/>
    <m/>
    <m/>
    <m/>
    <m/>
    <m/>
    <m/>
    <m/>
    <n v="4"/>
    <n v="18"/>
    <n v="6"/>
    <n v="17867"/>
    <n v="17867"/>
    <n v="17861"/>
    <n v="2976.8333333333335"/>
  </r>
  <r>
    <x v="2"/>
    <x v="12"/>
    <x v="29"/>
    <s v="Security Policy Part"/>
    <s v="OVERHEAD/OTHERS"/>
    <n v="101940"/>
    <s v="P100010048"/>
    <s v="security_policy_prod"/>
    <s v="조남원"/>
    <s v="조남원"/>
    <s v="v"/>
    <m/>
    <m/>
    <m/>
    <m/>
    <m/>
    <m/>
    <m/>
    <m/>
    <m/>
    <n v="29"/>
    <n v="9"/>
    <n v="28163"/>
    <n v="28163"/>
    <n v="28154"/>
    <n v="3128.2222222222222"/>
  </r>
  <r>
    <x v="2"/>
    <x v="0"/>
    <x v="0"/>
    <s v="Security Dept."/>
    <s v="OVERHEAD/OTHERS"/>
    <n v="101835"/>
    <s v="I100099999"/>
    <s v="Security_VDI"/>
    <s v="홍준화"/>
    <s v="홍준화"/>
    <s v="v"/>
    <n v="0"/>
    <n v="3750159"/>
    <n v="5263924"/>
    <n v="9174285"/>
    <n v="9778425"/>
    <n v="10102923"/>
    <n v="10306813.223200001"/>
    <n v="10732462"/>
    <n v="11368561"/>
    <n v="12220988"/>
    <n v="12729421"/>
    <n v="14888597"/>
    <n v="14888597"/>
    <n v="2159176"/>
    <n v="0.16962091205876528"/>
  </r>
  <r>
    <x v="2"/>
    <x v="12"/>
    <x v="29"/>
    <s v="Security Dept."/>
    <s v="OVERHEAD/OTHERS"/>
    <n v="100037"/>
    <s v="P100010048"/>
    <s v="Security_VDI"/>
    <s v="홍준화"/>
    <s v="홍준화"/>
    <s v="v"/>
    <n v="2571411"/>
    <n v="6147802"/>
    <n v="8629384"/>
    <n v="15039812"/>
    <n v="16030205"/>
    <n v="16562169"/>
    <n v="16246553"/>
    <n v="16917500"/>
    <n v="17920178"/>
    <n v="19263852"/>
    <n v="20065291"/>
    <n v="23468785"/>
    <n v="23468785"/>
    <n v="3403494"/>
    <n v="0.16962096388235784"/>
  </r>
  <r>
    <x v="2"/>
    <x v="0"/>
    <x v="0"/>
    <s v="IN Platform Business Dept._HQ"/>
    <s v="Cricket All Stars"/>
    <n v="100368"/>
    <s v="P100030014"/>
    <s v="SRC-India-DEV"/>
    <s v="김정언"/>
    <s v="김정언"/>
    <s v="v"/>
    <m/>
    <m/>
    <m/>
    <m/>
    <m/>
    <m/>
    <m/>
    <m/>
    <n v="0"/>
    <n v="31079"/>
    <n v="1127183"/>
    <n v="0"/>
    <n v="0"/>
    <n v="-1127183"/>
    <n v="-1"/>
  </r>
  <r>
    <x v="2"/>
    <x v="12"/>
    <x v="29"/>
    <s v="IN Platform Business Dept._HQ"/>
    <s v="Cricket All Stars"/>
    <n v="101835"/>
    <s v="P100010048"/>
    <s v="SRC-India-DEV"/>
    <s v="김정언"/>
    <s v="김정언"/>
    <m/>
    <m/>
    <m/>
    <m/>
    <m/>
    <m/>
    <m/>
    <m/>
    <m/>
    <m/>
    <n v="48989"/>
    <n v="1776770"/>
    <n v="5023982"/>
    <n v="5023982"/>
    <n v="3247212"/>
    <n v="1.8275927666495946"/>
  </r>
  <r>
    <x v="2"/>
    <x v="0"/>
    <x v="0"/>
    <s v="Strategic Alignment Office"/>
    <s v="OVERHEAD/OTHERS"/>
    <n v="100212"/>
    <s v="I100099999"/>
    <s v="Strategic Alignment Office"/>
    <s v="박승아"/>
    <s v="박승아"/>
    <s v="v"/>
    <m/>
    <m/>
    <m/>
    <m/>
    <m/>
    <m/>
    <m/>
    <m/>
    <n v="0"/>
    <n v="13313"/>
    <n v="17695"/>
    <n v="19225"/>
    <n v="19225"/>
    <n v="1530"/>
    <n v="8.6465103136479232E-2"/>
  </r>
  <r>
    <x v="2"/>
    <x v="12"/>
    <x v="29"/>
    <s v="Strategic Alignment Office"/>
    <s v="OVERHEAD/OTHERS"/>
    <n v="100212"/>
    <s v="P100010048"/>
    <s v="Strategic Alignment Office"/>
    <s v="박승아"/>
    <s v="박승아"/>
    <m/>
    <m/>
    <m/>
    <m/>
    <m/>
    <m/>
    <m/>
    <m/>
    <m/>
    <m/>
    <n v="20985"/>
    <n v="27892"/>
    <n v="30304"/>
    <n v="30304"/>
    <n v="2412"/>
    <n v="8.6476409006166641E-2"/>
  </r>
  <r>
    <x v="2"/>
    <x v="0"/>
    <x v="0"/>
    <s v="IN Platform Business Dept._HQ"/>
    <s v="OVERHEAD/OTHERS"/>
    <n v="100033"/>
    <e v="#N/A"/>
    <s v="SUNZO"/>
    <s v="이승우"/>
    <s v="이승우"/>
    <m/>
    <m/>
    <m/>
    <m/>
    <m/>
    <m/>
    <m/>
    <m/>
    <m/>
    <m/>
    <m/>
    <n v="1731437"/>
    <n v="7003366"/>
    <n v="7003366"/>
    <n v="5271929"/>
    <n v="3.0448286596624654"/>
  </r>
  <r>
    <x v="2"/>
    <x v="12"/>
    <x v="29"/>
    <s v="IN Platform Business Dept._HQ"/>
    <s v="OVERHEAD/OTHERS"/>
    <n v="100033"/>
    <s v="I100099999"/>
    <s v="SUNZO"/>
    <s v="이승우"/>
    <s v="이승우"/>
    <m/>
    <m/>
    <m/>
    <m/>
    <m/>
    <m/>
    <m/>
    <m/>
    <m/>
    <m/>
    <m/>
    <n v="2729251"/>
    <n v="11039354"/>
    <n v="11039354"/>
    <n v="8310103"/>
    <n v="3.0448291490962172"/>
  </r>
  <r>
    <x v="2"/>
    <x v="0"/>
    <x v="0"/>
    <s v="IN Platform Business Dept._HQ"/>
    <s v="OVERHEAD/OTHERS"/>
    <n v="100414"/>
    <s v="P100010012"/>
    <s v="SUNZO_old"/>
    <s v="이승우"/>
    <s v="이승우"/>
    <m/>
    <m/>
    <m/>
    <m/>
    <m/>
    <m/>
    <m/>
    <m/>
    <m/>
    <m/>
    <m/>
    <n v="31836944"/>
    <n v="0"/>
    <m/>
    <n v="-31836944"/>
    <n v="-1"/>
  </r>
  <r>
    <x v="2"/>
    <x v="0"/>
    <x v="0"/>
    <s v="System Team"/>
    <s v="OVERHEAD/OTHERS"/>
    <n v="100561"/>
    <s v="P100010013"/>
    <s v="Teams Room Pro"/>
    <s v="정윤환"/>
    <s v="정윤환"/>
    <m/>
    <m/>
    <m/>
    <m/>
    <m/>
    <m/>
    <m/>
    <m/>
    <m/>
    <n v="0"/>
    <n v="68735"/>
    <n v="0"/>
    <n v="0"/>
    <m/>
    <n v="0"/>
    <s v=""/>
  </r>
  <r>
    <x v="2"/>
    <x v="5"/>
    <x v="9"/>
    <s v="T_Console Service Part"/>
    <s v="TERA_Console"/>
    <e v="#N/A"/>
    <e v="#N/A"/>
    <s v="TRCS-AP-Azure-Enterprise"/>
    <s v="장은진"/>
    <s v="장은진"/>
    <s v="v"/>
    <n v="0"/>
    <n v="3856679"/>
    <n v="3683346"/>
    <n v="3743177"/>
    <n v="3653615"/>
    <n v="3922959"/>
    <n v="3940138.4983999999"/>
    <n v="3777309"/>
    <n v="3983307"/>
    <n v="3892641"/>
    <n v="3717170"/>
    <n v="3916345"/>
    <n v="3916345"/>
    <n v="199175"/>
    <n v="5.358242964405717E-2"/>
  </r>
  <r>
    <x v="2"/>
    <x v="12"/>
    <x v="29"/>
    <s v="T_Console Service Part"/>
    <s v="TERA_Console"/>
    <n v="100553"/>
    <e v="#N/A"/>
    <s v="TRCS-AP-Azure-Enterprise"/>
    <s v="장은진"/>
    <s v="장은진"/>
    <m/>
    <n v="5491183"/>
    <n v="6322424"/>
    <n v="6038272"/>
    <n v="6136355"/>
    <n v="5989533"/>
    <n v="6431081"/>
    <n v="6210811"/>
    <n v="5954144"/>
    <n v="6278857"/>
    <n v="6135941"/>
    <n v="5859348"/>
    <n v="6173306"/>
    <n v="6173306"/>
    <n v="313958"/>
    <n v="5.3582412241088943E-2"/>
  </r>
  <r>
    <x v="2"/>
    <x v="5"/>
    <x v="9"/>
    <s v="T_Console Service Part"/>
    <s v="TERA_Console"/>
    <e v="#N/A"/>
    <e v="#N/A"/>
    <s v="TRCS-AP-Azure-Enterprise-DevTest"/>
    <s v="장은진"/>
    <s v="장은진"/>
    <s v="v"/>
    <n v="0"/>
    <n v="3705594"/>
    <n v="3560658"/>
    <n v="3530653"/>
    <n v="3306576"/>
    <n v="3612062"/>
    <n v="3746040.0120000001"/>
    <n v="3640784"/>
    <n v="3749390"/>
    <n v="3685507"/>
    <n v="3495136"/>
    <n v="3245935"/>
    <n v="3245935"/>
    <n v="-249201"/>
    <n v="-7.1299371469379161E-2"/>
  </r>
  <r>
    <x v="2"/>
    <x v="12"/>
    <x v="29"/>
    <s v="T_Console Service Part"/>
    <s v="TERA_Console"/>
    <n v="100459"/>
    <s v="AI Tools"/>
    <s v="TRCS-AP-Azure-Enterprise-DevTest"/>
    <s v="장은진"/>
    <s v="장은진"/>
    <m/>
    <n v="6038949"/>
    <n v="6074744"/>
    <n v="5837145"/>
    <n v="5787956"/>
    <n v="5420617"/>
    <n v="5921413"/>
    <n v="5904855"/>
    <n v="5738941"/>
    <n v="5910135"/>
    <n v="5809438"/>
    <n v="5509357"/>
    <n v="5116543"/>
    <n v="5116543"/>
    <n v="-392814"/>
    <n v="-7.1299427501249235E-2"/>
  </r>
  <r>
    <x v="2"/>
    <x v="5"/>
    <x v="9"/>
    <s v="T_Console Service Part"/>
    <s v="TERA_Console"/>
    <e v="#N/A"/>
    <e v="#N/A"/>
    <s v="TRCS-Azure-Enterprise"/>
    <s v="장은진"/>
    <s v="장은진"/>
    <s v="v"/>
    <n v="0"/>
    <n v="15630180"/>
    <n v="14799265"/>
    <n v="14966148"/>
    <n v="14475951"/>
    <n v="14023479"/>
    <n v="14720369.5496"/>
    <n v="14191387"/>
    <n v="14744226"/>
    <n v="14412521"/>
    <n v="13819269"/>
    <n v="14282518"/>
    <n v="14282518"/>
    <n v="463249"/>
    <n v="3.3521961255693046E-2"/>
  </r>
  <r>
    <x v="2"/>
    <x v="12"/>
    <x v="29"/>
    <s v="T_Console Service Part"/>
    <s v="TERA_Console"/>
    <n v="100459"/>
    <s v="AI Tools"/>
    <s v="TRCS-Azure-Enterprise"/>
    <s v="장은진"/>
    <s v="장은진"/>
    <m/>
    <n v="25668476"/>
    <n v="25623246"/>
    <n v="24261089"/>
    <n v="24534670"/>
    <n v="23731068"/>
    <n v="22989310"/>
    <n v="23203609"/>
    <n v="22369777"/>
    <n v="23241386"/>
    <n v="22718349"/>
    <n v="21783211"/>
    <n v="22513427"/>
    <n v="22513427"/>
    <n v="730216"/>
    <n v="3.3521963313856713E-2"/>
  </r>
  <r>
    <x v="2"/>
    <x v="5"/>
    <x v="9"/>
    <s v="T_Console Service Part"/>
    <s v="TERA_Console"/>
    <e v="#N/A"/>
    <e v="#N/A"/>
    <s v="TRCS-Azure-Enterprise-DevTest"/>
    <s v="장은진"/>
    <s v="장은진"/>
    <s v="v"/>
    <n v="0"/>
    <n v="3135165"/>
    <n v="3241010"/>
    <n v="3285226"/>
    <n v="3008475"/>
    <n v="3014797"/>
    <n v="3157726"/>
    <n v="3276885"/>
    <n v="3786220"/>
    <n v="3605524"/>
    <n v="3406434"/>
    <n v="3053938"/>
    <n v="3053938"/>
    <n v="-352496"/>
    <n v="-0.10347947442985832"/>
  </r>
  <r>
    <x v="2"/>
    <x v="12"/>
    <x v="29"/>
    <s v="T_Console Service Part"/>
    <s v="TERA_Console"/>
    <e v="#N/A"/>
    <s v="AI Tools"/>
    <s v="TRCS-Azure-Enterprise-DevTest"/>
    <s v="장은진"/>
    <s v="장은진"/>
    <m/>
    <n v="5113778"/>
    <n v="5139616"/>
    <n v="5313131"/>
    <n v="5385616"/>
    <n v="4931926"/>
    <n v="4942290"/>
    <n v="4977500"/>
    <n v="5165330"/>
    <n v="5968191"/>
    <n v="5683360"/>
    <n v="5369537"/>
    <n v="4813900"/>
    <n v="4813900"/>
    <n v="-555637"/>
    <n v="-0.10347949925663982"/>
  </r>
  <r>
    <x v="2"/>
    <x v="0"/>
    <x v="0"/>
    <s v="Culture Team"/>
    <s v="OVERHEAD/OTHERS"/>
    <m/>
    <m/>
    <s v="WoW"/>
    <m/>
    <s v="이서진"/>
    <m/>
    <m/>
    <m/>
    <m/>
    <m/>
    <m/>
    <m/>
    <m/>
    <m/>
    <m/>
    <m/>
    <m/>
    <n v="578"/>
    <n v="578"/>
    <n v="578"/>
    <s v=""/>
  </r>
  <r>
    <x v="2"/>
    <x v="12"/>
    <x v="29"/>
    <s v="Culture Team"/>
    <s v="OVERHEAD/OTHERS"/>
    <m/>
    <m/>
    <s v="WoW"/>
    <m/>
    <s v="이서진"/>
    <m/>
    <m/>
    <m/>
    <m/>
    <m/>
    <m/>
    <m/>
    <m/>
    <m/>
    <m/>
    <m/>
    <m/>
    <n v="911"/>
    <n v="911"/>
    <n v="911"/>
    <s v=""/>
  </r>
  <r>
    <x v="2"/>
    <x v="0"/>
    <x v="30"/>
    <s v="West Scale-up Dept."/>
    <s v="OVERHEAD/OTHERS"/>
    <n v="110119"/>
    <s v="AI Tools"/>
    <s v="WPS AI Ops Team (wps_ai_ops_team)"/>
    <s v="Love Hedman"/>
    <s v="Love Hedman"/>
    <m/>
    <n v="0"/>
    <n v="5"/>
    <n v="5"/>
    <n v="6"/>
    <n v="6"/>
    <n v="54"/>
    <n v="1370.9384"/>
    <n v="738"/>
    <n v="247"/>
    <n v="211"/>
    <n v="246"/>
    <n v="232"/>
    <n v="232"/>
    <n v="-14"/>
    <n v="-5.6910569105691054E-2"/>
  </r>
  <r>
    <x v="2"/>
    <x v="12"/>
    <x v="29"/>
    <s v="West Scale-up Dept."/>
    <s v="OVERHEAD/OTHERS"/>
    <n v="110119"/>
    <s v="AI Tools"/>
    <s v="WPS AI Ops Team (wps_ai_ops_team)"/>
    <s v="Love Hedman"/>
    <s v="Love Hedman"/>
    <m/>
    <m/>
    <n v="9"/>
    <n v="9"/>
    <n v="10"/>
    <n v="10"/>
    <n v="89"/>
    <n v="2161"/>
    <n v="1164"/>
    <n v="389"/>
    <n v="332"/>
    <n v="387"/>
    <n v="365"/>
    <n v="365"/>
    <n v="-22"/>
    <n v="-5.6847545219638244E-2"/>
  </r>
  <r>
    <x v="2"/>
    <x v="0"/>
    <x v="0"/>
    <s v="Experience Engineering Dept."/>
    <s v="OVERHEAD/OTHERS"/>
    <n v="100414"/>
    <s v="P100010012"/>
    <s v="xe_git_bee"/>
    <s v="허지호"/>
    <s v="이준호"/>
    <m/>
    <m/>
    <m/>
    <m/>
    <m/>
    <n v="261"/>
    <n v="1490"/>
    <n v="5186.22"/>
    <n v="7841"/>
    <n v="3395"/>
    <n v="0"/>
    <n v="0"/>
    <n v="0"/>
    <n v="0"/>
    <n v="0"/>
    <s v=""/>
  </r>
  <r>
    <x v="2"/>
    <x v="12"/>
    <x v="29"/>
    <s v="Experience Engineering Dept."/>
    <s v="OVERHEAD/OTHERS"/>
    <n v="100414"/>
    <s v="P100010012"/>
    <s v="xe_git_bee"/>
    <s v="허지호"/>
    <s v="이준호"/>
    <m/>
    <m/>
    <m/>
    <m/>
    <m/>
    <n v="261"/>
    <n v="2442"/>
    <n v="8175"/>
    <n v="12359"/>
    <n v="5352"/>
    <n v="0"/>
    <n v="0"/>
    <n v="0"/>
    <n v="0"/>
    <n v="0"/>
    <s v=""/>
  </r>
  <r>
    <x v="2"/>
    <x v="0"/>
    <x v="1"/>
    <s v="[N/A]New State Dev Div."/>
    <s v="PUBG:NEW STATE"/>
    <n v="100033"/>
    <s v="I100099999"/>
    <s v="XTRM-data"/>
    <s v="염화음"/>
    <s v="김시훈"/>
    <s v="v"/>
    <n v="0"/>
    <n v="57649"/>
    <n v="57539"/>
    <n v="59060"/>
    <n v="59068"/>
    <n v="57083"/>
    <n v="61482.875999999997"/>
    <n v="59373"/>
    <n v="61401"/>
    <n v="61125"/>
    <n v="55946"/>
    <n v="61464"/>
    <n v="61464"/>
    <n v="5518"/>
    <n v="9.8630822578915381E-2"/>
  </r>
  <r>
    <x v="2"/>
    <x v="12"/>
    <x v="29"/>
    <s v="[N/A]New State Dev Div."/>
    <s v="PUBG:NEW STATE"/>
    <n v="100033"/>
    <s v="P100010048"/>
    <s v="XTRM-data"/>
    <s v="염화음"/>
    <s v="김시훈"/>
    <m/>
    <n v="90761"/>
    <n v="94506"/>
    <n v="94326"/>
    <n v="96820"/>
    <n v="96833"/>
    <n v="93578"/>
    <n v="96915"/>
    <n v="93590"/>
    <n v="96786"/>
    <n v="96351"/>
    <n v="88188"/>
    <n v="96886"/>
    <n v="96886"/>
    <n v="8698"/>
    <n v="9.8630199120061685E-2"/>
  </r>
  <r>
    <x v="2"/>
    <x v="0"/>
    <x v="1"/>
    <s v="[N/A]New State Dev Div."/>
    <s v="PUBG:NEW STATE"/>
    <n v="100553"/>
    <s v="P100130012"/>
    <s v="xtrm-newstate"/>
    <s v="김태완"/>
    <s v="김태완"/>
    <s v="v"/>
    <n v="0"/>
    <n v="500502"/>
    <n v="482910"/>
    <n v="496106"/>
    <n v="492526"/>
    <n v="476804"/>
    <n v="510204.14640000003"/>
    <n v="449423"/>
    <n v="439923"/>
    <n v="440244"/>
    <n v="399650"/>
    <n v="440445"/>
    <n v="440445"/>
    <n v="40795"/>
    <n v="0.10207681721506318"/>
  </r>
  <r>
    <x v="2"/>
    <x v="12"/>
    <x v="29"/>
    <s v="[N/A]New State Dev Div."/>
    <s v="PUBG:NEW STATE"/>
    <n v="101721"/>
    <e v="#N/A"/>
    <s v="xtrm-newstate"/>
    <s v="김태완"/>
    <s v="김태완"/>
    <m/>
    <n v="681483"/>
    <n v="820495"/>
    <n v="791655"/>
    <n v="813289"/>
    <n v="807419"/>
    <n v="781646"/>
    <n v="804231"/>
    <n v="708422"/>
    <n v="693447"/>
    <n v="693954"/>
    <n v="629965"/>
    <n v="694270"/>
    <n v="694270"/>
    <n v="64305"/>
    <n v="0.10207709952140198"/>
  </r>
  <r>
    <x v="2"/>
    <x v="0"/>
    <x v="1"/>
    <s v="Service DevOps Team"/>
    <s v="PUBG:NEW STATE"/>
    <n v="100092"/>
    <s v="I100099999"/>
    <s v="XTRM-Web"/>
    <s v="엄기성"/>
    <s v="엄기성"/>
    <m/>
    <n v="0"/>
    <n v="0"/>
    <n v="0"/>
    <m/>
    <m/>
    <m/>
    <m/>
    <m/>
    <n v="0"/>
    <n v="0"/>
    <n v="0"/>
    <n v="0"/>
    <m/>
    <n v="0"/>
    <s v=""/>
  </r>
  <r>
    <x v="2"/>
    <x v="12"/>
    <x v="29"/>
    <s v="Service DevOps Team"/>
    <s v="PUBG:NEW STATE"/>
    <e v="#N/A"/>
    <s v="P100010048"/>
    <s v="XTRM-Web"/>
    <s v="엄기성"/>
    <s v="엄기성"/>
    <m/>
    <n v="0"/>
    <n v="0"/>
    <n v="0"/>
    <m/>
    <m/>
    <m/>
    <m/>
    <m/>
    <n v="0"/>
    <n v="0"/>
    <n v="0"/>
    <n v="0"/>
    <m/>
    <n v="0"/>
    <s v=""/>
  </r>
  <r>
    <x v="3"/>
    <x v="0"/>
    <x v="0"/>
    <s v="Service DevOps Team"/>
    <s v="OVERHEAD/OTHERS"/>
    <n v="100033"/>
    <s v="I100099999"/>
    <s v="BLUEHOLE-TechSupport"/>
    <s v="엄기성"/>
    <s v="엄기성"/>
    <m/>
    <n v="47903"/>
    <n v="45641"/>
    <n v="10915"/>
    <n v="11171"/>
    <n v="11218"/>
    <n v="11327"/>
    <n v="11497"/>
    <n v="11833"/>
    <n v="11591"/>
    <n v="11527"/>
    <n v="11507"/>
    <n v="12226"/>
    <n v="12226"/>
    <n v="719"/>
    <n v="6.248370557052229E-2"/>
  </r>
  <r>
    <x v="3"/>
    <x v="5"/>
    <x v="9"/>
    <s v="T_Console Service Part"/>
    <s v="TERA_Console"/>
    <n v="110119"/>
    <s v="P100020001"/>
    <s v="BLUEHOLE-TRCS"/>
    <s v="엄기성"/>
    <s v="엄기성"/>
    <m/>
    <n v="420993"/>
    <n v="409026"/>
    <n v="420399"/>
    <n v="419953"/>
    <n v="413481"/>
    <n v="454461"/>
    <n v="428658"/>
    <n v="473312"/>
    <n v="452056"/>
    <n v="449561"/>
    <n v="460288"/>
    <n v="452347"/>
    <n v="452347"/>
    <n v="-7941"/>
    <n v="-1.7252242074527253E-2"/>
  </r>
  <r>
    <x v="3"/>
    <x v="0"/>
    <x v="0"/>
    <s v="Publishing Tech PM Part"/>
    <s v="Dark and Darker_Mobile"/>
    <n v="101752"/>
    <s v="I100099999"/>
    <s v="Dark&amp;Darker Mobile"/>
    <s v="김정언"/>
    <s v="김정언"/>
    <s v="v"/>
    <n v="2689827"/>
    <n v="3184361"/>
    <n v="5892601"/>
    <n v="4558269"/>
    <n v="4227030"/>
    <n v="3653319"/>
    <n v="4398431"/>
    <n v="3009806"/>
    <n v="2728134"/>
    <n v="2507872"/>
    <n v="136806"/>
    <n v="152575"/>
    <n v="152575"/>
    <n v="15769"/>
    <n v="0.11526541233571627"/>
  </r>
  <r>
    <x v="3"/>
    <x v="0"/>
    <x v="0"/>
    <s v="Publishing Tech PM Part"/>
    <s v="DEFENSE DERBY"/>
    <n v="100561"/>
    <s v="P100010013"/>
    <s v="datadog_RW_defensederby"/>
    <s v="김정언"/>
    <s v="Deleted"/>
    <s v="v"/>
    <n v="758771"/>
    <n v="910479"/>
    <n v="937108"/>
    <n v="223368"/>
    <n v="221309"/>
    <n v="242770"/>
    <n v="41446"/>
    <m/>
    <n v="0"/>
    <n v="0"/>
    <n v="0"/>
    <n v="0"/>
    <m/>
    <n v="0"/>
    <s v=""/>
  </r>
  <r>
    <x v="3"/>
    <x v="0"/>
    <x v="0"/>
    <s v="System Team"/>
    <s v="OVERHEAD/OTHERS"/>
    <n v="101752"/>
    <s v="I100099999"/>
    <s v="datadog-website"/>
    <s v="김재윤"/>
    <s v="김재윤"/>
    <s v="v"/>
    <m/>
    <m/>
    <m/>
    <m/>
    <m/>
    <m/>
    <n v="46562"/>
    <n v="485012"/>
    <n v="594035"/>
    <n v="536000"/>
    <n v="69043"/>
    <n v="99211"/>
    <n v="99211"/>
    <n v="30168"/>
    <n v="0.43694509218892574"/>
  </r>
  <r>
    <x v="3"/>
    <x v="0"/>
    <x v="4"/>
    <s v="Striking Distance Studios"/>
    <s v="The Callisto Protocol"/>
    <n v="100025"/>
    <s v="P100010012"/>
    <s v="KRAFTON - SDS DevOps"/>
    <s v="Jordan Yerkes"/>
    <s v="Jordan Yerkes"/>
    <m/>
    <n v="2495032"/>
    <n v="2442121"/>
    <n v="1968251"/>
    <n v="2149297"/>
    <n v="1368155"/>
    <n v="868060"/>
    <n v="990737"/>
    <n v="1423811"/>
    <n v="1298214"/>
    <n v="1437874"/>
    <n v="2467877"/>
    <n v="1979875"/>
    <n v="1979875"/>
    <n v="-488002"/>
    <n v="-0.19774162164483886"/>
  </r>
  <r>
    <x v="3"/>
    <x v="0"/>
    <x v="4"/>
    <s v="Striking Distance Studios"/>
    <s v="The Callisto Protocol"/>
    <n v="100036"/>
    <s v="P100010048"/>
    <s v="KRAFTON - SDS ITSEC"/>
    <s v="Jordan Yerkes"/>
    <s v="Jordan Yerkes"/>
    <m/>
    <n v="685580"/>
    <n v="658867"/>
    <n v="585785"/>
    <n v="504366"/>
    <n v="562296"/>
    <n v="606203"/>
    <n v="616200"/>
    <n v="219084"/>
    <n v="215669"/>
    <n v="214478"/>
    <n v="211229"/>
    <n v="227473"/>
    <n v="227473"/>
    <n v="16244"/>
    <n v="7.6902319283810458E-2"/>
  </r>
  <r>
    <x v="3"/>
    <x v="0"/>
    <x v="0"/>
    <s v="Publishing Tech PM Part"/>
    <s v="OVERHEAD/OTHERS"/>
    <n v="100368"/>
    <s v="P100030014"/>
    <s v="KRAFTON PUBG eSports"/>
    <s v="김정언"/>
    <s v="김정언"/>
    <s v="v"/>
    <n v="471540"/>
    <n v="624036"/>
    <n v="756337"/>
    <n v="503779"/>
    <n v="1055450"/>
    <n v="606572"/>
    <n v="380602"/>
    <n v="406679"/>
    <n v="422688"/>
    <n v="349678"/>
    <n v="391245"/>
    <n v="726002"/>
    <n v="726002"/>
    <n v="334757"/>
    <n v="0.85561988012626355"/>
  </r>
  <r>
    <x v="3"/>
    <x v="0"/>
    <x v="0"/>
    <s v="Data Engineering Dept."/>
    <s v="OVERHEAD/OTHERS"/>
    <e v="#N/A"/>
    <s v="I100099999"/>
    <s v="KRAFTON_DE"/>
    <s v="연화음"/>
    <s v="김시훈"/>
    <s v="v"/>
    <n v="29631218"/>
    <n v="16435660"/>
    <n v="12622100"/>
    <n v="5799012"/>
    <n v="5774792"/>
    <n v="5023995"/>
    <n v="6369213"/>
    <n v="6558196"/>
    <n v="7158754"/>
    <n v="7338662"/>
    <n v="8178742"/>
    <n v="6689879"/>
    <n v="6689879"/>
    <n v="-1488863"/>
    <n v="-0.18204058766005823"/>
  </r>
  <r>
    <x v="3"/>
    <x v="0"/>
    <x v="0"/>
    <s v="Publishing Tech PM Part"/>
    <s v="Cookie Run India"/>
    <n v="100368"/>
    <s v="P100030014"/>
    <s v="KRAFTON-cookierun-india"/>
    <s v="김정언"/>
    <s v="김정언"/>
    <s v="v"/>
    <n v="1365568"/>
    <n v="1392626"/>
    <n v="1433357"/>
    <n v="1397615"/>
    <n v="1513198"/>
    <n v="1321573"/>
    <n v="1187979"/>
    <n v="1885335"/>
    <n v="2013913"/>
    <n v="1899827"/>
    <n v="1205408"/>
    <n v="1142620"/>
    <n v="1142620"/>
    <n v="-62788"/>
    <n v="-5.2088587432636918E-2"/>
  </r>
  <r>
    <x v="3"/>
    <x v="0"/>
    <x v="0"/>
    <s v="IT Dept."/>
    <s v="OVERHEAD/OTHERS"/>
    <n v="100036"/>
    <s v="I100099999"/>
    <s v="Krafton-infra-platform"/>
    <s v="홍성철"/>
    <s v="홍성철"/>
    <s v="v"/>
    <n v="1355764"/>
    <n v="1633358"/>
    <n v="2079209"/>
    <n v="3191360"/>
    <n v="2789621"/>
    <n v="3043562"/>
    <n v="3299639"/>
    <n v="2948201"/>
    <n v="2661847"/>
    <n v="3198078"/>
    <n v="2791158"/>
    <n v="2924975"/>
    <n v="2924975"/>
    <n v="133817"/>
    <n v="4.7943183438558475E-2"/>
  </r>
  <r>
    <x v="3"/>
    <x v="0"/>
    <x v="0"/>
    <s v="KOS Engineering Dept."/>
    <s v="GPP"/>
    <n v="100033"/>
    <s v="P100030014"/>
    <s v="KRAFTON-KCN"/>
    <s v="신근우"/>
    <s v="신근우"/>
    <m/>
    <n v="1089302"/>
    <n v="1050583"/>
    <n v="1023318"/>
    <n v="1185222"/>
    <n v="1085177"/>
    <n v="1847424"/>
    <n v="3575964"/>
    <n v="1222609"/>
    <n v="1188837"/>
    <n v="2112071"/>
    <n v="2132083"/>
    <n v="2531830"/>
    <n v="2531830"/>
    <n v="399747"/>
    <n v="0.18749129372543188"/>
  </r>
  <r>
    <x v="3"/>
    <x v="0"/>
    <x v="0"/>
    <s v="KOS Engineering Dept."/>
    <s v="GPP"/>
    <n v="100033"/>
    <s v="P100030014"/>
    <s v="KRAFTON-KOS"/>
    <s v="신근우"/>
    <s v="신근우"/>
    <m/>
    <n v="67167275"/>
    <n v="56518098"/>
    <n v="50517732"/>
    <n v="51972765"/>
    <n v="50346257"/>
    <n v="51169607"/>
    <n v="50164562"/>
    <n v="65419558"/>
    <n v="89476602"/>
    <n v="82241572"/>
    <n v="75537936"/>
    <n v="104207881"/>
    <n v="104207881"/>
    <n v="28669945"/>
    <n v="0.37954366399420814"/>
  </r>
  <r>
    <x v="3"/>
    <x v="0"/>
    <x v="0"/>
    <s v="IT Dept."/>
    <s v="OVERHEAD/OTHERS"/>
    <n v="100368"/>
    <s v="P100030014"/>
    <s v="krafton-system"/>
    <s v="백용원"/>
    <s v="백용원"/>
    <s v="v"/>
    <n v="14553120"/>
    <n v="15178479"/>
    <n v="15750629"/>
    <n v="16518476"/>
    <n v="16594140"/>
    <n v="16436574"/>
    <n v="20458900"/>
    <n v="17700612"/>
    <n v="16317729"/>
    <n v="16156624"/>
    <n v="15367189"/>
    <n v="16815747"/>
    <n v="16815747"/>
    <n v="1448558"/>
    <n v="9.4263043162936308E-2"/>
  </r>
  <r>
    <x v="3"/>
    <x v="5"/>
    <x v="9"/>
    <s v="T_Console Service Part"/>
    <s v="TERA_Console"/>
    <n v="101269"/>
    <s v="P100030073"/>
    <s v="Krafton-TRCS-AP"/>
    <s v="엄기성"/>
    <s v="엄기성"/>
    <m/>
    <n v="162680"/>
    <n v="156229"/>
    <n v="153395"/>
    <n v="167568"/>
    <n v="168264"/>
    <n v="181235"/>
    <n v="160955"/>
    <n v="153826"/>
    <n v="150686"/>
    <n v="149853"/>
    <n v="172608"/>
    <n v="146707"/>
    <n v="146707"/>
    <n v="-25901"/>
    <n v="-0.15005677604746015"/>
  </r>
  <r>
    <x v="3"/>
    <x v="0"/>
    <x v="0"/>
    <s v="Experience Engineering Dept."/>
    <s v="OVERHEAD/OTHERS"/>
    <n v="101269"/>
    <s v="P100030042"/>
    <s v="Krafton-WebService"/>
    <s v="이준호"/>
    <s v="이준호"/>
    <m/>
    <n v="1054820"/>
    <n v="785677"/>
    <n v="503986"/>
    <n v="586879"/>
    <n v="643848"/>
    <n v="852074"/>
    <n v="1097154"/>
    <n v="1083722"/>
    <n v="1050148"/>
    <n v="579127"/>
    <n v="604761"/>
    <n v="741437"/>
    <n v="741437"/>
    <n v="136676"/>
    <n v="0.22600002314964093"/>
  </r>
  <r>
    <x v="3"/>
    <x v="0"/>
    <x v="0"/>
    <s v="Experience Engineering Dept."/>
    <s v="(2022)BATTLEGROUNDS_MOBILE_IN"/>
    <n v="100037"/>
    <s v="I100099999"/>
    <s v="KTAFTON_bgmi_event"/>
    <s v="이준호"/>
    <s v="이준호"/>
    <s v="v"/>
    <n v="517381"/>
    <n v="1342787"/>
    <n v="1038929"/>
    <n v="977410"/>
    <n v="600254"/>
    <m/>
    <n v="1590482"/>
    <n v="1693540"/>
    <n v="609813"/>
    <n v="560510"/>
    <n v="1256241"/>
    <n v="6704916"/>
    <n v="6704916"/>
    <n v="5448675"/>
    <n v="4.3372848044284495"/>
  </r>
  <r>
    <x v="3"/>
    <x v="0"/>
    <x v="10"/>
    <s v="Valor Core Tech Team"/>
    <s v="Valor_Console"/>
    <n v="100368"/>
    <s v="AI Tools"/>
    <s v="MadGlory_Valor"/>
    <s v="송영재"/>
    <s v="송영재"/>
    <s v="v"/>
    <m/>
    <m/>
    <m/>
    <m/>
    <m/>
    <m/>
    <n v="591194"/>
    <n v="651070"/>
    <n v="777813"/>
    <n v="805333"/>
    <n v="892829"/>
    <n v="921321"/>
    <n v="921321"/>
    <n v="28492"/>
    <n v="3.191204586768575E-2"/>
  </r>
  <r>
    <x v="3"/>
    <x v="0"/>
    <x v="0"/>
    <s v="PUBG PC&amp;Console Dev Div."/>
    <s v="BLACK BUDGET"/>
    <n v="100561"/>
    <s v="P100010013"/>
    <s v="PUBG Black Budget"/>
    <s v="김정헌"/>
    <s v="최준석"/>
    <m/>
    <n v="2306643"/>
    <n v="2657940"/>
    <n v="3028643"/>
    <n v="3559382"/>
    <n v="4107254"/>
    <n v="2824890"/>
    <n v="3713495"/>
    <n v="4534300"/>
    <n v="12285441"/>
    <n v="9406051"/>
    <n v="12194870"/>
    <n v="12725276"/>
    <n v="12725276"/>
    <n v="530406"/>
    <n v="4.349419058997759E-2"/>
  </r>
  <r>
    <x v="3"/>
    <x v="0"/>
    <x v="2"/>
    <s v="PUBG PC&amp;Console Dev Div."/>
    <s v="BATTLEGROUNDS_PC/CONSOLE"/>
    <n v="100212"/>
    <s v="I100099999"/>
    <s v="PUBG Corporation"/>
    <s v="김정헌"/>
    <s v="최준석"/>
    <m/>
    <n v="131889003"/>
    <n v="130685365"/>
    <n v="207044614"/>
    <n v="133943638"/>
    <n v="121251557"/>
    <n v="116987123"/>
    <n v="133443688"/>
    <n v="127189745"/>
    <n v="120181299"/>
    <n v="142534492"/>
    <n v="144426998"/>
    <n v="175651446"/>
    <n v="175651446"/>
    <n v="31224448"/>
    <n v="0.2161953681263942"/>
  </r>
  <r>
    <x v="3"/>
    <x v="0"/>
    <x v="0"/>
    <s v="PUBG PC&amp;Console Dev Div."/>
    <s v="BATTLEGROUNDS_PC/CONSOLE"/>
    <n v="101269"/>
    <s v="I100099999"/>
    <s v="PUBG DevOps"/>
    <s v="김정헌"/>
    <s v="최준석"/>
    <m/>
    <n v="2003535"/>
    <n v="2167270"/>
    <n v="1888448"/>
    <n v="2608405"/>
    <n v="3207434"/>
    <n v="11003525"/>
    <n v="9408522"/>
    <n v="9919806"/>
    <n v="28890298"/>
    <n v="11730208"/>
    <n v="11344632"/>
    <n v="11809578"/>
    <n v="11809578"/>
    <n v="464946"/>
    <n v="4.0983788632368151E-2"/>
  </r>
  <r>
    <x v="3"/>
    <x v="0"/>
    <x v="2"/>
    <s v="PUBG PC&amp;Console Dev Div."/>
    <s v="BATTLEGROUNDS_PC/CONSOLE"/>
    <n v="101269"/>
    <s v="P100030099"/>
    <s v="PUBG Intelligent Services"/>
    <s v="김정헌"/>
    <s v="최준석"/>
    <m/>
    <n v="662805"/>
    <n v="657626"/>
    <n v="527725"/>
    <n v="621454"/>
    <n v="624035"/>
    <n v="568909"/>
    <n v="623615"/>
    <n v="628011"/>
    <n v="621752"/>
    <n v="629659"/>
    <n v="583084"/>
    <n v="621014"/>
    <n v="621014"/>
    <n v="37930"/>
    <n v="6.5050661654238492E-2"/>
  </r>
  <r>
    <x v="3"/>
    <x v="0"/>
    <x v="1"/>
    <s v="Data Engineering Dept."/>
    <s v="PUBG:NEW STATE"/>
    <e v="#N/A"/>
    <s v="I100099999"/>
    <s v="PUBGNS_DE"/>
    <s v="염화음"/>
    <s v="김시훈"/>
    <s v="v"/>
    <n v="111262"/>
    <n v="106849"/>
    <n v="137782"/>
    <n v="140478"/>
    <n v="107409"/>
    <n v="15660"/>
    <n v="6611"/>
    <n v="6804"/>
    <n v="6665"/>
    <n v="6628"/>
    <n v="6617"/>
    <n v="7030"/>
    <n v="7030"/>
    <n v="413"/>
    <n v="6.2414991688076168E-2"/>
  </r>
  <r>
    <x v="3"/>
    <x v="11"/>
    <x v="28"/>
    <s v="Unknownworlds"/>
    <s v="SUBNAUTICA 2"/>
    <n v="100025"/>
    <s v="P100010012"/>
    <s v="Unknown Worlds"/>
    <s v="Jack Smith"/>
    <s v="Jack Smith"/>
    <m/>
    <n v="497002"/>
    <n v="510045"/>
    <n v="840058"/>
    <n v="823583"/>
    <n v="758885"/>
    <n v="777386"/>
    <n v="856698"/>
    <n v="1009870"/>
    <n v="918936"/>
    <n v="961354"/>
    <n v="1052362"/>
    <n v="1313901"/>
    <n v="1313901"/>
    <n v="261539"/>
    <n v="0.24852569743111211"/>
  </r>
  <r>
    <x v="3"/>
    <x v="0"/>
    <x v="0"/>
    <s v="[N/A]AI Service Engineering Team"/>
    <s v="OVERHEAD/OTHERS"/>
    <n v="100025"/>
    <s v="P100010012"/>
    <s v="Krafton_AISD"/>
    <s v="임지영"/>
    <s v="임지영"/>
    <m/>
    <m/>
    <m/>
    <m/>
    <m/>
    <m/>
    <m/>
    <m/>
    <m/>
    <m/>
    <m/>
    <n v="0"/>
    <n v="2246"/>
    <n v="2246"/>
    <n v="2246"/>
    <s v=""/>
  </r>
  <r>
    <x v="4"/>
    <x v="0"/>
    <x v="2"/>
    <s v="PBB_S Platform Team"/>
    <s v="BLACK BUDGET"/>
    <n v="100212"/>
    <s v="I100099999"/>
    <s v="agds-462601"/>
    <s v="조원빈"/>
    <s v="조원빈"/>
    <s v="v"/>
    <m/>
    <n v="0"/>
    <n v="1894451"/>
    <n v="2611215"/>
    <n v="1408489"/>
    <n v="2509878"/>
    <n v="228591.48155885801"/>
    <n v="627911"/>
    <n v="388893"/>
    <n v="63317"/>
    <n v="80343"/>
    <n v="67723.42"/>
    <n v="67723.417598509215"/>
    <n v="-12619.580000000002"/>
    <n v="-0.15707130677221415"/>
  </r>
  <r>
    <x v="4"/>
    <x v="0"/>
    <x v="0"/>
    <s v="AI Transformation Team"/>
    <s v="OVERHEAD/OTHERS"/>
    <n v="100414"/>
    <s v="P100010012"/>
    <s v="ai-transformation-467006"/>
    <s v="김도균"/>
    <s v="김도균"/>
    <s v="v"/>
    <m/>
    <m/>
    <m/>
    <m/>
    <m/>
    <m/>
    <n v="256977.01901900599"/>
    <n v="132833"/>
    <n v="497634"/>
    <n v="803045"/>
    <n v="342429"/>
    <n v="12345.78"/>
    <n v="12345.783758075235"/>
    <n v="-330083.21999999997"/>
    <n v="-0.96394645313335015"/>
  </r>
  <r>
    <x v="4"/>
    <x v="0"/>
    <x v="0"/>
    <s v="CEO's Office"/>
    <s v="OVERHEAD/OTHERS"/>
    <e v="#N/A"/>
    <s v="I100099999"/>
    <s v="ai-workflow-automation-project"/>
    <s v="양윤상"/>
    <s v="양윤상"/>
    <m/>
    <m/>
    <m/>
    <m/>
    <m/>
    <m/>
    <n v="1458"/>
    <n v="3154.01712890831"/>
    <n v="1297"/>
    <n v="621"/>
    <n v="1797"/>
    <n v="0"/>
    <n v="4389.47"/>
    <n v="4389.4673383151921"/>
    <n v="4389.47"/>
    <s v=""/>
  </r>
  <r>
    <x v="4"/>
    <x v="0"/>
    <x v="2"/>
    <s v="Platform Management Team"/>
    <s v="OVERHEAD/OTHERS"/>
    <n v="100774"/>
    <s v="I100099999"/>
    <s v="api-6414577526685413251-707161"/>
    <s v="신지호"/>
    <s v="신지호"/>
    <m/>
    <n v="607300"/>
    <n v="597110"/>
    <n v="577154"/>
    <n v="585781"/>
    <n v="633921"/>
    <n v="675058"/>
    <n v="561954.89277823002"/>
    <n v="377672"/>
    <n v="288672"/>
    <n v="666609"/>
    <n v="24"/>
    <n v="292086.78000000003"/>
    <n v="292086.77742106427"/>
    <n v="292062.78000000003"/>
    <n v="12169.282500000001"/>
  </r>
  <r>
    <x v="4"/>
    <x v="0"/>
    <x v="0"/>
    <s v="India Publishing Dept._HQ"/>
    <s v="OVERHEAD/OTHERS"/>
    <n v="101316"/>
    <s v="I100099999"/>
    <s v="archeryking"/>
    <s v="신지호"/>
    <s v="신지호"/>
    <m/>
    <n v="126128"/>
    <n v="115026"/>
    <n v="89031"/>
    <n v="107740"/>
    <n v="138610"/>
    <n v="853144"/>
    <n v="154577.72614118399"/>
    <n v="37216"/>
    <n v="75675"/>
    <n v="28767"/>
    <n v="1"/>
    <n v="19156.97"/>
    <n v="19156.971615740182"/>
    <n v="19155.97"/>
    <n v="19155.97"/>
  </r>
  <r>
    <x v="4"/>
    <x v="0"/>
    <x v="0"/>
    <s v="AI Applied Research Dept."/>
    <s v="DEEP LEARNING"/>
    <n v="101651"/>
    <s v="I100099999"/>
    <s v="atoz-dev-470901"/>
    <s v="김재욱"/>
    <s v="김재욱"/>
    <m/>
    <m/>
    <m/>
    <m/>
    <m/>
    <m/>
    <n v="4455803"/>
    <n v="1593198.4656271101"/>
    <n v="2110719"/>
    <n v="13277874"/>
    <n v="9986820"/>
    <n v="20057738"/>
    <n v="132552274.98"/>
    <n v="132552274.98137392"/>
    <n v="112494536.98"/>
    <n v="5.6085355676696942"/>
  </r>
  <r>
    <x v="4"/>
    <x v="0"/>
    <x v="21"/>
    <n v="0"/>
    <s v="OVERHEAD/OTHERS"/>
    <n v="110119"/>
    <s v="AI Tools"/>
    <s v="backpackarena"/>
    <n v="0"/>
    <n v="0"/>
    <m/>
    <m/>
    <m/>
    <m/>
    <m/>
    <n v="3601"/>
    <n v="4989"/>
    <n v="8927.6190289999904"/>
    <n v="53039"/>
    <n v="166144"/>
    <n v="115509"/>
    <n v="128823"/>
    <n v="410937.64"/>
    <n v="410937.6423789995"/>
    <n v="282114.64"/>
    <n v="2.1899399951871947"/>
  </r>
  <r>
    <x v="4"/>
    <x v="0"/>
    <x v="0"/>
    <s v="BGMI DevOps Team"/>
    <s v="(2022)BATTLEGROUNDS_MOBILE_IN"/>
    <n v="101451"/>
    <s v="I100099999"/>
    <s v="bgmi-aiops"/>
    <s v="송창규"/>
    <s v="이준"/>
    <m/>
    <m/>
    <m/>
    <m/>
    <m/>
    <m/>
    <m/>
    <m/>
    <m/>
    <m/>
    <n v="149"/>
    <n v="0"/>
    <n v="4.78"/>
    <n v="4.7841246186167741"/>
    <n v="4.78"/>
    <s v=""/>
  </r>
  <r>
    <x v="4"/>
    <x v="0"/>
    <x v="0"/>
    <s v="BGMI DevOps Team"/>
    <s v="(2022)BATTLEGROUNDS_MOBILE_IN"/>
    <e v="#N/A"/>
    <s v="P100010051"/>
    <s v="bgmi-gcp"/>
    <s v="조동현"/>
    <s v="조동현"/>
    <m/>
    <m/>
    <m/>
    <m/>
    <m/>
    <m/>
    <m/>
    <m/>
    <m/>
    <m/>
    <n v="0"/>
    <n v="2684"/>
    <n v="650347258.40999997"/>
    <n v="650347259.40665305"/>
    <n v="650344574.40999997"/>
    <n v="242304.23785767509"/>
  </r>
  <r>
    <x v="4"/>
    <x v="0"/>
    <x v="0"/>
    <s v="Foundation Model Research Team"/>
    <s v="OVERHEAD/OTHERS"/>
    <n v="100953"/>
    <s v="I100099999"/>
    <s v="coding-agent-482006"/>
    <s v="최민석"/>
    <s v="최민석"/>
    <m/>
    <m/>
    <m/>
    <m/>
    <m/>
    <m/>
    <m/>
    <m/>
    <m/>
    <m/>
    <n v="5242"/>
    <n v="0"/>
    <n v="0"/>
    <m/>
    <n v="0"/>
    <s v=""/>
  </r>
  <r>
    <x v="4"/>
    <x v="0"/>
    <x v="0"/>
    <s v="IT Dept."/>
    <s v="OVERHEAD/OTHERS"/>
    <n v="101216"/>
    <s v="I100099999"/>
    <s v="dataplatform-api"/>
    <s v="백용원"/>
    <s v="백용원"/>
    <s v="v"/>
    <n v="0"/>
    <n v="0"/>
    <n v="0"/>
    <n v="1"/>
    <n v="3"/>
    <n v="5"/>
    <n v="0.89483713234818996"/>
    <n v="1"/>
    <n v="0"/>
    <n v="1"/>
    <n v="0"/>
    <n v="0.78"/>
    <n v="0.77973429399946659"/>
    <n v="0.78"/>
    <s v=""/>
  </r>
  <r>
    <x v="4"/>
    <x v="0"/>
    <x v="0"/>
    <s v="DevData Engineering Team"/>
    <s v="OVERHEAD/OTHERS"/>
    <n v="100212"/>
    <s v="I100099999"/>
    <s v="diet-357705"/>
    <s v="이동준"/>
    <s v="이동준"/>
    <s v="v"/>
    <n v="34601"/>
    <n v="27793"/>
    <n v="30630"/>
    <n v="34099"/>
    <n v="34149"/>
    <n v="32510"/>
    <n v="33139.061804389799"/>
    <n v="21327"/>
    <n v="34679"/>
    <n v="33942"/>
    <n v="1"/>
    <n v="29173.08"/>
    <n v="29173.08204649972"/>
    <n v="29172.080000000002"/>
    <n v="29172.080000000002"/>
  </r>
  <r>
    <x v="4"/>
    <x v="0"/>
    <x v="0"/>
    <s v="Publishing Launchpad Team"/>
    <s v="Dinkum"/>
    <n v="100553"/>
    <s v="P100130012"/>
    <s v="dinkum-automation"/>
    <s v="라샛별"/>
    <s v="라샛별"/>
    <m/>
    <m/>
    <m/>
    <m/>
    <m/>
    <m/>
    <m/>
    <m/>
    <n v="276"/>
    <n v="542"/>
    <n v="586"/>
    <n v="0"/>
    <n v="403.55"/>
    <n v="403.54562206940881"/>
    <n v="403.55"/>
    <s v=""/>
  </r>
  <r>
    <x v="4"/>
    <x v="0"/>
    <x v="0"/>
    <s v="AI Agent Research Team"/>
    <s v="OVERHEAD/OTHERS"/>
    <e v="#N/A"/>
    <s v="I100099999"/>
    <s v="dl-service-dev"/>
    <s v="정기영"/>
    <s v="정기영"/>
    <m/>
    <n v="0"/>
    <n v="0"/>
    <n v="590995"/>
    <n v="1252175"/>
    <n v="323491"/>
    <n v="1089308"/>
    <n v="11158017.7894341"/>
    <n v="33938240"/>
    <n v="25843796"/>
    <n v="25271242"/>
    <n v="140820309"/>
    <n v="104997164.23"/>
    <n v="104997164.23007324"/>
    <n v="-35823144.769999996"/>
    <n v="-0.25438905101394144"/>
  </r>
  <r>
    <x v="4"/>
    <x v="0"/>
    <x v="0"/>
    <s v="AI Applied Research Dept."/>
    <s v="DEEP LEARNING"/>
    <n v="100203"/>
    <s v="P100130012"/>
    <s v="dld-anticheat"/>
    <s v="이혁"/>
    <s v="이혁"/>
    <s v="v"/>
    <m/>
    <m/>
    <m/>
    <m/>
    <n v="254078"/>
    <n v="1223654"/>
    <n v="86725.247026520898"/>
    <n v="3809775"/>
    <n v="13264435"/>
    <n v="19018304"/>
    <n v="580238"/>
    <n v="11747021.050000001"/>
    <n v="11747021.04860826"/>
    <n v="11166783.050000001"/>
    <n v="19.245177065273218"/>
  </r>
  <r>
    <x v="4"/>
    <x v="0"/>
    <x v="0"/>
    <s v="Robot Learning Team"/>
    <s v="DEEP LEARNING"/>
    <n v="100092"/>
    <s v="I100099999"/>
    <s v="dld-physical-ai"/>
    <s v="이영도"/>
    <s v="이영도"/>
    <m/>
    <m/>
    <m/>
    <m/>
    <m/>
    <m/>
    <m/>
    <n v="880.76671506899697"/>
    <n v="7"/>
    <n v="1403"/>
    <n v="18724"/>
    <n v="2"/>
    <n v="42239.199999999997"/>
    <n v="42239.197083674248"/>
    <n v="42237.2"/>
    <n v="21118.6"/>
  </r>
  <r>
    <x v="4"/>
    <x v="0"/>
    <x v="0"/>
    <s v="ML Sys &amp; Ops Team"/>
    <s v="OVERHEAD/OTHERS"/>
    <n v="100414"/>
    <s v="P100010012"/>
    <s v="dld-tpu-llm-training"/>
    <s v="김동원"/>
    <s v="김동원"/>
    <s v="v"/>
    <m/>
    <m/>
    <m/>
    <m/>
    <n v="3834504"/>
    <n v="898636"/>
    <n v="713354.59964023496"/>
    <n v="693356"/>
    <n v="1673187"/>
    <n v="9840181"/>
    <n v="8828663"/>
    <n v="32380.93"/>
    <n v="32380.934198444738"/>
    <n v="-8796282.0700000003"/>
    <n v="-0.99633229516179289"/>
  </r>
  <r>
    <x v="4"/>
    <x v="0"/>
    <x v="0"/>
    <s v="India Publishing Dept._HQ"/>
    <s v="OVERHEAD/OTHERS"/>
    <n v="100085"/>
    <s v="I100099999"/>
    <s v="dm-rtv-empires"/>
    <s v="신지호"/>
    <s v="신지호"/>
    <m/>
    <n v="8"/>
    <n v="0"/>
    <n v="7"/>
    <n v="0"/>
    <n v="18"/>
    <n v="62"/>
    <n v="59.340001743129903"/>
    <n v="8"/>
    <n v="0"/>
    <n v="0"/>
    <n v="0"/>
    <n v="0"/>
    <n v="0"/>
    <n v="0"/>
    <s v=""/>
  </r>
  <r>
    <x v="4"/>
    <x v="0"/>
    <x v="0"/>
    <s v="Risk Management Team"/>
    <s v="OVERHEAD/OTHERS"/>
    <n v="101083"/>
    <s v="I100099999"/>
    <s v="erm-for-n8n"/>
    <s v="최솔지"/>
    <s v="최솔지"/>
    <m/>
    <m/>
    <m/>
    <m/>
    <m/>
    <m/>
    <m/>
    <m/>
    <n v="333"/>
    <n v="0"/>
    <n v="0"/>
    <n v="0"/>
    <n v="0"/>
    <n v="0"/>
    <n v="0"/>
    <s v=""/>
  </r>
  <r>
    <x v="4"/>
    <x v="0"/>
    <x v="0"/>
    <s v="Financial Planning Team"/>
    <s v="OVERHEAD/OTHERS"/>
    <n v="100009"/>
    <s v="I100099999"/>
    <s v="finance-hq"/>
    <s v="신현미"/>
    <s v="신현미"/>
    <m/>
    <m/>
    <m/>
    <m/>
    <m/>
    <m/>
    <m/>
    <m/>
    <n v="1"/>
    <n v="28"/>
    <n v="7"/>
    <n v="0"/>
    <n v="108.23"/>
    <n v="108.23347258374794"/>
    <n v="108.23"/>
    <s v=""/>
  </r>
  <r>
    <x v="4"/>
    <x v="0"/>
    <x v="0"/>
    <s v="AI Model Research Dept."/>
    <s v="OVERHEAD/OTHERS"/>
    <n v="100036"/>
    <s v="I100099999"/>
    <s v="gamebench-456108"/>
    <s v="박동민"/>
    <s v="박동민"/>
    <m/>
    <n v="390685"/>
    <n v="2907699"/>
    <n v="584876"/>
    <n v="85482"/>
    <n v="527489"/>
    <n v="1284729"/>
    <n v="222180.384419571"/>
    <n v="1552534"/>
    <n v="917512"/>
    <n v="718592"/>
    <n v="3"/>
    <n v="2053.2800000000002"/>
    <n v="2053.2793031393394"/>
    <n v="2050.2800000000002"/>
    <n v="683.42666666666673"/>
  </r>
  <r>
    <x v="4"/>
    <x v="0"/>
    <x v="0"/>
    <s v="India Publishing Dept._HQ"/>
    <s v="OVERHEAD/OTHERS"/>
    <n v="100522"/>
    <s v="I100099999"/>
    <s v="garuda-saga-india"/>
    <s v="신지호"/>
    <s v="신지호"/>
    <m/>
    <n v="400617"/>
    <n v="327988"/>
    <n v="354012"/>
    <n v="404616"/>
    <n v="400684"/>
    <n v="376377"/>
    <n v="391111.87868487299"/>
    <n v="247273"/>
    <n v="409143"/>
    <n v="402782"/>
    <n v="16"/>
    <n v="285678.87"/>
    <n v="285678.87207815307"/>
    <n v="285662.87"/>
    <n v="17853.929375"/>
  </r>
  <r>
    <x v="4"/>
    <x v="0"/>
    <x v="0"/>
    <s v="IT Dept."/>
    <s v="OVERHEAD/OTHERS"/>
    <n v="100009"/>
    <s v="I100099999"/>
    <s v="GCP Support Fee"/>
    <s v="백용원"/>
    <s v="Deleted"/>
    <m/>
    <m/>
    <m/>
    <m/>
    <m/>
    <m/>
    <m/>
    <m/>
    <m/>
    <n v="0"/>
    <n v="0"/>
    <n v="0"/>
    <n v="0"/>
    <m/>
    <n v="0"/>
    <s v=""/>
  </r>
  <r>
    <x v="4"/>
    <x v="0"/>
    <x v="0"/>
    <s v="KDC Team"/>
    <s v="OVERHEAD/OTHERS"/>
    <n v="101323"/>
    <s v="P100130012"/>
    <s v="gcp-kdc-hackathon-project"/>
    <s v="황영욱"/>
    <s v="황영욱"/>
    <m/>
    <m/>
    <m/>
    <m/>
    <m/>
    <m/>
    <m/>
    <m/>
    <m/>
    <m/>
    <n v="146882"/>
    <n v="2"/>
    <n v="3705.31"/>
    <n v="3705.3140487324849"/>
    <n v="3703.31"/>
    <n v="1851.655"/>
  </r>
  <r>
    <x v="4"/>
    <x v="0"/>
    <x v="2"/>
    <s v="MS DevOps Team"/>
    <s v="OVERHEAD/OTHERS"/>
    <n v="105027"/>
    <s v="P100010105"/>
    <s v="gcp-msu-devops"/>
    <s v="천궁원"/>
    <s v="배시은"/>
    <m/>
    <m/>
    <m/>
    <m/>
    <m/>
    <m/>
    <m/>
    <n v="178521.32227758801"/>
    <n v="543362"/>
    <n v="0"/>
    <n v="0"/>
    <n v="0"/>
    <n v="0"/>
    <m/>
    <n v="0"/>
    <s v=""/>
  </r>
  <r>
    <x v="4"/>
    <x v="0"/>
    <x v="0"/>
    <s v="AI Transformation Team"/>
    <s v="OVERHEAD/OTHERS"/>
    <n v="100203"/>
    <s v="I100099999"/>
    <s v="Gemini Enterprise"/>
    <n v="0"/>
    <n v="0"/>
    <m/>
    <m/>
    <m/>
    <m/>
    <m/>
    <m/>
    <m/>
    <m/>
    <m/>
    <m/>
    <m/>
    <n v="1119"/>
    <n v="8661502"/>
    <n v="8661502"/>
    <n v="8660383"/>
    <n v="7739.3949955317248"/>
  </r>
  <r>
    <x v="4"/>
    <x v="0"/>
    <x v="0"/>
    <s v="KRAFTON HQ"/>
    <s v="OVERHEAD/OTHERS"/>
    <n v="100810"/>
    <s v="I100099999"/>
    <s v="GitLab"/>
    <s v="정채원"/>
    <s v="사용완료"/>
    <m/>
    <n v="585433760"/>
    <m/>
    <m/>
    <m/>
    <m/>
    <m/>
    <m/>
    <m/>
    <n v="102601463"/>
    <n v="0"/>
    <n v="0"/>
    <n v="0"/>
    <m/>
    <n v="0"/>
    <s v=""/>
  </r>
  <r>
    <x v="4"/>
    <x v="0"/>
    <x v="0"/>
    <s v="Recruiting Operations Part"/>
    <s v="OVERHEAD/OTHERS"/>
    <n v="101145"/>
    <s v="I100090820"/>
    <s v="greenhouse-recruiting-data"/>
    <s v="이태민"/>
    <s v="이태민"/>
    <m/>
    <m/>
    <m/>
    <m/>
    <m/>
    <m/>
    <m/>
    <m/>
    <m/>
    <m/>
    <n v="4884"/>
    <n v="1"/>
    <n v="26867.4"/>
    <n v="26867.395302340174"/>
    <n v="26866.400000000001"/>
    <n v="26866.400000000001"/>
  </r>
  <r>
    <x v="4"/>
    <x v="0"/>
    <x v="0"/>
    <s v="KRAFTON HQ"/>
    <s v="OVERHEAD/OTHERS"/>
    <n v="150107"/>
    <s v="P100020081"/>
    <s v="hc-coupon"/>
    <n v="0"/>
    <n v="0"/>
    <m/>
    <m/>
    <m/>
    <m/>
    <m/>
    <m/>
    <m/>
    <m/>
    <m/>
    <m/>
    <n v="1"/>
    <n v="5"/>
    <n v="0"/>
    <n v="0"/>
    <n v="-5"/>
    <n v="-1"/>
  </r>
  <r>
    <x v="4"/>
    <x v="0"/>
    <x v="19"/>
    <n v="0"/>
    <s v="OVERHEAD/OTHERS"/>
    <n v="100414"/>
    <s v="P100010012"/>
    <s v="in-qa-team"/>
    <s v="Abhishek Chavan"/>
    <s v="Abhishek Chavan"/>
    <m/>
    <m/>
    <m/>
    <m/>
    <m/>
    <m/>
    <m/>
    <m/>
    <m/>
    <m/>
    <n v="881"/>
    <n v="0"/>
    <n v="67.680000000000007"/>
    <n v="67.67989544591066"/>
    <n v="67.680000000000007"/>
    <s v=""/>
  </r>
  <r>
    <x v="4"/>
    <x v="0"/>
    <x v="5"/>
    <s v="inZOI Server Team"/>
    <s v="INZOI"/>
    <n v="101758"/>
    <s v="P100010048"/>
    <s v="inzoi-canvas"/>
    <s v="조재욱"/>
    <s v="조재욱"/>
    <m/>
    <m/>
    <m/>
    <m/>
    <m/>
    <m/>
    <m/>
    <m/>
    <n v="21"/>
    <n v="574"/>
    <n v="1267"/>
    <n v="0"/>
    <n v="2051.06"/>
    <n v="2051.0597804858244"/>
    <n v="2051.06"/>
    <s v=""/>
  </r>
  <r>
    <x v="4"/>
    <x v="0"/>
    <x v="5"/>
    <s v="inZOI Dev R&amp;D Team"/>
    <s v="INZOI"/>
    <n v="102159"/>
    <s v="P100010012"/>
    <s v="inzoi-dev-rnd"/>
    <s v="이상문"/>
    <s v="이상문"/>
    <m/>
    <m/>
    <n v="0"/>
    <n v="210375"/>
    <n v="323715"/>
    <n v="319654"/>
    <n v="305018"/>
    <n v="327145.55034830398"/>
    <n v="211489"/>
    <n v="344421"/>
    <n v="199054"/>
    <n v="0"/>
    <n v="25214.59"/>
    <n v="25214.591194007229"/>
    <n v="25214.59"/>
    <s v=""/>
  </r>
  <r>
    <x v="4"/>
    <x v="0"/>
    <x v="0"/>
    <s v="IT Service &amp; Mgmt Part"/>
    <s v="OVERHEAD/OTHERS"/>
    <e v="#N/A"/>
    <s v="P100010066"/>
    <s v="it-cost-summary"/>
    <s v="김승태"/>
    <s v="김승태"/>
    <m/>
    <m/>
    <m/>
    <m/>
    <m/>
    <m/>
    <m/>
    <m/>
    <m/>
    <m/>
    <n v="0"/>
    <n v="0"/>
    <n v="13.11"/>
    <n v="13.105704648494248"/>
    <n v="13.11"/>
    <s v=""/>
  </r>
  <r>
    <x v="4"/>
    <x v="0"/>
    <x v="0"/>
    <s v="KRAFTON HQ"/>
    <s v="OVERHEAD/OTHERS"/>
    <n v="101315"/>
    <s v="I100090817"/>
    <s v="Kissflow"/>
    <s v="송은석"/>
    <s v="사용완료"/>
    <m/>
    <n v="0"/>
    <m/>
    <m/>
    <m/>
    <m/>
    <m/>
    <m/>
    <n v="333340053"/>
    <n v="0"/>
    <n v="0"/>
    <n v="0"/>
    <n v="0"/>
    <m/>
    <n v="0"/>
    <s v=""/>
  </r>
  <r>
    <x v="4"/>
    <x v="0"/>
    <x v="0"/>
    <s v="KOS Engineering Dept."/>
    <s v="OVERHEAD/OTHERS"/>
    <n v="100212"/>
    <s v="I100099999"/>
    <s v="krafton-creator-network"/>
    <s v="이동호"/>
    <s v="이동호"/>
    <m/>
    <n v="11733"/>
    <n v="9369"/>
    <n v="9045"/>
    <n v="9834"/>
    <n v="9907"/>
    <n v="9663"/>
    <n v="9861.9023866261505"/>
    <n v="6434"/>
    <n v="10311"/>
    <n v="10150"/>
    <n v="0"/>
    <n v="8703.94"/>
    <n v="8703.9407553771107"/>
    <n v="8703.94"/>
    <s v=""/>
  </r>
  <r>
    <x v="4"/>
    <x v="0"/>
    <x v="0"/>
    <s v="Data Engineering Dept."/>
    <s v="OVERHEAD/OTHERS"/>
    <e v="#N/A"/>
    <s v="I100099999"/>
    <s v="krafton-ded-ai"/>
    <s v="염화음"/>
    <s v="문중현"/>
    <m/>
    <n v="32216750"/>
    <n v="24733486"/>
    <n v="29149119"/>
    <n v="5952482"/>
    <n v="6976333"/>
    <n v="6614497"/>
    <n v="6047131.0123658199"/>
    <n v="5896039"/>
    <n v="6569267"/>
    <n v="10132977"/>
    <n v="3789167"/>
    <n v="14184776.119999999"/>
    <n v="14184776.12397752"/>
    <n v="10395609.119999999"/>
    <n v="2.7435077736082887"/>
  </r>
  <r>
    <x v="4"/>
    <x v="0"/>
    <x v="0"/>
    <s v="Data Engineering Dept."/>
    <s v="OVERHEAD/OTHERS"/>
    <n v="101056"/>
    <s v="P100010048"/>
    <s v="krafton-ded-infra"/>
    <s v="염화음"/>
    <s v="김시훈"/>
    <m/>
    <n v="901"/>
    <n v="599"/>
    <n v="1299"/>
    <n v="1997"/>
    <n v="2590"/>
    <n v="2943"/>
    <n v="4534.8052599422999"/>
    <n v="4189"/>
    <n v="5712"/>
    <n v="5331"/>
    <n v="0"/>
    <n v="1814.47"/>
    <n v="1814.4703925375566"/>
    <n v="1814.47"/>
    <s v=""/>
  </r>
  <r>
    <x v="4"/>
    <x v="0"/>
    <x v="0"/>
    <s v="AI Product Dev Chapter Dept."/>
    <s v="DEEP LEARNING"/>
    <n v="100212"/>
    <s v="I100099999"/>
    <s v="krafton-dld-ai"/>
    <s v="임형진"/>
    <s v="임형진"/>
    <m/>
    <n v="341797"/>
    <n v="210979"/>
    <n v="2328869"/>
    <n v="2499826"/>
    <n v="2031655"/>
    <n v="1300190"/>
    <n v="1787961.0715483599"/>
    <n v="625376"/>
    <n v="2249474"/>
    <n v="699985"/>
    <n v="0"/>
    <n v="45474369.990000002"/>
    <n v="45474369.990570359"/>
    <n v="45474369.990000002"/>
    <s v=""/>
  </r>
  <r>
    <x v="4"/>
    <x v="0"/>
    <x v="0"/>
    <s v="AI Product Dev Chapter Dept."/>
    <s v="OVERHEAD/OTHERS"/>
    <n v="101315"/>
    <s v="I100090817"/>
    <s v="krafton-dld-tgw"/>
    <s v="나민주"/>
    <s v="나민주"/>
    <m/>
    <m/>
    <m/>
    <m/>
    <m/>
    <m/>
    <m/>
    <m/>
    <m/>
    <m/>
    <n v="613287"/>
    <n v="1"/>
    <n v="6564.25"/>
    <n v="6564.2481137970271"/>
    <n v="6563.25"/>
    <n v="6563.25"/>
  </r>
  <r>
    <x v="4"/>
    <x v="0"/>
    <x v="0"/>
    <s v="L10N Team"/>
    <s v="OVERHEAD/OTHERS"/>
    <n v="101265"/>
    <s v="I100099999"/>
    <s v="krafton-l10n"/>
    <s v="김재헌"/>
    <s v="전평준"/>
    <s v="v"/>
    <n v="1960"/>
    <n v="12"/>
    <n v="109"/>
    <n v="2178"/>
    <n v="14"/>
    <n v="14"/>
    <n v="14.2590177364624"/>
    <n v="260"/>
    <n v="15"/>
    <n v="15"/>
    <n v="0"/>
    <n v="118542.25"/>
    <n v="118542.24813707393"/>
    <n v="118542.25"/>
    <s v=""/>
  </r>
  <r>
    <x v="4"/>
    <x v="0"/>
    <x v="0"/>
    <s v="AI Research Design Team"/>
    <s v="OVERHEAD/OTHERS"/>
    <n v="102159"/>
    <s v="I100099999"/>
    <s v="krafton-nlp-eng"/>
    <s v="이에나"/>
    <s v="이에나"/>
    <m/>
    <m/>
    <n v="0"/>
    <n v="0"/>
    <m/>
    <m/>
    <m/>
    <m/>
    <m/>
    <n v="0"/>
    <n v="0"/>
    <n v="0"/>
    <n v="0"/>
    <m/>
    <n v="0"/>
    <s v=""/>
  </r>
  <r>
    <x v="4"/>
    <x v="0"/>
    <x v="0"/>
    <s v="KOS Engineering Dept."/>
    <s v="GPP"/>
    <e v="#N/A"/>
    <s v="I100099999"/>
    <s v="krafton-online-services"/>
    <s v="조국환"/>
    <s v="조국환"/>
    <m/>
    <m/>
    <m/>
    <m/>
    <m/>
    <m/>
    <n v="124975"/>
    <n v="3521019.7342272601"/>
    <n v="5072145"/>
    <n v="7578282"/>
    <n v="9586962"/>
    <n v="11393808"/>
    <n v="14002368.01"/>
    <n v="14002368.012031887"/>
    <n v="2608560.0099999998"/>
    <n v="0.22894540701405533"/>
  </r>
  <r>
    <x v="4"/>
    <x v="0"/>
    <x v="0"/>
    <s v="Security Dept."/>
    <s v="OVERHEAD/OTHERS"/>
    <n v="101323"/>
    <s v="P100030092"/>
    <s v="krafton-security"/>
    <s v="홍준화"/>
    <s v="홍준화"/>
    <s v="v"/>
    <m/>
    <m/>
    <m/>
    <m/>
    <m/>
    <m/>
    <m/>
    <n v="6336"/>
    <n v="274392"/>
    <n v="297422"/>
    <n v="31"/>
    <n v="1967700.12"/>
    <n v="1967700.1232843997"/>
    <n v="1967669.12"/>
    <n v="63473.197419354845"/>
  </r>
  <r>
    <x v="4"/>
    <x v="0"/>
    <x v="0"/>
    <s v="Security Dept."/>
    <s v="OVERHEAD/OTHERS"/>
    <n v="480027"/>
    <e v="#N/A"/>
    <s v="krafton-security-policy"/>
    <s v="홍준화"/>
    <s v="홍준화"/>
    <s v="v"/>
    <m/>
    <m/>
    <m/>
    <m/>
    <m/>
    <m/>
    <m/>
    <n v="11519"/>
    <n v="267992"/>
    <n v="1558"/>
    <n v="0"/>
    <n v="0"/>
    <n v="0"/>
    <n v="0"/>
    <s v=""/>
  </r>
  <r>
    <x v="4"/>
    <x v="0"/>
    <x v="0"/>
    <s v="Jungle Coaching Dept."/>
    <s v="PROJECT JUNGLE"/>
    <n v="100522"/>
    <s v="I100099999"/>
    <s v="kraftonjungle"/>
    <s v="김현수"/>
    <s v="김현수"/>
    <m/>
    <n v="79635"/>
    <n v="55454"/>
    <n v="27196"/>
    <n v="31442"/>
    <n v="31917"/>
    <n v="30756"/>
    <n v="31847.9496317054"/>
    <n v="20477"/>
    <n v="33337"/>
    <n v="32771"/>
    <n v="1"/>
    <n v="28117.99"/>
    <n v="28117.991798736093"/>
    <n v="28116.99"/>
    <n v="28116.99"/>
  </r>
  <r>
    <x v="4"/>
    <x v="0"/>
    <x v="0"/>
    <s v="KRAFTON JUNGLE"/>
    <s v="PROJECT JUNGLE"/>
    <n v="100212"/>
    <s v="P100030014"/>
    <s v="kraftonjunglelms"/>
    <s v="김성민"/>
    <s v="김성민"/>
    <m/>
    <m/>
    <m/>
    <m/>
    <m/>
    <m/>
    <m/>
    <m/>
    <m/>
    <n v="16445"/>
    <n v="0"/>
    <n v="0"/>
    <n v="0"/>
    <m/>
    <n v="0"/>
    <s v=""/>
  </r>
  <r>
    <x v="4"/>
    <x v="0"/>
    <x v="0"/>
    <s v="Data Analytics Dept."/>
    <s v="(2022)BATTLEGROUNDS_MOBILE_IN"/>
    <n v="100013"/>
    <s v="I100099999"/>
    <s v="logdescriptor"/>
    <s v="김준형"/>
    <s v="김준형"/>
    <m/>
    <n v="49474"/>
    <m/>
    <m/>
    <n v="52279"/>
    <m/>
    <m/>
    <m/>
    <m/>
    <n v="0"/>
    <n v="0"/>
    <n v="0"/>
    <n v="0"/>
    <n v="0"/>
    <n v="0"/>
    <s v=""/>
  </r>
  <r>
    <x v="4"/>
    <x v="0"/>
    <x v="0"/>
    <s v="Data Engineering Dept."/>
    <s v="OVERHEAD/OTHERS"/>
    <n v="101968"/>
    <s v="I100090817"/>
    <s v="Looker"/>
    <s v="송은석"/>
    <s v="사용완료"/>
    <m/>
    <n v="18571999"/>
    <m/>
    <m/>
    <m/>
    <m/>
    <m/>
    <m/>
    <m/>
    <n v="0"/>
    <n v="0"/>
    <n v="0"/>
    <n v="0"/>
    <m/>
    <n v="0"/>
    <s v=""/>
  </r>
  <r>
    <x v="4"/>
    <x v="0"/>
    <x v="0"/>
    <s v="Camp Dept."/>
    <s v="OVERHEAD/OTHERS"/>
    <n v="100987"/>
    <s v="I100090820"/>
    <s v="loon-camp"/>
    <s v="이태형"/>
    <s v="이태형"/>
    <s v="v"/>
    <m/>
    <m/>
    <m/>
    <m/>
    <m/>
    <n v="787234"/>
    <n v="410963.84037322499"/>
    <n v="765195"/>
    <n v="415712"/>
    <n v="311843"/>
    <n v="2"/>
    <n v="227595.68"/>
    <n v="227595.67889564444"/>
    <n v="227593.68"/>
    <n v="113796.84"/>
  </r>
  <r>
    <x v="4"/>
    <x v="0"/>
    <x v="0"/>
    <s v="Service Policy Team"/>
    <s v="OVERHEAD/OTHERS"/>
    <n v="101942"/>
    <s v="I100099999"/>
    <s v="lootbox-item-ad-post-oversight"/>
    <s v="구민찬"/>
    <s v="황민지"/>
    <m/>
    <m/>
    <m/>
    <m/>
    <m/>
    <m/>
    <n v="39"/>
    <n v="600.54640926033198"/>
    <n v="1861"/>
    <n v="11155"/>
    <n v="13603"/>
    <n v="0"/>
    <n v="9205.9699999999993"/>
    <n v="9205.9676832412952"/>
    <n v="9205.9699999999993"/>
    <s v=""/>
  </r>
  <r>
    <x v="4"/>
    <x v="0"/>
    <x v="12"/>
    <s v="OVDR Web 3.0 Product Team"/>
    <s v="OVERHEAD/OTHERS"/>
    <e v="#N/A"/>
    <s v="P100010048"/>
    <s v="migaloo-web3"/>
    <s v="당정현"/>
    <s v="당정현"/>
    <m/>
    <m/>
    <m/>
    <m/>
    <m/>
    <m/>
    <m/>
    <m/>
    <m/>
    <n v="0"/>
    <n v="0"/>
    <n v="0"/>
    <n v="0"/>
    <m/>
    <n v="0"/>
    <s v=""/>
  </r>
  <r>
    <x v="4"/>
    <x v="0"/>
    <x v="12"/>
    <n v="0"/>
    <s v="OVERHEAD/OTHERS"/>
    <n v="100553"/>
    <e v="#N/A"/>
    <s v="migaloo-web3-369008"/>
    <s v="당정현"/>
    <s v="당정현"/>
    <m/>
    <m/>
    <m/>
    <m/>
    <n v="15458"/>
    <n v="56760"/>
    <n v="35549"/>
    <n v="211502.07494605999"/>
    <n v="221353"/>
    <n v="1257249"/>
    <n v="642356"/>
    <n v="18"/>
    <n v="227686.92"/>
    <n v="227686.92440183208"/>
    <n v="227668.92"/>
    <n v="12648.273333333334"/>
  </r>
  <r>
    <x v="4"/>
    <x v="11"/>
    <x v="28"/>
    <s v="Unknownworlds"/>
    <s v="UW-MOONBREAKER"/>
    <n v="102022"/>
    <s v="P100010048"/>
    <s v="moonbreaker-production"/>
    <s v="Jack Smith"/>
    <s v="Jack Smith"/>
    <m/>
    <n v="830622"/>
    <n v="812555"/>
    <n v="773524"/>
    <n v="761371"/>
    <n v="786240"/>
    <n v="789091"/>
    <n v="794682.27159000002"/>
    <n v="696248"/>
    <n v="829618"/>
    <n v="808328"/>
    <n v="805815"/>
    <n v="804762.73"/>
    <n v="804762.72983799991"/>
    <n v="-1052.2700000000186"/>
    <n v="-1.3058456345439321E-3"/>
  </r>
  <r>
    <x v="4"/>
    <x v="0"/>
    <x v="0"/>
    <s v="AI Model Research Dept."/>
    <s v="OVERHEAD/OTHERS"/>
    <n v="101721"/>
    <s v="I100099999"/>
    <s v="nonverbal-tagging"/>
    <s v="박선영"/>
    <s v="박선영"/>
    <m/>
    <m/>
    <m/>
    <m/>
    <m/>
    <m/>
    <m/>
    <m/>
    <m/>
    <m/>
    <n v="756015"/>
    <n v="6"/>
    <n v="408.33"/>
    <n v="408.33067626478265"/>
    <n v="402.33"/>
    <n v="67.054999999999993"/>
  </r>
  <r>
    <x v="4"/>
    <x v="0"/>
    <x v="0"/>
    <s v="Data Engineering Dept."/>
    <s v="OVERHEAD/OTHERS"/>
    <n v="100079"/>
    <s v="I100099999"/>
    <s v="oge-scraper"/>
    <s v="염화음"/>
    <s v="신수연"/>
    <m/>
    <m/>
    <m/>
    <m/>
    <m/>
    <m/>
    <m/>
    <m/>
    <m/>
    <n v="0"/>
    <n v="0"/>
    <n v="0"/>
    <n v="0"/>
    <n v="0"/>
    <n v="0"/>
    <s v=""/>
  </r>
  <r>
    <x v="4"/>
    <x v="0"/>
    <x v="0"/>
    <s v="PalM Unit"/>
    <s v="PalM"/>
    <n v="100009"/>
    <s v="I100099999"/>
    <s v="palworld-m"/>
    <s v="양병성"/>
    <s v="양병성"/>
    <m/>
    <m/>
    <m/>
    <m/>
    <n v="498381"/>
    <n v="280370"/>
    <n v="29853"/>
    <n v="1972.6771002754699"/>
    <n v="5090"/>
    <n v="70283"/>
    <n v="211224"/>
    <n v="3"/>
    <n v="35227.65"/>
    <n v="35227.648882998845"/>
    <n v="35224.65"/>
    <n v="11741.550000000001"/>
  </r>
  <r>
    <x v="4"/>
    <x v="0"/>
    <x v="12"/>
    <s v="OVDR Platform Engineering Dept."/>
    <s v="OVERHEAD/OTHERS"/>
    <n v="102081"/>
    <s v="P100010048"/>
    <s v="pc-api-7226728469668669189-510"/>
    <s v="나윤호"/>
    <s v="이제우"/>
    <m/>
    <n v="29785612"/>
    <n v="18023639"/>
    <n v="24304360"/>
    <n v="31543413"/>
    <n v="32084883"/>
    <n v="40536900"/>
    <n v="46259920.0767451"/>
    <n v="33695355"/>
    <n v="53645497"/>
    <n v="58648964"/>
    <n v="2475"/>
    <n v="39951446.530000001"/>
    <n v="39951446.533170611"/>
    <n v="39948971.530000001"/>
    <n v="16140.998597979798"/>
  </r>
  <r>
    <x v="4"/>
    <x v="0"/>
    <x v="0"/>
    <s v="Design Creative Part"/>
    <s v="OVERHEAD/OTHERS"/>
    <n v="100076"/>
    <s v="I100099999"/>
    <s v="playbook-488307"/>
    <s v="권순철"/>
    <s v="권순철"/>
    <m/>
    <m/>
    <m/>
    <m/>
    <m/>
    <m/>
    <m/>
    <m/>
    <m/>
    <m/>
    <m/>
    <n v="0"/>
    <n v="792.97"/>
    <n v="792.9670538722811"/>
    <n v="792.97"/>
    <s v=""/>
  </r>
  <r>
    <x v="4"/>
    <x v="0"/>
    <x v="0"/>
    <s v="Platform Management Team"/>
    <s v="Dark and Darker_Mobile"/>
    <n v="100036"/>
    <s v="I100099999"/>
    <s v="project-ddm-405802"/>
    <s v="신지호"/>
    <s v="신지호"/>
    <m/>
    <n v="702"/>
    <n v="335"/>
    <n v="305"/>
    <n v="335"/>
    <n v="355"/>
    <n v="344"/>
    <n v="340.91250228800499"/>
    <n v="254"/>
    <n v="409"/>
    <n v="410"/>
    <n v="0"/>
    <n v="346.76"/>
    <n v="346.76473675591114"/>
    <n v="346.76"/>
    <s v=""/>
  </r>
  <r>
    <x v="4"/>
    <x v="0"/>
    <x v="2"/>
    <s v="Platform Management Team"/>
    <s v="UROPA_mobile"/>
    <n v="101651"/>
    <s v="I100099999"/>
    <s v="project-uropa"/>
    <s v="신지호"/>
    <s v="신지호"/>
    <m/>
    <m/>
    <m/>
    <m/>
    <m/>
    <m/>
    <m/>
    <m/>
    <m/>
    <m/>
    <n v="0"/>
    <n v="0"/>
    <n v="0.02"/>
    <n v="1.5959049369861398E-2"/>
    <n v="0.02"/>
    <s v=""/>
  </r>
  <r>
    <x v="4"/>
    <x v="0"/>
    <x v="18"/>
    <s v="FWG T Team"/>
    <n v="0"/>
    <n v="100414"/>
    <s v="P100010012"/>
    <s v="prototype-485602"/>
    <s v="김무갑"/>
    <s v="김무갑"/>
    <m/>
    <m/>
    <m/>
    <m/>
    <m/>
    <m/>
    <m/>
    <m/>
    <m/>
    <m/>
    <n v="149904"/>
    <n v="0"/>
    <n v="0"/>
    <m/>
    <n v="0"/>
    <s v=""/>
  </r>
  <r>
    <x v="4"/>
    <x v="0"/>
    <x v="0"/>
    <s v="PUBG Ally DL TF Team"/>
    <s v="OVERHEAD/OTHERS"/>
    <n v="105019"/>
    <s v="I100099999"/>
    <s v="pubg-ally"/>
    <s v="임효정"/>
    <s v="임효정"/>
    <s v="v"/>
    <m/>
    <n v="0"/>
    <n v="54694"/>
    <n v="205493"/>
    <n v="1531737"/>
    <n v="5707599"/>
    <n v="22994793.520909399"/>
    <n v="8807613"/>
    <n v="57769289"/>
    <n v="4439745"/>
    <n v="176"/>
    <n v="4281908.76"/>
    <n v="4281908.7552201254"/>
    <n v="4281732.76"/>
    <n v="24328.027045454543"/>
  </r>
  <r>
    <x v="4"/>
    <x v="0"/>
    <x v="0"/>
    <s v="Platform Management Team"/>
    <s v="(2022)BATTLEGROUNDS_MOBILE_IN"/>
    <n v="101050"/>
    <s v="I100099999"/>
    <s v="pubg-mobile-fit-29242572"/>
    <s v="신지호"/>
    <s v="신지호"/>
    <m/>
    <n v="634011"/>
    <n v="504939"/>
    <n v="564021"/>
    <n v="625597"/>
    <n v="595881"/>
    <n v="664709"/>
    <n v="530501.09327413305"/>
    <n v="385591"/>
    <n v="246345"/>
    <n v="689903"/>
    <n v="23"/>
    <n v="311167.09999999998"/>
    <n v="311167.09851377754"/>
    <n v="311144.09999999998"/>
    <n v="13528.004347826087"/>
  </r>
  <r>
    <x v="4"/>
    <x v="0"/>
    <x v="2"/>
    <s v="PUBG PC&amp;Console Dev Div."/>
    <s v="BATTLEGROUNDS_PC/CONSOLE"/>
    <n v="101323"/>
    <s v="P100030073"/>
    <s v="pubg-platform-ai"/>
    <s v="김정헌"/>
    <s v="최준석"/>
    <m/>
    <m/>
    <n v="0"/>
    <n v="733359"/>
    <n v="959829"/>
    <n v="1478752"/>
    <n v="1627186"/>
    <n v="3284536.6306779301"/>
    <n v="8594593"/>
    <n v="13854425"/>
    <n v="17044059"/>
    <n v="35039556"/>
    <n v="39754571.409999996"/>
    <n v="39754571.41206333"/>
    <n v="4715015.4099999964"/>
    <n v="0.13456264714084837"/>
  </r>
  <r>
    <x v="4"/>
    <x v="0"/>
    <x v="0"/>
    <s v="KRAFTON HQ"/>
    <s v="OVERHEAD/OTHERS"/>
    <n v="100414"/>
    <s v="P100010048"/>
    <s v="pubg-primer"/>
    <n v="0"/>
    <n v="0"/>
    <m/>
    <m/>
    <m/>
    <m/>
    <m/>
    <m/>
    <m/>
    <m/>
    <m/>
    <n v="0"/>
    <n v="1"/>
    <n v="0"/>
    <n v="0.7"/>
    <n v="0.69571855020947271"/>
    <n v="0.7"/>
    <s v=""/>
  </r>
  <r>
    <x v="4"/>
    <x v="0"/>
    <x v="0"/>
    <s v="Publishing Growth Marketing &amp; BD Team"/>
    <s v="OVERHEAD/OTHERS"/>
    <n v="100033"/>
    <s v="I100099999"/>
    <s v="publishing-growth-marketing"/>
    <s v="정여원"/>
    <s v="정여원"/>
    <m/>
    <m/>
    <m/>
    <m/>
    <m/>
    <m/>
    <m/>
    <m/>
    <m/>
    <m/>
    <m/>
    <n v="0"/>
    <n v="0"/>
    <m/>
    <n v="0"/>
    <s v=""/>
  </r>
  <r>
    <x v="4"/>
    <x v="7"/>
    <x v="13"/>
    <s v="ReLU Dev Dept."/>
    <s v="OVERHEAD/OTHERS"/>
    <n v="101883"/>
    <s v="P100010048"/>
    <s v="ReLU Games"/>
    <s v="오준석"/>
    <s v="오준석"/>
    <m/>
    <m/>
    <m/>
    <m/>
    <m/>
    <m/>
    <m/>
    <m/>
    <m/>
    <n v="0"/>
    <n v="0"/>
    <n v="0"/>
    <n v="0"/>
    <m/>
    <n v="0"/>
    <s v=""/>
  </r>
  <r>
    <x v="4"/>
    <x v="0"/>
    <x v="13"/>
    <n v="0"/>
    <s v="OVERHEAD/OTHERS"/>
    <n v="100009"/>
    <s v="P100010048"/>
    <s v="relugames"/>
    <s v="오준석"/>
    <s v="오준석"/>
    <m/>
    <m/>
    <m/>
    <m/>
    <m/>
    <n v="42"/>
    <n v="23"/>
    <n v="406.20200048818901"/>
    <n v="8243"/>
    <n v="11205"/>
    <n v="4009"/>
    <n v="0"/>
    <n v="14680.21"/>
    <n v="14680.210057925344"/>
    <n v="14680.21"/>
    <s v=""/>
  </r>
  <r>
    <x v="4"/>
    <x v="0"/>
    <x v="0"/>
    <s v="General Operations Dept."/>
    <s v="OVERHEAD/OTHERS"/>
    <n v="100025"/>
    <s v="I100099999"/>
    <s v="resort-booking-system-484805"/>
    <s v="윤지애"/>
    <s v="윤지애"/>
    <m/>
    <m/>
    <m/>
    <m/>
    <m/>
    <m/>
    <m/>
    <m/>
    <m/>
    <m/>
    <n v="11"/>
    <n v="0"/>
    <n v="3.23"/>
    <n v="3.2307142306387333"/>
    <n v="3.23"/>
    <s v=""/>
  </r>
  <r>
    <x v="4"/>
    <x v="0"/>
    <x v="0"/>
    <s v="Culture Team"/>
    <s v="OVERHEAD/OTHERS"/>
    <e v="#N/A"/>
    <s v="I100099999"/>
    <s v="rosy-cache-487200-j0"/>
    <s v="임경빈"/>
    <s v="임경빈"/>
    <m/>
    <m/>
    <m/>
    <m/>
    <m/>
    <m/>
    <m/>
    <m/>
    <m/>
    <m/>
    <m/>
    <n v="0"/>
    <n v="758.77"/>
    <n v="758.76564516202313"/>
    <n v="758.77"/>
    <s v=""/>
  </r>
  <r>
    <x v="4"/>
    <x v="0"/>
    <x v="0"/>
    <s v="Service DevOps Team"/>
    <s v="OVERHEAD/OTHERS"/>
    <n v="500034"/>
    <s v="P100010055"/>
    <s v="serviceinfratest"/>
    <s v="엄기성"/>
    <s v="엄기성"/>
    <m/>
    <n v="592365"/>
    <n v="482888"/>
    <n v="644476"/>
    <n v="599319"/>
    <n v="588545"/>
    <n v="555717"/>
    <n v="575270.53306360496"/>
    <n v="366948"/>
    <n v="601721"/>
    <n v="592517"/>
    <n v="25"/>
    <n v="435667.72"/>
    <n v="435667.71724717139"/>
    <n v="435642.72"/>
    <n v="17425.7088"/>
  </r>
  <r>
    <x v="4"/>
    <x v="0"/>
    <x v="21"/>
    <n v="0"/>
    <s v="OVERHEAD/OTHERS"/>
    <n v="101752"/>
    <s v="P100010048"/>
    <s v="smash-dungeon"/>
    <n v="0"/>
    <n v="0"/>
    <m/>
    <m/>
    <m/>
    <m/>
    <m/>
    <n v="1043"/>
    <n v="1014"/>
    <n v="989.49082299999998"/>
    <n v="870"/>
    <n v="2064"/>
    <n v="1092"/>
    <n v="1091"/>
    <n v="1091.54"/>
    <n v="1091.5404799999999"/>
    <n v="0.53999999999996362"/>
    <n v="4.9495875343718025E-4"/>
  </r>
  <r>
    <x v="4"/>
    <x v="0"/>
    <x v="21"/>
    <n v="0"/>
    <s v="OVERHEAD/OTHERS"/>
    <n v="101752"/>
    <e v="#N/A"/>
    <s v="sys-63523688918007462271555783"/>
    <n v="0"/>
    <n v="0"/>
    <m/>
    <m/>
    <m/>
    <m/>
    <m/>
    <m/>
    <m/>
    <m/>
    <m/>
    <n v="17821"/>
    <n v="152110"/>
    <n v="0"/>
    <n v="411853.46"/>
    <n v="411853.464148"/>
    <n v="411853.46"/>
    <s v=""/>
  </r>
  <r>
    <x v="4"/>
    <x v="0"/>
    <x v="0"/>
    <s v="Data Analytics Dept."/>
    <s v="OVERHEAD/OTHERS"/>
    <n v="101323"/>
    <s v="I100099999"/>
    <s v="tableau-tf"/>
    <s v="김태혁"/>
    <s v="김태혁"/>
    <m/>
    <m/>
    <m/>
    <m/>
    <m/>
    <m/>
    <n v="24"/>
    <n v="0"/>
    <n v="2"/>
    <n v="0"/>
    <n v="0"/>
    <n v="0"/>
    <n v="0"/>
    <m/>
    <n v="0"/>
    <s v=""/>
  </r>
  <r>
    <x v="4"/>
    <x v="0"/>
    <x v="27"/>
    <s v="Service DevOps Team"/>
    <s v="UW-MOONBREAKER"/>
    <e v="#N/A"/>
    <s v="P100010012"/>
    <s v="uw-mb-prod"/>
    <s v="엄기성"/>
    <s v="엄기성"/>
    <m/>
    <n v="4617164"/>
    <n v="3751157"/>
    <n v="4614580"/>
    <n v="4657575"/>
    <n v="4624259"/>
    <n v="4360346"/>
    <n v="4535924.9897238901"/>
    <n v="2905468"/>
    <n v="4747557"/>
    <n v="4697332"/>
    <n v="189"/>
    <n v="3322609.95"/>
    <n v="3322609.9479207862"/>
    <n v="3322420.95"/>
    <n v="17578.946825396826"/>
  </r>
  <r>
    <x v="4"/>
    <x v="0"/>
    <x v="0"/>
    <s v="AI Applied Research Dept."/>
    <s v="OVERHEAD/OTHERS"/>
    <n v="100522"/>
    <s v="I100099999"/>
    <s v="veo3-461205"/>
    <s v="선주형"/>
    <s v="선주형"/>
    <m/>
    <m/>
    <n v="0"/>
    <n v="247576"/>
    <n v="547075"/>
    <n v="46917"/>
    <n v="6850"/>
    <n v="373952.14690898301"/>
    <n v="5366"/>
    <n v="539725"/>
    <n v="3408"/>
    <n v="0"/>
    <n v="0"/>
    <m/>
    <n v="0"/>
    <s v=""/>
  </r>
  <r>
    <x v="4"/>
    <x v="0"/>
    <x v="2"/>
    <s v="Infra Div."/>
    <s v="OVERHEAD/OTHERS"/>
    <n v="101802"/>
    <s v="I100099999"/>
    <s v="vital-axiom-238107"/>
    <s v="심재한"/>
    <s v="심재한"/>
    <m/>
    <n v="618098"/>
    <n v="607799"/>
    <n v="579289"/>
    <n v="570883"/>
    <n v="565793"/>
    <n v="675446"/>
    <n v="463957.726986742"/>
    <n v="13609"/>
    <n v="13256"/>
    <n v="13387"/>
    <n v="1"/>
    <n v="11165.3"/>
    <n v="11165.295021858288"/>
    <n v="11164.3"/>
    <n v="11164.3"/>
  </r>
  <r>
    <x v="4"/>
    <x v="0"/>
    <x v="15"/>
    <s v="Vector North Unit"/>
    <s v="OVERHEAD/OTHERS"/>
    <n v="101090"/>
    <s v="P100010048"/>
    <s v="vn-holmlands-dev"/>
    <s v="Petr Matoušek"/>
    <s v="Petr Matoušek"/>
    <m/>
    <n v="2578"/>
    <n v="2051"/>
    <n v="2334"/>
    <n v="2631"/>
    <n v="733"/>
    <n v="47"/>
    <n v="40.5986965857821"/>
    <n v="21"/>
    <n v="0"/>
    <n v="0"/>
    <n v="0"/>
    <n v="0"/>
    <m/>
    <n v="0"/>
    <s v=""/>
  </r>
  <r>
    <x v="4"/>
    <x v="0"/>
    <x v="0"/>
    <s v="Visual R&amp;D Team"/>
    <s v="OVERHEAD/OTHERS"/>
    <n v="100025"/>
    <s v="I100090813"/>
    <s v="vrd-gcp-proj"/>
    <s v="이주영"/>
    <s v="이주영"/>
    <m/>
    <m/>
    <m/>
    <m/>
    <m/>
    <m/>
    <m/>
    <m/>
    <m/>
    <m/>
    <n v="8909"/>
    <n v="0"/>
    <n v="27075.16"/>
    <n v="27075.161647381323"/>
    <n v="27075.16"/>
    <s v=""/>
  </r>
  <r>
    <x v="4"/>
    <x v="11"/>
    <x v="28"/>
    <s v="Unknownworlds"/>
    <s v="OVERHEAD/OTHERS"/>
    <e v="#N/A"/>
    <s v="P100010048"/>
    <s v="warpaint-backend"/>
    <s v="Jack Smith"/>
    <s v="Jack Smith"/>
    <m/>
    <n v="928459"/>
    <n v="925201"/>
    <n v="862354"/>
    <n v="865337"/>
    <n v="900306"/>
    <n v="891520"/>
    <n v="948865.172217999"/>
    <n v="833157"/>
    <n v="1079425"/>
    <n v="1045497"/>
    <n v="956301"/>
    <n v="1017028"/>
    <n v="1017028.0026149988"/>
    <n v="60727"/>
    <n v="6.3501972705246573E-2"/>
  </r>
  <r>
    <x v="4"/>
    <x v="11"/>
    <x v="28"/>
    <s v="Unknownworlds"/>
    <s v="OVERHEAD/OTHERS"/>
    <e v="#N/A"/>
    <s v="P100010048"/>
    <s v="warpaint-developer-280614"/>
    <s v="Jack Smith"/>
    <s v="Jack Smith"/>
    <m/>
    <n v="27"/>
    <n v="27"/>
    <n v="25"/>
    <n v="25"/>
    <n v="26"/>
    <n v="26"/>
    <n v="26.081230000000001"/>
    <n v="23"/>
    <n v="27"/>
    <n v="27"/>
    <n v="26"/>
    <n v="26.48"/>
    <n v="26.482267"/>
    <n v="0.48000000000000043"/>
    <n v="1.8461538461538477E-2"/>
  </r>
  <r>
    <x v="4"/>
    <x v="0"/>
    <x v="0"/>
    <s v="S2 Team"/>
    <s v="OVERHEAD/OTHERS"/>
    <n v="101316"/>
    <s v="I100099999"/>
    <s v="workautomation-472302"/>
    <s v="조승석"/>
    <s v="조승석"/>
    <m/>
    <m/>
    <m/>
    <m/>
    <m/>
    <m/>
    <n v="190473"/>
    <n v="43249.400149206602"/>
    <n v="901430"/>
    <n v="260231"/>
    <n v="33181"/>
    <n v="38284"/>
    <n v="651.29"/>
    <n v="651.29146383832995"/>
    <n v="-37632.71"/>
    <n v="-0.98298793229547587"/>
  </r>
  <r>
    <x v="4"/>
    <x v="0"/>
    <x v="2"/>
    <s v="Core VFX Team"/>
    <s v="OVERHEAD/OTHERS"/>
    <e v="#N/A"/>
    <s v="I100099999"/>
    <s v="xchange-486910"/>
    <s v="서승욱"/>
    <s v="서승욱"/>
    <m/>
    <m/>
    <m/>
    <m/>
    <m/>
    <m/>
    <m/>
    <m/>
    <m/>
    <m/>
    <m/>
    <n v="5"/>
    <n v="3191976.49"/>
    <n v="3191976.4945698269"/>
    <n v="3191971.49"/>
    <n v="638394.29800000007"/>
  </r>
  <r>
    <x v="4"/>
    <x v="0"/>
    <x v="0"/>
    <s v="Experience Engineering Dept."/>
    <s v="GPP"/>
    <n v="101451"/>
    <s v="I100099999"/>
    <s v="xe-dept"/>
    <s v="이준호"/>
    <s v="이준호"/>
    <m/>
    <m/>
    <m/>
    <m/>
    <m/>
    <m/>
    <n v="2211517"/>
    <n v="5406803.1189418798"/>
    <n v="3675563"/>
    <n v="8601692"/>
    <n v="16247145"/>
    <n v="41601593"/>
    <n v="33015560.440000001"/>
    <n v="33015560.436395276"/>
    <n v="-8586032.5599999987"/>
    <n v="-0.20638711022436085"/>
  </r>
  <r>
    <x v="4"/>
    <x v="0"/>
    <x v="0"/>
    <s v="BAO Team 1"/>
    <s v="OVERHEAD/OTHERS"/>
    <m/>
    <m/>
    <s v="bao-monitoring"/>
    <m/>
    <s v="권창현"/>
    <m/>
    <m/>
    <m/>
    <m/>
    <m/>
    <m/>
    <m/>
    <m/>
    <m/>
    <m/>
    <m/>
    <m/>
    <n v="7852.81"/>
    <n v="7852.8130963367448"/>
    <n v="7852.81"/>
    <s v=""/>
  </r>
  <r>
    <x v="4"/>
    <x v="0"/>
    <x v="19"/>
    <n v="0"/>
    <s v="OVERHEAD/OTHERS"/>
    <m/>
    <m/>
    <s v="bgmi-brain"/>
    <m/>
    <s v="Srinjoy Das"/>
    <m/>
    <m/>
    <m/>
    <m/>
    <m/>
    <m/>
    <m/>
    <m/>
    <m/>
    <m/>
    <m/>
    <m/>
    <n v="56.74"/>
    <n v="56.744017105312849"/>
    <n v="56.74"/>
    <s v=""/>
  </r>
  <r>
    <x v="4"/>
    <x v="0"/>
    <x v="0"/>
    <s v="Brand Creative Dept."/>
    <s v="OVERHEAD/OTHERS"/>
    <m/>
    <m/>
    <s v="brand-creative-dept"/>
    <m/>
    <s v="전지민"/>
    <m/>
    <m/>
    <m/>
    <m/>
    <m/>
    <m/>
    <m/>
    <m/>
    <m/>
    <m/>
    <m/>
    <m/>
    <n v="2577.42"/>
    <n v="2577.422381865546"/>
    <n v="2577.42"/>
    <s v=""/>
  </r>
  <r>
    <x v="4"/>
    <x v="0"/>
    <x v="0"/>
    <s v="D2 Project Management Dept."/>
    <s v="OVERHEAD/OTHERS"/>
    <m/>
    <m/>
    <s v="pd2-automation"/>
    <m/>
    <s v="정길환"/>
    <m/>
    <m/>
    <m/>
    <m/>
    <m/>
    <m/>
    <m/>
    <m/>
    <m/>
    <m/>
    <m/>
    <m/>
    <n v="17048.75"/>
    <n v="17048.751931786639"/>
    <n v="17048.75"/>
    <s v=""/>
  </r>
  <r>
    <x v="4"/>
    <x v="0"/>
    <x v="0"/>
    <e v="#N/A"/>
    <e v="#N/A"/>
    <m/>
    <m/>
    <m/>
    <m/>
    <e v="#N/A"/>
    <m/>
    <m/>
    <m/>
    <m/>
    <m/>
    <m/>
    <m/>
    <m/>
    <m/>
    <m/>
    <m/>
    <m/>
    <n v="15682266"/>
    <n v="15682266"/>
    <n v="15682266"/>
    <s v=""/>
  </r>
  <r>
    <x v="5"/>
    <x v="0"/>
    <x v="0"/>
    <s v="AI Transformation Team"/>
    <s v="OVERHEAD/OTHERS"/>
    <n v="100033"/>
    <s v="P100010051"/>
    <s v="Gemini"/>
    <s v="김도균"/>
    <s v="김도균"/>
    <s v="v"/>
    <m/>
    <n v="1593316"/>
    <n v="14159266"/>
    <n v="15798965"/>
    <n v="16672481"/>
    <n v="23830001"/>
    <n v="35729363"/>
    <n v="47719191"/>
    <n v="442843891"/>
    <n v="45605573"/>
    <n v="46183254"/>
    <n v="47260551"/>
    <n v="47260551"/>
    <n v="1077297"/>
    <n v="2.332657200811359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9">
  <r>
    <x v="0"/>
    <x v="0"/>
    <x v="0"/>
    <s v="Publishing Tech PM Part"/>
    <x v="0"/>
    <n v="101269"/>
    <s v="P100030073"/>
    <s v="Dark&amp;DarkerMoblie"/>
    <s v="김정언"/>
    <s v="김정언"/>
    <s v="v"/>
    <n v="176245"/>
    <n v="191794"/>
    <n v="12151797"/>
    <n v="1647138"/>
    <n v="998557"/>
    <n v="687485"/>
    <n v="656031"/>
    <n v="372478"/>
    <n v="371022"/>
    <n v="241926"/>
    <n v="56897"/>
    <n v="47583"/>
    <n v="47583"/>
    <n v="-9314"/>
    <n v="-0.16369931630841697"/>
    <n v="1000"/>
  </r>
  <r>
    <x v="0"/>
    <x v="0"/>
    <x v="0"/>
    <s v="IT Dept."/>
    <x v="1"/>
    <n v="101269"/>
    <s v="I100099999"/>
    <s v="Global Traffic Management"/>
    <s v="이윤슬"/>
    <s v="이윤슬"/>
    <s v="v"/>
    <n v="2850000"/>
    <n v="2850000"/>
    <n v="2850000"/>
    <n v="2850000"/>
    <n v="2850000"/>
    <n v="2850000"/>
    <n v="2850000"/>
    <n v="2850000"/>
    <n v="2850000"/>
    <n v="2850000"/>
    <n v="2850000"/>
    <n v="2850000"/>
    <n v="2850000"/>
    <n v="0"/>
    <n v="0"/>
    <n v="1000"/>
  </r>
  <r>
    <x v="0"/>
    <x v="0"/>
    <x v="0"/>
    <s v="KOS Engineering Dept."/>
    <x v="2"/>
    <n v="100414"/>
    <s v="P100010012"/>
    <s v="GPP Dept"/>
    <s v="이의석"/>
    <s v="이의석"/>
    <s v="v"/>
    <n v="16500000"/>
    <n v="16500000"/>
    <n v="16500000"/>
    <n v="17302333"/>
    <n v="16500000"/>
    <n v="16500000"/>
    <n v="16500000"/>
    <n v="16500000"/>
    <n v="19189620"/>
    <n v="16500000"/>
    <n v="16500000"/>
    <n v="16500000"/>
    <n v="16500000"/>
    <n v="0"/>
    <n v="0"/>
    <n v="1000"/>
  </r>
  <r>
    <x v="0"/>
    <x v="0"/>
    <x v="0"/>
    <s v="IT Dept."/>
    <x v="1"/>
    <n v="100036"/>
    <s v="I100099999"/>
    <s v="IT Dept"/>
    <s v="백용원"/>
    <s v="백용원"/>
    <s v="v"/>
    <n v="9383"/>
    <n v="6736"/>
    <n v="6295"/>
    <n v="18686"/>
    <n v="0"/>
    <n v="0"/>
    <n v="0"/>
    <n v="0"/>
    <n v="22440"/>
    <n v="0"/>
    <n v="0"/>
    <n v="0"/>
    <m/>
    <n v="0"/>
    <s v=""/>
    <n v="1000"/>
  </r>
  <r>
    <x v="0"/>
    <x v="0"/>
    <x v="1"/>
    <s v="[N/A]New State Dev Div."/>
    <x v="3"/>
    <n v="100025"/>
    <s v="I100090813"/>
    <s v="NewStateMobile"/>
    <s v="김태완"/>
    <s v="김태완"/>
    <s v="v"/>
    <n v="7021942"/>
    <n v="6202222"/>
    <n v="6160035"/>
    <n v="6218633"/>
    <n v="6584628"/>
    <n v="5198312"/>
    <n v="6649060"/>
    <n v="6806509"/>
    <n v="5804815"/>
    <n v="6546446"/>
    <n v="5466648"/>
    <n v="5591539"/>
    <n v="5591539"/>
    <n v="124891"/>
    <n v="2.2845992644852934E-2"/>
    <n v="1000"/>
  </r>
  <r>
    <x v="0"/>
    <x v="0"/>
    <x v="0"/>
    <s v="Publishing Tech PM Part"/>
    <x v="1"/>
    <n v="100036"/>
    <s v="I100099999"/>
    <s v="NitroSmash"/>
    <s v="김정언"/>
    <s v="김정언"/>
    <s v="v"/>
    <m/>
    <m/>
    <m/>
    <m/>
    <m/>
    <n v="160"/>
    <n v="1"/>
    <n v="1"/>
    <n v="1"/>
    <n v="2"/>
    <n v="0"/>
    <n v="0"/>
    <m/>
    <n v="0"/>
    <s v=""/>
    <n v="1000"/>
  </r>
  <r>
    <x v="0"/>
    <x v="0"/>
    <x v="0"/>
    <s v="IT Dept."/>
    <x v="1"/>
    <n v="100036"/>
    <s v="I100099999"/>
    <s v="Protect&amp;Perform SOA with Premium"/>
    <s v="이윤슬"/>
    <s v="이윤슬"/>
    <s v="v"/>
    <n v="22950000"/>
    <n v="22950000"/>
    <n v="22950000"/>
    <n v="22950000"/>
    <n v="22950000"/>
    <n v="22950000"/>
    <n v="22950000"/>
    <n v="22950000"/>
    <n v="22950000"/>
    <n v="22950000"/>
    <n v="22950000"/>
    <n v="22950000"/>
    <n v="22950000"/>
    <n v="0"/>
    <n v="0"/>
    <n v="1000"/>
  </r>
  <r>
    <x v="0"/>
    <x v="0"/>
    <x v="0"/>
    <s v="BGMI DevOps Team"/>
    <x v="4"/>
    <n v="100368"/>
    <s v="P100030014"/>
    <s v="PUBG India"/>
    <s v="이돈현"/>
    <s v="이돈현"/>
    <s v="v"/>
    <n v="435851161"/>
    <n v="717155429"/>
    <n v="534113519"/>
    <n v="921689465"/>
    <n v="689008671"/>
    <n v="899905653"/>
    <n v="599777963"/>
    <n v="865196956"/>
    <n v="616285601"/>
    <n v="844093018"/>
    <n v="380658986"/>
    <n v="455079709"/>
    <n v="455079709"/>
    <n v="74420723"/>
    <n v="0.19550496832353775"/>
    <n v="1000"/>
  </r>
  <r>
    <x v="0"/>
    <x v="0"/>
    <x v="0"/>
    <s v="PUBG PC&amp;Console Dev Div."/>
    <x v="5"/>
    <n v="100036"/>
    <s v="I100099999"/>
    <s v="PUBG PC/Console"/>
    <s v="김정헌"/>
    <s v="최준석"/>
    <s v="v"/>
    <n v="1481654"/>
    <n v="1485849"/>
    <n v="1439358"/>
    <n v="1637229"/>
    <n v="1394062"/>
    <n v="1300651"/>
    <n v="1293148"/>
    <n v="1354057"/>
    <n v="1437475"/>
    <n v="1357700"/>
    <n v="1187780"/>
    <n v="1497566"/>
    <n v="1497566"/>
    <n v="309786"/>
    <n v="0.26081092458199329"/>
    <n v="1000"/>
  </r>
  <r>
    <x v="0"/>
    <x v="0"/>
    <x v="0"/>
    <s v="IT Dept."/>
    <x v="1"/>
    <n v="100553"/>
    <s v="P100130012"/>
    <s v="SSL Network Access-Third-party - VIP"/>
    <s v="이윤슬"/>
    <s v="이윤슬"/>
    <s v="v"/>
    <n v="250000"/>
    <n v="250000"/>
    <n v="250000"/>
    <n v="250000"/>
    <n v="250000"/>
    <n v="250000"/>
    <n v="250000"/>
    <n v="250000"/>
    <n v="250000"/>
    <n v="250000"/>
    <n v="250000"/>
    <n v="250000"/>
    <n v="250000"/>
    <n v="0"/>
    <n v="0"/>
    <n v="1000"/>
  </r>
  <r>
    <x v="1"/>
    <x v="0"/>
    <x v="2"/>
    <s v="Game Security Engineering Dept."/>
    <x v="0"/>
    <e v="#N/A"/>
    <e v="#N/A"/>
    <s v="aws_ab-anticheat-service@bluehole.net(799954618127)"/>
    <s v="황범석"/>
    <s v="황범석"/>
    <s v="v"/>
    <n v="1482540"/>
    <n v="1671608"/>
    <n v="1845569"/>
    <n v="1915815"/>
    <n v="1909640"/>
    <n v="1842532"/>
    <n v="2014054"/>
    <n v="1980991"/>
    <n v="2014224"/>
    <n v="1331949"/>
    <n v="0"/>
    <n v="0"/>
    <m/>
    <n v="0"/>
    <s v=""/>
    <n v="1000"/>
  </r>
  <r>
    <x v="1"/>
    <x v="1"/>
    <x v="3"/>
    <n v="0"/>
    <x v="6"/>
    <n v="100561"/>
    <e v="#N/A"/>
    <s v="aws_adx_001@adxcorp.kr(302454496823)"/>
    <n v="0"/>
    <n v="0"/>
    <m/>
    <m/>
    <m/>
    <m/>
    <n v="18362681"/>
    <n v="18359745"/>
    <n v="17889520"/>
    <n v="19810937"/>
    <n v="22521870"/>
    <n v="23347104"/>
    <n v="21843596"/>
    <n v="17375608"/>
    <n v="21201908"/>
    <n v="21201908"/>
    <n v="3826300"/>
    <n v="0.22021099923524978"/>
    <e v="#N/A"/>
  </r>
  <r>
    <x v="1"/>
    <x v="1"/>
    <x v="3"/>
    <n v="0"/>
    <x v="6"/>
    <n v="101721"/>
    <e v="#N/A"/>
    <s v="aws_adx_002@adxcorp.kr(796181577313)"/>
    <n v="0"/>
    <n v="0"/>
    <m/>
    <m/>
    <m/>
    <m/>
    <n v="15739959"/>
    <n v="11897051"/>
    <n v="14014693"/>
    <n v="12523100"/>
    <n v="12159154"/>
    <n v="14756395"/>
    <n v="17951593"/>
    <n v="13279139"/>
    <n v="15292648"/>
    <n v="15292648"/>
    <n v="2013509"/>
    <n v="0.15162948441160229"/>
    <e v="#N/A"/>
  </r>
  <r>
    <x v="1"/>
    <x v="1"/>
    <x v="3"/>
    <n v="0"/>
    <x v="6"/>
    <n v="101451"/>
    <e v="#N/A"/>
    <s v="aws_adx_003@adxcorp.kr(765348431472)"/>
    <n v="0"/>
    <n v="0"/>
    <m/>
    <m/>
    <m/>
    <m/>
    <n v="2338429"/>
    <n v="2051754"/>
    <n v="1930885"/>
    <n v="2298205"/>
    <n v="2156992"/>
    <n v="2218858"/>
    <n v="2139444"/>
    <n v="1934424"/>
    <n v="2179676"/>
    <n v="2179676"/>
    <n v="245252"/>
    <n v="0.12678295968205522"/>
    <e v="#N/A"/>
  </r>
  <r>
    <x v="1"/>
    <x v="1"/>
    <x v="3"/>
    <n v="0"/>
    <x v="6"/>
    <n v="100024"/>
    <e v="#N/A"/>
    <s v="aws_adx_004@adxcorp.kr(142379511204)"/>
    <m/>
    <n v="0"/>
    <m/>
    <m/>
    <m/>
    <m/>
    <n v="266511"/>
    <n v="277368"/>
    <n v="262240"/>
    <n v="275974"/>
    <n v="274748"/>
    <n v="277807"/>
    <n v="276367"/>
    <n v="249269"/>
    <n v="292732"/>
    <n v="292732"/>
    <n v="43463"/>
    <n v="0.17436183400262367"/>
    <e v="#N/A"/>
  </r>
  <r>
    <x v="1"/>
    <x v="1"/>
    <x v="3"/>
    <n v="0"/>
    <x v="6"/>
    <e v="#N/A"/>
    <e v="#N/A"/>
    <s v="aws_adx_005@adxcorp.kr(139869765471)"/>
    <n v="0"/>
    <n v="0"/>
    <m/>
    <m/>
    <m/>
    <m/>
    <n v="3707959"/>
    <n v="3735238"/>
    <n v="3645859"/>
    <n v="3796250"/>
    <n v="3809735"/>
    <n v="3804670"/>
    <n v="3772958"/>
    <n v="3535747"/>
    <n v="4056545"/>
    <n v="4056545"/>
    <n v="520798"/>
    <n v="0.14729504118931586"/>
    <e v="#N/A"/>
  </r>
  <r>
    <x v="1"/>
    <x v="1"/>
    <x v="3"/>
    <n v="0"/>
    <x v="6"/>
    <e v="#N/A"/>
    <e v="#N/A"/>
    <s v="aws_adx_007@adxcorp.kr(495653056399)"/>
    <n v="0"/>
    <n v="0"/>
    <m/>
    <m/>
    <m/>
    <m/>
    <n v="4392"/>
    <n v="10885"/>
    <n v="5102"/>
    <n v="5212"/>
    <n v="5091"/>
    <n v="4994"/>
    <n v="5153"/>
    <n v="4869"/>
    <n v="5036"/>
    <n v="5036"/>
    <n v="167"/>
    <n v="3.4298623947422467E-2"/>
    <e v="#N/A"/>
  </r>
  <r>
    <x v="1"/>
    <x v="1"/>
    <x v="3"/>
    <n v="0"/>
    <x v="6"/>
    <n v="100212"/>
    <e v="#N/A"/>
    <s v="aws_adx_008@adxcorp.kr(126271033811)"/>
    <n v="0"/>
    <n v="0"/>
    <m/>
    <m/>
    <m/>
    <m/>
    <m/>
    <n v="43207"/>
    <n v="1990105"/>
    <n v="2536230"/>
    <n v="4860583"/>
    <n v="5393691"/>
    <n v="2881278"/>
    <n v="2400417"/>
    <n v="4925923"/>
    <n v="4925923"/>
    <n v="2525506"/>
    <n v="1.052111362317464"/>
    <e v="#N/A"/>
  </r>
  <r>
    <x v="1"/>
    <x v="0"/>
    <x v="0"/>
    <s v="IT Dept."/>
    <x v="1"/>
    <e v="#N/A"/>
    <e v="#N/A"/>
    <s v="aws_bcp_prd@bluehole.net(439802505510)"/>
    <s v="김승훈"/>
    <s v="김승훈"/>
    <m/>
    <n v="5244968"/>
    <n v="5134845"/>
    <n v="5039340"/>
    <n v="5308753"/>
    <n v="5447553"/>
    <n v="5572764"/>
    <n v="6727361"/>
    <n v="7513091"/>
    <n v="13408344"/>
    <n v="14033032"/>
    <n v="13099289"/>
    <n v="15925469"/>
    <n v="15925469"/>
    <n v="2826180"/>
    <n v="0.21575064112258308"/>
    <n v="1000"/>
  </r>
  <r>
    <x v="1"/>
    <x v="0"/>
    <x v="0"/>
    <s v="Global Subsidiary Management Team"/>
    <x v="1"/>
    <e v="#N/A"/>
    <e v="#N/A"/>
    <s v="AWS_between.dev@krafton.com(616709738515)"/>
    <s v="김재현"/>
    <s v="김재현"/>
    <m/>
    <n v="217070"/>
    <n v="799019"/>
    <n v="792837"/>
    <n v="939615"/>
    <n v="1327074"/>
    <n v="1391627"/>
    <n v="1497582"/>
    <n v="1515281"/>
    <n v="1595865"/>
    <n v="1116148"/>
    <n v="134854"/>
    <n v="139070"/>
    <n v="139070"/>
    <n v="4216"/>
    <n v="3.1263440461536181E-2"/>
    <n v="1000"/>
  </r>
  <r>
    <x v="1"/>
    <x v="0"/>
    <x v="4"/>
    <s v="Striking Distance Studios"/>
    <x v="7"/>
    <n v="101269"/>
    <s v="P100010013"/>
    <s v="AWS_blackbox-dev@sds.com(659459735321)"/>
    <s v="Minkz Ngo"/>
    <s v="Jordan Yerkes"/>
    <m/>
    <n v="4041287"/>
    <n v="4067515"/>
    <n v="5393574"/>
    <m/>
    <m/>
    <m/>
    <m/>
    <m/>
    <n v="0"/>
    <n v="0"/>
    <n v="0"/>
    <n v="0"/>
    <m/>
    <n v="0"/>
    <s v=""/>
    <n v="1000"/>
  </r>
  <r>
    <x v="1"/>
    <x v="0"/>
    <x v="5"/>
    <s v="inZOI Server Team"/>
    <x v="8"/>
    <n v="100774"/>
    <s v="I100099999"/>
    <s v="aws_blue@bluehole.net(611812385851)"/>
    <s v="조재욱"/>
    <s v="조재욱"/>
    <m/>
    <n v="847662"/>
    <n v="831954"/>
    <n v="819863"/>
    <n v="1055148"/>
    <n v="1457941"/>
    <n v="1458274"/>
    <n v="1496773"/>
    <n v="1510606"/>
    <n v="1884390"/>
    <n v="2078934"/>
    <n v="1849540"/>
    <n v="2470019"/>
    <n v="2470019"/>
    <n v="620479"/>
    <n v="0.33547747007363993"/>
    <e v="#N/A"/>
  </r>
  <r>
    <x v="1"/>
    <x v="0"/>
    <x v="0"/>
    <s v="Data Engineering Dept."/>
    <x v="1"/>
    <n v="100036"/>
    <s v="I100099999"/>
    <s v="AWS_data-tech@krafton.com(272510915182)"/>
    <s v="염화음"/>
    <s v="김시훈"/>
    <s v="v"/>
    <n v="343922699"/>
    <n v="307937120"/>
    <n v="346814364"/>
    <n v="2998736452"/>
    <n v="408151249"/>
    <n v="437260317"/>
    <n v="545351157"/>
    <n v="547726239"/>
    <n v="3310004714"/>
    <n v="567365183"/>
    <n v="1032195117"/>
    <n v="1173899035"/>
    <n v="1173899035"/>
    <n v="141703918"/>
    <n v="0.13728404219916496"/>
    <n v="1000"/>
  </r>
  <r>
    <x v="1"/>
    <x v="2"/>
    <x v="6"/>
    <s v="AI research center"/>
    <x v="1"/>
    <n v="100025"/>
    <s v="I100090813"/>
    <s v="aws_de_mturk@krafton.com(036022206166)"/>
    <s v="김범수"/>
    <s v="김범수"/>
    <m/>
    <n v="5769"/>
    <n v="6535"/>
    <n v="14339"/>
    <n v="5980"/>
    <n v="11207"/>
    <n v="8576"/>
    <n v="9012"/>
    <n v="9819"/>
    <n v="1937257"/>
    <n v="1917819"/>
    <n v="3078092"/>
    <n v="3596090"/>
    <n v="3596090"/>
    <n v="517998"/>
    <n v="0.1682854183695614"/>
    <n v="1000"/>
  </r>
  <r>
    <x v="1"/>
    <x v="3"/>
    <x v="7"/>
    <s v="RW Tech Support Dept."/>
    <x v="6"/>
    <n v="101721"/>
    <e v="#N/A"/>
    <s v="AWS_defensederby@risingwings.com(183323689126)"/>
    <n v="0"/>
    <s v="허지웅"/>
    <m/>
    <n v="136752"/>
    <n v="105729"/>
    <n v="113452"/>
    <n v="105347"/>
    <n v="126266"/>
    <n v="5287"/>
    <m/>
    <m/>
    <n v="0"/>
    <n v="0"/>
    <n v="0"/>
    <n v="0"/>
    <m/>
    <n v="0"/>
    <s v=""/>
    <e v="#N/A"/>
  </r>
  <r>
    <x v="1"/>
    <x v="2"/>
    <x v="6"/>
    <s v="ML Sys &amp; Ops Team"/>
    <x v="9"/>
    <n v="100415"/>
    <s v=" I100090831"/>
    <s v="AWS_DLD_dev@bluehole.net(171503962539)"/>
    <s v="이동기"/>
    <s v="김지윤"/>
    <s v="v"/>
    <n v="4215277"/>
    <n v="4468067"/>
    <n v="3980672"/>
    <n v="4538114"/>
    <n v="5204950"/>
    <n v="5155923"/>
    <n v="5363119"/>
    <n v="5440702"/>
    <n v="5415029"/>
    <n v="5187691"/>
    <n v="3957122"/>
    <n v="4330547"/>
    <n v="4330547"/>
    <n v="373425"/>
    <n v="9.4367825909840539E-2"/>
    <n v="1000"/>
  </r>
  <r>
    <x v="1"/>
    <x v="4"/>
    <x v="8"/>
    <s v="Project MLP Team"/>
    <x v="10"/>
    <n v="101214"/>
    <e v="#N/A"/>
    <s v="AWS_Dreamotion-Empire@krafton.com(828925677153)"/>
    <s v="Road to Valor: Empire"/>
    <s v="류성중"/>
    <m/>
    <n v="1134222"/>
    <n v="991576"/>
    <n v="954507"/>
    <n v="1187771"/>
    <n v="989785"/>
    <n v="971495"/>
    <n v="1265010"/>
    <n v="1261521"/>
    <n v="1246848"/>
    <n v="1135164"/>
    <n v="988449"/>
    <n v="1151781"/>
    <n v="1151781"/>
    <n v="163332"/>
    <n v="0.16524069527107621"/>
    <e v="#N/A"/>
  </r>
  <r>
    <x v="1"/>
    <x v="4"/>
    <x v="8"/>
    <s v="Project MLP Team"/>
    <x v="11"/>
    <n v="100561"/>
    <e v="#N/A"/>
    <s v="AWS_Dreamotion-GunStrider@krafton.com(286067354613)"/>
    <s v="GunStrider: Tap Strike"/>
    <s v="류성중"/>
    <m/>
    <n v="93683"/>
    <n v="83727"/>
    <n v="87910"/>
    <n v="81718"/>
    <n v="88431"/>
    <n v="89268"/>
    <n v="89355"/>
    <n v="96054"/>
    <n v="87995"/>
    <n v="84221"/>
    <n v="76625"/>
    <n v="107386"/>
    <n v="107386"/>
    <n v="30761"/>
    <n v="0.40144861337683524"/>
    <e v="#N/A"/>
  </r>
  <r>
    <x v="1"/>
    <x v="4"/>
    <x v="8"/>
    <s v="Project MLP Team"/>
    <x v="12"/>
    <n v="100561"/>
    <e v="#N/A"/>
    <s v="AWS_Dreamotion-RoadToValor@krafton.com(531219453947)"/>
    <s v="Road to valor : world war2"/>
    <s v="류성중"/>
    <m/>
    <n v="1650339"/>
    <n v="1568594"/>
    <n v="1449646"/>
    <n v="1606994"/>
    <n v="1539701"/>
    <n v="1404477"/>
    <n v="1613721"/>
    <n v="1610654"/>
    <n v="1589427"/>
    <n v="1488166"/>
    <n v="1366984"/>
    <n v="1478086"/>
    <n v="1478086"/>
    <n v="111102"/>
    <n v="8.1275274619161605E-2"/>
    <e v="#N/A"/>
  </r>
  <r>
    <x v="1"/>
    <x v="4"/>
    <x v="8"/>
    <s v="Project MLP Team"/>
    <x v="13"/>
    <n v="100561"/>
    <e v="#N/A"/>
    <s v="AWS_Dreamotion-Ronin@krafton.com(071872665424)"/>
    <s v="Ronin: The Last Samurai"/>
    <s v="류성중"/>
    <m/>
    <n v="1269203"/>
    <n v="1115503"/>
    <n v="1075700"/>
    <n v="1302948"/>
    <n v="1104698"/>
    <n v="1085000"/>
    <n v="1376322"/>
    <n v="1376876"/>
    <n v="1367556"/>
    <n v="1248339"/>
    <n v="1104470"/>
    <n v="1266915"/>
    <n v="1266915"/>
    <n v="162445"/>
    <n v="0.14707959473774751"/>
    <e v="#N/A"/>
  </r>
  <r>
    <x v="1"/>
    <x v="0"/>
    <x v="0"/>
    <s v="Security Dept."/>
    <x v="1"/>
    <n v="100036"/>
    <s v="I100099999"/>
    <s v="aws_engineering_security@bluehole.net(635942867251)"/>
    <s v="홍준화"/>
    <s v="홍준화"/>
    <s v="v"/>
    <n v="2311454"/>
    <n v="2555506"/>
    <n v="2534955"/>
    <n v="2522685"/>
    <n v="2604888"/>
    <n v="3294806"/>
    <n v="3017838"/>
    <n v="2282260"/>
    <n v="2303702"/>
    <n v="2848630"/>
    <n v="3687339"/>
    <n v="6340867"/>
    <n v="6340867"/>
    <n v="2653528"/>
    <n v="0.71963223343446314"/>
    <n v="1000"/>
  </r>
  <r>
    <x v="1"/>
    <x v="0"/>
    <x v="0"/>
    <s v="DevData Engineering Team"/>
    <x v="5"/>
    <n v="102159"/>
    <s v="I100099999"/>
    <s v="aws_esports_streaming@bluehole.net(559478286890)"/>
    <s v="안연주"/>
    <s v="안연주"/>
    <m/>
    <n v="2826739"/>
    <n v="2817722"/>
    <n v="2727336"/>
    <n v="2845993"/>
    <n v="2883454"/>
    <n v="3008796"/>
    <n v="2956316"/>
    <n v="2739119"/>
    <n v="3008046"/>
    <n v="3093269"/>
    <n v="2983882"/>
    <n v="3672617"/>
    <n v="3672617"/>
    <n v="688735"/>
    <n v="0.23081844389288853"/>
    <n v="1000"/>
  </r>
  <r>
    <x v="1"/>
    <x v="5"/>
    <x v="9"/>
    <s v="[N/A] AB Unit"/>
    <x v="0"/>
    <n v="102078"/>
    <s v="I100099999"/>
    <s v="AWS_FF@bluehole.net(257405109560)"/>
    <s v="이민재"/>
    <s v="이민재"/>
    <m/>
    <n v="42965040"/>
    <n v="42095789"/>
    <n v="45747688"/>
    <n v="42442625"/>
    <n v="38897801"/>
    <n v="34960534"/>
    <n v="37665835"/>
    <n v="34825214"/>
    <n v="37528129"/>
    <n v="33286868"/>
    <n v="6640088"/>
    <n v="7603373"/>
    <n v="7603373"/>
    <n v="963285"/>
    <n v="0.14507111953937959"/>
    <n v="1100"/>
  </r>
  <r>
    <x v="1"/>
    <x v="0"/>
    <x v="0"/>
    <s v="Data Engineering Dept."/>
    <x v="1"/>
    <n v="100036"/>
    <s v="I100099999"/>
    <s v="aws_gamesight@bluehole.net(171101943282)"/>
    <s v="염화음"/>
    <s v="김시훈"/>
    <s v="v"/>
    <n v="8039907"/>
    <n v="8195128"/>
    <n v="8153395"/>
    <n v="8860559"/>
    <n v="8606579"/>
    <n v="6658898"/>
    <n v="6363951"/>
    <n v="6407382"/>
    <n v="6319086"/>
    <n v="6012372"/>
    <n v="5550141"/>
    <n v="6396490"/>
    <n v="6396490"/>
    <n v="846349"/>
    <n v="0.15249144120843056"/>
    <n v="1000"/>
  </r>
  <r>
    <x v="1"/>
    <x v="0"/>
    <x v="2"/>
    <s v="[N/A] IN Publishing Production Team_HQ"/>
    <x v="14"/>
    <n v="600002"/>
    <s v="I100099999"/>
    <s v="aws_india_publishing@bluehole.net(397907563279)"/>
    <s v="박지현"/>
    <s v="박지현"/>
    <m/>
    <n v="5451"/>
    <n v="6193"/>
    <n v="14057"/>
    <n v="5893"/>
    <n v="11055"/>
    <n v="8537"/>
    <n v="9001"/>
    <n v="9888"/>
    <n v="8685"/>
    <n v="10668"/>
    <n v="9183"/>
    <n v="3764"/>
    <n v="3764"/>
    <n v="-5419"/>
    <n v="-0.59011216378089948"/>
    <n v="1000"/>
  </r>
  <r>
    <x v="1"/>
    <x v="0"/>
    <x v="0"/>
    <s v="IT Platform Engineering Team"/>
    <x v="1"/>
    <n v="100561"/>
    <s v="P100010013"/>
    <s v="aws_it-dev-ot-01@krafton.com(585980862501)"/>
    <s v="김주한"/>
    <s v="김주한"/>
    <s v="v"/>
    <m/>
    <m/>
    <m/>
    <m/>
    <m/>
    <m/>
    <m/>
    <m/>
    <n v="252601"/>
    <n v="432633"/>
    <n v="90580"/>
    <n v="3452"/>
    <n v="3452"/>
    <n v="-87128"/>
    <n v="-0.96189004195186578"/>
    <n v="1000"/>
  </r>
  <r>
    <x v="1"/>
    <x v="0"/>
    <x v="0"/>
    <s v="IT Platform Engineering Team"/>
    <x v="1"/>
    <n v="100561"/>
    <s v="P100010013"/>
    <s v="aws_it-dev-ot-02@krafton.com(997525377919)"/>
    <s v="김주한"/>
    <s v="김주한"/>
    <s v="v"/>
    <m/>
    <m/>
    <m/>
    <m/>
    <m/>
    <m/>
    <m/>
    <m/>
    <n v="167431"/>
    <n v="465435"/>
    <n v="274896"/>
    <n v="51198"/>
    <n v="51198"/>
    <n v="-223698"/>
    <n v="-0.8137550200803213"/>
    <n v="1000"/>
  </r>
  <r>
    <x v="1"/>
    <x v="0"/>
    <x v="0"/>
    <s v="IT Platform Engineering Team"/>
    <x v="1"/>
    <n v="100561"/>
    <s v="P100010013"/>
    <s v="aws_it-dev-ot-03@krafton.com(794383793399)"/>
    <s v="김주한"/>
    <s v="김주한"/>
    <s v="v"/>
    <m/>
    <m/>
    <m/>
    <m/>
    <m/>
    <m/>
    <m/>
    <m/>
    <n v="94509"/>
    <n v="473328"/>
    <n v="492975"/>
    <n v="39542"/>
    <n v="39542"/>
    <n v="-453433"/>
    <n v="-0.91978903595517014"/>
    <n v="1000"/>
  </r>
  <r>
    <x v="1"/>
    <x v="0"/>
    <x v="0"/>
    <s v="IT Platform Engineering Team"/>
    <x v="1"/>
    <n v="101695"/>
    <s v="I100090821"/>
    <s v="aws_it-dev-ot-04@krafton.com(252497419944)"/>
    <s v="김주한"/>
    <s v="김주한"/>
    <s v="v"/>
    <m/>
    <m/>
    <m/>
    <m/>
    <m/>
    <m/>
    <m/>
    <m/>
    <n v="175726"/>
    <n v="999907"/>
    <n v="866113"/>
    <n v="1125"/>
    <n v="1125"/>
    <n v="-864988"/>
    <n v="-0.99870109327535783"/>
    <n v="1000"/>
  </r>
  <r>
    <x v="1"/>
    <x v="0"/>
    <x v="0"/>
    <s v="Data Engineering Dept."/>
    <x v="1"/>
    <n v="100036"/>
    <s v="I100099999"/>
    <s v="aws_krafton_ded@bluehole.net(333537382729)"/>
    <s v="염화음"/>
    <s v="김시훈"/>
    <s v="v"/>
    <n v="8882865"/>
    <n v="8811025"/>
    <n v="8416881"/>
    <n v="9154650"/>
    <n v="9848766"/>
    <n v="9558762"/>
    <n v="10799380"/>
    <n v="10620630"/>
    <n v="10857476"/>
    <n v="9001074"/>
    <n v="10267576"/>
    <n v="15194049"/>
    <n v="15194049"/>
    <n v="4926473"/>
    <n v="0.47980876888566493"/>
    <n v="1000"/>
  </r>
  <r>
    <x v="1"/>
    <x v="0"/>
    <x v="0"/>
    <s v="KOS Engineering Dept."/>
    <x v="2"/>
    <n v="100553"/>
    <s v="P100130012"/>
    <s v="aws_krafton_id@bluehole.net(853221784203)"/>
    <s v="신근우"/>
    <s v="신근우"/>
    <m/>
    <n v="66918516"/>
    <n v="62954383"/>
    <n v="44294844"/>
    <n v="50179558"/>
    <n v="55992370"/>
    <n v="63412696"/>
    <n v="66946988"/>
    <n v="65622863"/>
    <n v="71243757"/>
    <n v="65973314"/>
    <n v="53607916"/>
    <n v="65843939"/>
    <n v="65843939"/>
    <n v="12236023"/>
    <n v="0.22825030169051899"/>
    <n v="1000"/>
  </r>
  <r>
    <x v="1"/>
    <x v="2"/>
    <x v="6"/>
    <s v="AI Product Dev Chapter Dept."/>
    <x v="9"/>
    <n v="102159"/>
    <s v="I100090817"/>
    <s v="aws_krafton-service-dev-project@bluehole.net(921970894603)"/>
    <s v="권승진"/>
    <s v="박준규"/>
    <m/>
    <n v="14295747"/>
    <n v="14525020"/>
    <n v="15729050"/>
    <n v="17535570"/>
    <n v="17842263"/>
    <n v="18912195"/>
    <n v="19650581"/>
    <n v="17815676"/>
    <n v="20659940"/>
    <n v="21967984"/>
    <n v="22633853"/>
    <n v="34700138"/>
    <n v="34700138"/>
    <n v="12066285"/>
    <n v="0.53310786281063149"/>
    <n v="1000"/>
  </r>
  <r>
    <x v="1"/>
    <x v="0"/>
    <x v="0"/>
    <s v="Data Engineering Dept."/>
    <x v="1"/>
    <n v="101505"/>
    <s v="I100099999"/>
    <s v="aws_kraftonde-sensitive@krafton.com(226547056751)"/>
    <s v="염화음"/>
    <s v="김시훈"/>
    <s v="v"/>
    <n v="16571929"/>
    <n v="15849268"/>
    <n v="15374256"/>
    <n v="22077166"/>
    <n v="16352942"/>
    <n v="14594241"/>
    <n v="11522792"/>
    <n v="12934575"/>
    <n v="11283907"/>
    <n v="11418594"/>
    <n v="10614802"/>
    <n v="11584204"/>
    <n v="11584204"/>
    <n v="969402"/>
    <n v="9.1325490574388477E-2"/>
    <n v="1000"/>
  </r>
  <r>
    <x v="1"/>
    <x v="0"/>
    <x v="10"/>
    <s v="Valor Art Dept."/>
    <x v="15"/>
    <n v="110119"/>
    <s v="P100020081"/>
    <s v="aws_na_devops@bluehole.net(367916776138)"/>
    <s v="Arthur Low (AJ)"/>
    <s v="Arthur Low (AJ)"/>
    <m/>
    <n v="7595237"/>
    <n v="7654818"/>
    <n v="6913775"/>
    <n v="10378012"/>
    <n v="16392501"/>
    <n v="19757718"/>
    <n v="19787353"/>
    <n v="14566944"/>
    <n v="17775376"/>
    <n v="18442442"/>
    <n v="16378922"/>
    <n v="19993451"/>
    <n v="19993451"/>
    <n v="3614529"/>
    <n v="0.22068173961631907"/>
    <n v="1000"/>
  </r>
  <r>
    <x v="1"/>
    <x v="0"/>
    <x v="0"/>
    <s v="KOS Engineering Dept."/>
    <x v="2"/>
    <n v="110069"/>
    <s v="I100099999"/>
    <s v="AWS_napubtech-prod@bluehole.net(088833367732)"/>
    <s v="신근우"/>
    <s v="신근우"/>
    <m/>
    <n v="16681846"/>
    <n v="16239086"/>
    <n v="14014268"/>
    <n v="16069905"/>
    <n v="15756664"/>
    <n v="14705559"/>
    <n v="15585459"/>
    <n v="15858055"/>
    <n v="17363473"/>
    <n v="14639135"/>
    <n v="12405001"/>
    <n v="14586392"/>
    <n v="14586392"/>
    <n v="2181391"/>
    <n v="0.17584770851691184"/>
    <n v="1000"/>
  </r>
  <r>
    <x v="1"/>
    <x v="0"/>
    <x v="0"/>
    <s v="KOS Engineering Dept."/>
    <x v="2"/>
    <n v="100935"/>
    <s v="I100099999"/>
    <s v="AWS_napubtech-stage@bluehole.net(510906392559)"/>
    <s v="신근우"/>
    <s v="신근우"/>
    <m/>
    <n v="164066"/>
    <n v="20962"/>
    <n v="24950"/>
    <n v="16035"/>
    <n v="21296"/>
    <n v="18446"/>
    <n v="18544"/>
    <n v="19483"/>
    <n v="9129"/>
    <n v="0"/>
    <n v="0"/>
    <n v="0"/>
    <m/>
    <n v="0"/>
    <s v=""/>
    <n v="1000"/>
  </r>
  <r>
    <x v="1"/>
    <x v="1"/>
    <x v="3"/>
    <n v="0"/>
    <x v="6"/>
    <e v="#N/A"/>
    <e v="#N/A"/>
    <s v="aws_neptunez_001@neptunecompany.kr(225171097108)"/>
    <n v="0"/>
    <n v="0"/>
    <m/>
    <m/>
    <m/>
    <m/>
    <n v="2393615"/>
    <n v="2224132"/>
    <n v="2247661"/>
    <n v="2419923"/>
    <n v="2414398"/>
    <n v="2459171"/>
    <n v="2362541"/>
    <n v="2103906"/>
    <n v="2412256"/>
    <n v="2412256"/>
    <n v="308350"/>
    <n v="0.14656073037483613"/>
    <e v="#N/A"/>
  </r>
  <r>
    <x v="1"/>
    <x v="1"/>
    <x v="3"/>
    <n v="0"/>
    <x v="6"/>
    <n v="110099"/>
    <e v="#N/A"/>
    <s v="aws_neptunez_002@neptunecompany.kr(992306882093)"/>
    <n v="0"/>
    <n v="0"/>
    <m/>
    <m/>
    <m/>
    <m/>
    <n v="43983"/>
    <n v="50701"/>
    <n v="45451"/>
    <n v="47304"/>
    <n v="47421"/>
    <n v="47468"/>
    <n v="46733"/>
    <n v="45755"/>
    <n v="49475"/>
    <n v="49475"/>
    <n v="3720"/>
    <n v="8.130258988088733E-2"/>
    <e v="#N/A"/>
  </r>
  <r>
    <x v="1"/>
    <x v="1"/>
    <x v="3"/>
    <n v="0"/>
    <x v="6"/>
    <n v="100212"/>
    <e v="#N/A"/>
    <s v="aws_neptunez_003@neptunecompany.kr(470771986881)"/>
    <n v="0"/>
    <n v="0"/>
    <m/>
    <m/>
    <m/>
    <m/>
    <n v="708774"/>
    <n v="707098"/>
    <n v="689832"/>
    <n v="743266"/>
    <n v="736703"/>
    <n v="748435"/>
    <n v="701507"/>
    <n v="620618"/>
    <n v="687530"/>
    <n v="687530"/>
    <n v="66912"/>
    <n v="0.1078151133225269"/>
    <e v="#N/A"/>
  </r>
  <r>
    <x v="1"/>
    <x v="1"/>
    <x v="3"/>
    <n v="0"/>
    <x v="6"/>
    <e v="#N/A"/>
    <e v="#N/A"/>
    <s v="aws_neptunez_006@neptunecompany.kr(115255558787)"/>
    <n v="0"/>
    <n v="0"/>
    <m/>
    <m/>
    <m/>
    <m/>
    <n v="6659"/>
    <n v="19074"/>
    <n v="9966"/>
    <n v="10237"/>
    <n v="9923"/>
    <n v="156338"/>
    <n v="233436"/>
    <n v="145962"/>
    <n v="264590"/>
    <n v="264590"/>
    <n v="118628"/>
    <n v="0.81273208095257665"/>
    <e v="#N/A"/>
  </r>
  <r>
    <x v="1"/>
    <x v="1"/>
    <x v="3"/>
    <n v="0"/>
    <x v="6"/>
    <e v="#N/A"/>
    <e v="#N/A"/>
    <s v="aws_neptunez_007@neptunecompany.kr(619193641492)"/>
    <n v="0"/>
    <n v="0"/>
    <m/>
    <m/>
    <m/>
    <m/>
    <n v="10719927"/>
    <n v="9616153"/>
    <n v="8620189"/>
    <n v="10422163"/>
    <n v="10184786"/>
    <n v="10757638"/>
    <n v="10336035"/>
    <n v="9380767"/>
    <n v="11252794"/>
    <n v="11252794"/>
    <n v="1872027"/>
    <n v="0.19956012125660941"/>
    <e v="#N/A"/>
  </r>
  <r>
    <x v="1"/>
    <x v="1"/>
    <x v="3"/>
    <n v="0"/>
    <x v="6"/>
    <n v="100677"/>
    <e v="#N/A"/>
    <s v="aws_neptunez_008@neptunecompany.kr(490136080242)"/>
    <n v="0"/>
    <n v="0"/>
    <m/>
    <m/>
    <m/>
    <m/>
    <n v="4696747"/>
    <n v="1856183"/>
    <n v="4683881"/>
    <n v="1927214"/>
    <n v="1922466"/>
    <n v="2024021"/>
    <n v="11168121"/>
    <n v="1807656"/>
    <n v="2099874"/>
    <n v="2099874"/>
    <n v="292218"/>
    <n v="0.16165575751138492"/>
    <e v="#N/A"/>
  </r>
  <r>
    <x v="1"/>
    <x v="1"/>
    <x v="3"/>
    <n v="0"/>
    <x v="6"/>
    <e v="#N/A"/>
    <e v="#N/A"/>
    <s v="aws_neptunez_009@neptunecompany.kr(566155726079)"/>
    <n v="0"/>
    <n v="0"/>
    <m/>
    <m/>
    <m/>
    <m/>
    <n v="1882623"/>
    <n v="1907472"/>
    <n v="1889046"/>
    <n v="1932963"/>
    <n v="1981456"/>
    <n v="1952861"/>
    <n v="22386598"/>
    <n v="1919682"/>
    <n v="2062173"/>
    <n v="2062173"/>
    <n v="142491"/>
    <n v="7.4226356240252298E-2"/>
    <e v="#N/A"/>
  </r>
  <r>
    <x v="1"/>
    <x v="1"/>
    <x v="3"/>
    <n v="0"/>
    <x v="6"/>
    <e v="#N/A"/>
    <e v="#N/A"/>
    <s v="aws_neptunez_010@neptunecompany.kr(061838255935)"/>
    <n v="0"/>
    <n v="0"/>
    <m/>
    <m/>
    <m/>
    <m/>
    <n v="6117985"/>
    <n v="6165927"/>
    <n v="5994083"/>
    <n v="6308585"/>
    <n v="6330290"/>
    <n v="6350407"/>
    <n v="6267648"/>
    <n v="6601501"/>
    <n v="9965451"/>
    <n v="9965451"/>
    <n v="3363950"/>
    <n v="0.50957350457115735"/>
    <e v="#N/A"/>
  </r>
  <r>
    <x v="1"/>
    <x v="1"/>
    <x v="3"/>
    <n v="0"/>
    <x v="6"/>
    <n v="100415"/>
    <e v="#N/A"/>
    <s v="aws_neptunez_011@neptunecompany.kr(026090535674)"/>
    <n v="0"/>
    <n v="0"/>
    <m/>
    <m/>
    <m/>
    <m/>
    <n v="67784"/>
    <n v="76989"/>
    <n v="68021"/>
    <n v="68041"/>
    <n v="66366"/>
    <n v="66982"/>
    <n v="64505"/>
    <n v="58502"/>
    <n v="63383"/>
    <n v="63383"/>
    <n v="4881"/>
    <n v="8.3433045024101746E-2"/>
    <e v="#N/A"/>
  </r>
  <r>
    <x v="1"/>
    <x v="1"/>
    <x v="3"/>
    <n v="0"/>
    <x v="6"/>
    <e v="#N/A"/>
    <e v="#N/A"/>
    <s v="aws_neptunez_013@neptunecompany.kr(418272792542)"/>
    <n v="0"/>
    <n v="0"/>
    <m/>
    <m/>
    <m/>
    <m/>
    <n v="1461696"/>
    <n v="1195494"/>
    <n v="1165929"/>
    <n v="1075621"/>
    <n v="673113"/>
    <n v="672933"/>
    <n v="651714"/>
    <n v="609933"/>
    <n v="672638"/>
    <n v="672638"/>
    <n v="62705"/>
    <n v="0.10280637381482884"/>
    <e v="#N/A"/>
  </r>
  <r>
    <x v="1"/>
    <x v="1"/>
    <x v="3"/>
    <n v="0"/>
    <x v="6"/>
    <e v="#N/A"/>
    <e v="#N/A"/>
    <s v="aws_neptunez_014@neptunecompany.kr(050451361628)"/>
    <n v="0"/>
    <n v="0"/>
    <m/>
    <m/>
    <m/>
    <m/>
    <n v="85058"/>
    <n v="184594"/>
    <n v="185569"/>
    <n v="204224"/>
    <n v="215941"/>
    <n v="196261"/>
    <n v="190910"/>
    <n v="179280"/>
    <n v="191178"/>
    <n v="191178"/>
    <n v="11898"/>
    <n v="6.6365461847389562E-2"/>
    <e v="#N/A"/>
  </r>
  <r>
    <x v="1"/>
    <x v="1"/>
    <x v="3"/>
    <n v="0"/>
    <x v="6"/>
    <e v="#N/A"/>
    <e v="#N/A"/>
    <s v="aws_neptunez_015@neptunecompany.kr(112554631631)"/>
    <n v="0"/>
    <n v="0"/>
    <m/>
    <m/>
    <m/>
    <m/>
    <n v="102146"/>
    <n v="487316"/>
    <n v="481770"/>
    <n v="451285"/>
    <n v="2329481"/>
    <n v="1254770"/>
    <n v="669575"/>
    <n v="4790372"/>
    <n v="1277839"/>
    <n v="1277839"/>
    <n v="-3512533"/>
    <n v="-0.73324848258131103"/>
    <e v="#N/A"/>
  </r>
  <r>
    <x v="1"/>
    <x v="1"/>
    <x v="3"/>
    <n v="0"/>
    <x v="6"/>
    <n v="101716"/>
    <e v="#N/A"/>
    <s v="aws_neptunez_016@neptunecompany.kr(904331955654)"/>
    <n v="0"/>
    <n v="0"/>
    <m/>
    <m/>
    <m/>
    <m/>
    <m/>
    <m/>
    <n v="43206"/>
    <n v="134536"/>
    <n v="139827"/>
    <n v="145072"/>
    <n v="146677"/>
    <n v="181822"/>
    <n v="312363"/>
    <n v="312363"/>
    <n v="130541"/>
    <n v="0.71796042283112049"/>
    <e v="#N/A"/>
  </r>
  <r>
    <x v="1"/>
    <x v="1"/>
    <x v="11"/>
    <n v="0"/>
    <x v="6"/>
    <n v="100024"/>
    <e v="#N/A"/>
    <s v="aws_neptunez_017@neptunecompany.kr(048148187150)"/>
    <m/>
    <n v="0"/>
    <m/>
    <m/>
    <m/>
    <m/>
    <m/>
    <m/>
    <m/>
    <m/>
    <m/>
    <m/>
    <n v="22081"/>
    <n v="72433"/>
    <n v="129765"/>
    <n v="129765"/>
    <n v="57332"/>
    <n v="0.79151767840625131"/>
    <e v="#N/A"/>
  </r>
  <r>
    <x v="1"/>
    <x v="1"/>
    <x v="11"/>
    <n v="0"/>
    <x v="6"/>
    <n v="100024"/>
    <e v="#N/A"/>
    <s v="aws_neptunez_018@neptunecompany.kr(187383762797)"/>
    <n v="0"/>
    <n v="0"/>
    <m/>
    <m/>
    <m/>
    <m/>
    <m/>
    <m/>
    <m/>
    <m/>
    <m/>
    <m/>
    <m/>
    <n v="10870"/>
    <n v="58593"/>
    <n v="58593"/>
    <n v="47723"/>
    <n v="4.3903403863845449"/>
    <e v="#N/A"/>
  </r>
  <r>
    <x v="1"/>
    <x v="6"/>
    <x v="12"/>
    <s v="SBX Platform Team"/>
    <x v="1"/>
    <n v="100424"/>
    <s v="I100099999"/>
    <s v="aws_nft_sbx_central@bluehole.net(768255055847)"/>
    <s v="OVERHEAD/OTHERS"/>
    <s v="이제우"/>
    <m/>
    <n v="18863214"/>
    <n v="17173427"/>
    <n v="14722787"/>
    <n v="16560861"/>
    <n v="153771001"/>
    <n v="15029004"/>
    <n v="15643639"/>
    <n v="15361494"/>
    <n v="14754268"/>
    <n v="13537216"/>
    <n v="10831839"/>
    <n v="12843327"/>
    <n v="12843327"/>
    <n v="2011488"/>
    <n v="0.18570143075427911"/>
    <e v="#N/A"/>
  </r>
  <r>
    <x v="1"/>
    <x v="6"/>
    <x v="12"/>
    <s v="OVDR Platform Engineering Team"/>
    <x v="1"/>
    <n v="100415"/>
    <s v="I100099999"/>
    <s v="aws_nft_sbx_dev@bluehole.net(833221979697)"/>
    <s v="OVERHEAD/OTHERS"/>
    <s v="이제우"/>
    <m/>
    <n v="8749844"/>
    <n v="5150060"/>
    <n v="4942369"/>
    <n v="6144990"/>
    <n v="6043126"/>
    <n v="6479336"/>
    <n v="6665285"/>
    <n v="6204265"/>
    <n v="6157569"/>
    <n v="6727043"/>
    <n v="4641130"/>
    <n v="7097831"/>
    <n v="7097831"/>
    <n v="2456701"/>
    <n v="0.52933251169435025"/>
    <n v="4600"/>
  </r>
  <r>
    <x v="1"/>
    <x v="1"/>
    <x v="3"/>
    <n v="0"/>
    <x v="6"/>
    <n v="100036"/>
    <e v="#N/A"/>
    <s v="aws_nimbleneuron_001@nimbleneuron.com(286122363201)"/>
    <n v="0"/>
    <n v="0"/>
    <m/>
    <m/>
    <m/>
    <m/>
    <n v="99247972"/>
    <n v="100760033"/>
    <n v="76062119"/>
    <n v="88483326"/>
    <n v="94636395"/>
    <n v="92578957"/>
    <n v="93492141"/>
    <n v="90426830"/>
    <n v="102337466"/>
    <n v="102337466"/>
    <n v="11910636"/>
    <n v="0.13171573082900284"/>
    <e v="#N/A"/>
  </r>
  <r>
    <x v="1"/>
    <x v="1"/>
    <x v="3"/>
    <n v="0"/>
    <x v="6"/>
    <e v="#N/A"/>
    <e v="#N/A"/>
    <s v="aws_nimbleneuron_002@nimbleneuron.com(662873093770)"/>
    <n v="0"/>
    <n v="0"/>
    <m/>
    <m/>
    <m/>
    <m/>
    <n v="2385378"/>
    <n v="1942929"/>
    <n v="1751954"/>
    <n v="2469498"/>
    <n v="1930848"/>
    <n v="2286334"/>
    <n v="2554566"/>
    <n v="2070064"/>
    <n v="2124815"/>
    <n v="2124815"/>
    <n v="54751"/>
    <n v="2.6448940709079525E-2"/>
    <e v="#N/A"/>
  </r>
  <r>
    <x v="1"/>
    <x v="0"/>
    <x v="2"/>
    <s v="Black Budget Div."/>
    <x v="16"/>
    <n v="100774"/>
    <s v="P100030092"/>
    <s v="aws_pbb_dev@bluehole.net(634885311994)"/>
    <s v="조원빈"/>
    <s v="조원빈"/>
    <s v="v"/>
    <n v="11444563"/>
    <n v="36341246"/>
    <n v="37748146"/>
    <n v="45437913"/>
    <n v="41810910"/>
    <n v="36774849"/>
    <n v="42905643"/>
    <n v="46810584"/>
    <n v="68389359"/>
    <n v="51534106"/>
    <n v="47075699"/>
    <n v="61773111"/>
    <n v="61773111"/>
    <n v="14697412"/>
    <n v="0.31220804602391566"/>
    <n v="1000"/>
  </r>
  <r>
    <x v="1"/>
    <x v="0"/>
    <x v="2"/>
    <s v="IT Dept."/>
    <x v="16"/>
    <n v="101685"/>
    <s v="I100090813"/>
    <s v="aws_pbb_it@krafton.com(767398044467)"/>
    <s v="이윤슬"/>
    <s v="이윤슬"/>
    <m/>
    <n v="5235072"/>
    <n v="4867850"/>
    <n v="10264584"/>
    <n v="10601108"/>
    <n v="20686391"/>
    <n v="20956881"/>
    <n v="21975460"/>
    <n v="22546217"/>
    <n v="22059201"/>
    <n v="21880021"/>
    <n v="21741135"/>
    <n v="23879504"/>
    <n v="23879504"/>
    <n v="2138369"/>
    <n v="9.8355904602036651E-2"/>
    <n v="1000"/>
  </r>
  <r>
    <x v="1"/>
    <x v="0"/>
    <x v="4"/>
    <s v="Striking Distance Studios"/>
    <x v="7"/>
    <n v="101269"/>
    <s v="P100010013"/>
    <s v="AWS_Phoenix-Build@sds.com(245762466130)"/>
    <s v="Minkz Ngo"/>
    <s v="Jordan Yerkes"/>
    <m/>
    <n v="1799084"/>
    <n v="1749001"/>
    <n v="1676890"/>
    <n v="1741987"/>
    <n v="1688595"/>
    <n v="1640992"/>
    <n v="1704249"/>
    <n v="1724642"/>
    <n v="1276463"/>
    <n v="0"/>
    <n v="0"/>
    <n v="0"/>
    <m/>
    <n v="0"/>
    <s v=""/>
    <n v="1000"/>
  </r>
  <r>
    <x v="1"/>
    <x v="0"/>
    <x v="4"/>
    <s v="Striking Distance Studios"/>
    <x v="7"/>
    <n v="100033"/>
    <s v="P100010013"/>
    <s v="AWS_Phoenix-Dev@sds.com(596361038250)"/>
    <s v="Minkz Ngo"/>
    <s v="Jordan Yerkes"/>
    <m/>
    <n v="429692"/>
    <n v="421074"/>
    <n v="403501"/>
    <n v="422217"/>
    <n v="433785"/>
    <n v="418167"/>
    <n v="438034"/>
    <n v="441884"/>
    <n v="241385"/>
    <n v="0"/>
    <n v="0"/>
    <n v="0"/>
    <m/>
    <n v="0"/>
    <s v=""/>
    <n v="1000"/>
  </r>
  <r>
    <x v="1"/>
    <x v="0"/>
    <x v="4"/>
    <s v="Striking Distance Studios"/>
    <x v="7"/>
    <n v="460005"/>
    <s v="P100010013"/>
    <s v="AWS_Phoenix-Live@sds.com(452304306221)"/>
    <s v="Minkz Ngo"/>
    <s v="Jordan Yerkes"/>
    <m/>
    <n v="471213"/>
    <n v="464019"/>
    <n v="442939"/>
    <n v="462346"/>
    <n v="477250"/>
    <n v="459921"/>
    <n v="480817"/>
    <n v="485882"/>
    <n v="344447"/>
    <n v="0"/>
    <n v="0"/>
    <n v="0"/>
    <m/>
    <n v="0"/>
    <s v=""/>
    <n v="1000"/>
  </r>
  <r>
    <x v="1"/>
    <x v="0"/>
    <x v="4"/>
    <s v="Striking Distance Studios"/>
    <x v="7"/>
    <n v="100561"/>
    <s v="P100010013"/>
    <s v="AWS_Phoenix-Prod@sds.com(878436247507)"/>
    <s v="Minkz Ngo"/>
    <s v="Jordan Yerkes"/>
    <m/>
    <n v="5806"/>
    <n v="17111"/>
    <n v="5497"/>
    <n v="5587"/>
    <n v="11651"/>
    <n v="8717"/>
    <n v="9143"/>
    <n v="9956"/>
    <n v="6891"/>
    <n v="0"/>
    <n v="0"/>
    <n v="0"/>
    <m/>
    <n v="0"/>
    <s v=""/>
    <n v="1000"/>
  </r>
  <r>
    <x v="1"/>
    <x v="0"/>
    <x v="0"/>
    <s v="Game Security Engineering Dept."/>
    <x v="5"/>
    <n v="100036"/>
    <s v="I100099999"/>
    <s v="aws_pubg_anticheat_service@bluehole.net(843438412681)"/>
    <s v="황범석"/>
    <s v="황범석"/>
    <s v="v"/>
    <n v="60806977"/>
    <n v="58517804"/>
    <n v="58986691"/>
    <n v="66751810"/>
    <n v="69921937"/>
    <n v="64748446"/>
    <n v="68843344"/>
    <n v="68664593"/>
    <n v="71296717"/>
    <n v="73708695"/>
    <n v="63509523"/>
    <n v="82532834"/>
    <n v="82532834"/>
    <n v="19023311"/>
    <n v="0.29953478000456718"/>
    <n v="1000"/>
  </r>
  <r>
    <x v="1"/>
    <x v="0"/>
    <x v="0"/>
    <s v="Platform Dept."/>
    <x v="5"/>
    <n v="100774"/>
    <s v="I100099999"/>
    <s v="aws_pubg_platform@bluehole.net(017103636613)"/>
    <s v="김정헌"/>
    <s v="최준석"/>
    <m/>
    <n v="5304993"/>
    <n v="4752091"/>
    <n v="4466014"/>
    <n v="4570841"/>
    <n v="4437309"/>
    <n v="4379762"/>
    <n v="4801060"/>
    <n v="5447512"/>
    <n v="5817327"/>
    <n v="5718803"/>
    <n v="5370644"/>
    <n v="6520159"/>
    <n v="6520159"/>
    <n v="1149515"/>
    <n v="0.21403671514998945"/>
    <n v="1000"/>
  </r>
  <r>
    <x v="1"/>
    <x v="0"/>
    <x v="0"/>
    <s v="Game Security Engineering Dept."/>
    <x v="1"/>
    <n v="100036"/>
    <s v="I100099999"/>
    <s v="aws_pubg-anticheat@bluehole.net(480544169436)"/>
    <s v="황범석"/>
    <s v="황범석"/>
    <s v="v"/>
    <n v="1418297"/>
    <n v="1377783"/>
    <n v="1342159"/>
    <n v="1540954"/>
    <n v="1580684"/>
    <n v="1592223"/>
    <n v="1654932"/>
    <n v="3777389"/>
    <n v="5182210"/>
    <n v="4797217"/>
    <n v="4049411"/>
    <n v="2419881"/>
    <n v="2419881"/>
    <n v="-1629530"/>
    <n v="-0.40241160998476072"/>
    <n v="1000"/>
  </r>
  <r>
    <x v="1"/>
    <x v="0"/>
    <x v="2"/>
    <s v="MS DevOps Team"/>
    <x v="1"/>
    <n v="100414"/>
    <s v="P100010012"/>
    <s v="aws_pubg-arc-project@pubg.com(730335195506)"/>
    <s v="천궁원"/>
    <s v="최보성"/>
    <s v="v"/>
    <n v="18067142"/>
    <n v="18680493"/>
    <n v="16088647"/>
    <n v="15572834"/>
    <n v="38703979"/>
    <n v="13157917"/>
    <n v="11536552"/>
    <n v="11479617"/>
    <n v="14547767"/>
    <n v="13646510"/>
    <n v="6455869"/>
    <n v="7077408"/>
    <n v="7077408"/>
    <n v="621539"/>
    <n v="9.627503284220916E-2"/>
    <n v="1000"/>
  </r>
  <r>
    <x v="1"/>
    <x v="0"/>
    <x v="2"/>
    <s v="PUBG PC&amp;Console Dev Div."/>
    <x v="5"/>
    <n v="100414"/>
    <s v="P100010012"/>
    <s v="AWS_pubg-dev@pubg.com(423068853949)"/>
    <s v="김정헌"/>
    <s v="최준석"/>
    <m/>
    <n v="367086063"/>
    <n v="312515855"/>
    <n v="329158611"/>
    <n v="404531909"/>
    <n v="403926585"/>
    <n v="467304989"/>
    <n v="526362766"/>
    <n v="601252156"/>
    <n v="688362735"/>
    <n v="557711188"/>
    <n v="492471628"/>
    <n v="595148736"/>
    <n v="595148736"/>
    <n v="102677108"/>
    <n v="0.20849344847943199"/>
    <n v="1000"/>
  </r>
  <r>
    <x v="1"/>
    <x v="0"/>
    <x v="2"/>
    <s v="Platform Dept."/>
    <x v="5"/>
    <n v="100355"/>
    <s v="P100010012"/>
    <s v="aws_pubg-devops@bluehole.net(974771722734)"/>
    <s v="김정헌"/>
    <s v="최준석"/>
    <m/>
    <n v="24152367"/>
    <n v="23582306"/>
    <n v="22009625"/>
    <n v="23519917"/>
    <n v="23654972"/>
    <n v="23464410"/>
    <n v="26023327"/>
    <n v="26218175"/>
    <n v="28490889"/>
    <n v="25774592"/>
    <n v="23049305"/>
    <n v="27776004"/>
    <n v="27776004"/>
    <n v="4726699"/>
    <n v="0.20506904655042743"/>
    <n v="1000"/>
  </r>
  <r>
    <x v="1"/>
    <x v="0"/>
    <x v="2"/>
    <s v="PUBG PC&amp;Console Dev Div."/>
    <x v="5"/>
    <n v="100414"/>
    <s v="P100010012"/>
    <s v="AWS_pubg-Esports@pubg.com(054649872353)"/>
    <s v="김정헌"/>
    <s v="최준석"/>
    <m/>
    <n v="47184788"/>
    <n v="45853707"/>
    <n v="42158618"/>
    <n v="45045851"/>
    <n v="44344802"/>
    <n v="43448123"/>
    <n v="47003015"/>
    <n v="45493075"/>
    <n v="48448779"/>
    <n v="45265114"/>
    <n v="35569694"/>
    <n v="37856008"/>
    <n v="37856008"/>
    <n v="2286314"/>
    <n v="6.4277021893975245E-2"/>
    <n v="1000"/>
  </r>
  <r>
    <x v="1"/>
    <x v="0"/>
    <x v="0"/>
    <s v="Service DevOps Team"/>
    <x v="5"/>
    <n v="100033"/>
    <s v="P100010055"/>
    <s v="AWS_PUBG-F2Pweblive@pubg.com(033775294411)"/>
    <s v="엄기성"/>
    <s v="엄기성"/>
    <m/>
    <n v="18791205"/>
    <n v="9905226"/>
    <n v="8724022"/>
    <n v="13378227"/>
    <n v="11374059"/>
    <n v="12672283"/>
    <n v="12429577"/>
    <n v="10968733"/>
    <n v="15230796"/>
    <n v="10181633"/>
    <n v="7423344"/>
    <n v="8620454"/>
    <n v="8620454"/>
    <n v="1197110"/>
    <n v="0.16126290254095729"/>
    <n v="1000"/>
  </r>
  <r>
    <x v="1"/>
    <x v="0"/>
    <x v="2"/>
    <s v="Data Engineering Dept."/>
    <x v="5"/>
    <n v="101269"/>
    <s v="P100030073"/>
    <s v="AWS_pubg-Gcoin@pubg.com(804173125569)"/>
    <s v="염화음"/>
    <s v="김시훈"/>
    <s v="v"/>
    <n v="49853891"/>
    <n v="46980600"/>
    <n v="46614275"/>
    <n v="44201032"/>
    <n v="44813477"/>
    <n v="44567698"/>
    <n v="46351173"/>
    <n v="46981230"/>
    <n v="46822296"/>
    <n v="46386799"/>
    <n v="44982288"/>
    <n v="49193633"/>
    <n v="49193633"/>
    <n v="4211345"/>
    <n v="9.3622294179433463E-2"/>
    <n v="1000"/>
  </r>
  <r>
    <x v="1"/>
    <x v="0"/>
    <x v="2"/>
    <s v="PUBG PC&amp;Console Dev Div."/>
    <x v="5"/>
    <n v="100033"/>
    <s v="P100010012"/>
    <s v="AWS_pubg-playground@pubg.com(338204589111)"/>
    <s v="김정헌"/>
    <s v="최준석"/>
    <m/>
    <n v="5937358"/>
    <n v="10975803"/>
    <n v="11894295"/>
    <n v="9013930"/>
    <n v="6221276"/>
    <n v="5782838"/>
    <n v="5417598"/>
    <n v="3794818"/>
    <n v="3784720"/>
    <n v="3625689"/>
    <n v="6225816"/>
    <n v="3617606"/>
    <n v="3617606"/>
    <n v="-2608210"/>
    <n v="-0.41893464246293177"/>
    <n v="1000"/>
  </r>
  <r>
    <x v="1"/>
    <x v="0"/>
    <x v="0"/>
    <s v="Service DevOps Team"/>
    <x v="17"/>
    <n v="100033"/>
    <s v="P100010055"/>
    <s v="AWS_PUBGM-Esports-Live@krafton.com(633237459216)"/>
    <s v="엄기성"/>
    <s v="엄기성"/>
    <m/>
    <n v="10545812"/>
    <n v="10423391"/>
    <n v="9764556"/>
    <n v="10328787"/>
    <n v="10327030"/>
    <n v="10369678"/>
    <n v="10827077"/>
    <n v="8600317"/>
    <n v="8758181"/>
    <n v="8411288"/>
    <n v="7355445"/>
    <n v="8749873"/>
    <n v="8749873"/>
    <n v="1394428"/>
    <n v="0.18957765301759444"/>
    <n v="1000"/>
  </r>
  <r>
    <x v="1"/>
    <x v="7"/>
    <x v="13"/>
    <s v="ReLU Dev Dept."/>
    <x v="1"/>
    <n v="100810"/>
    <s v="I100099999"/>
    <s v="aws_relugames@bluehole.net(309943519623)"/>
    <s v="OVERHEAD/OTHERS"/>
    <s v="오준석"/>
    <m/>
    <n v="2313894"/>
    <n v="2631381"/>
    <n v="3755918"/>
    <n v="3283790"/>
    <n v="3361723"/>
    <n v="3316128"/>
    <n v="4121836"/>
    <n v="4631290"/>
    <n v="4520208"/>
    <n v="4127065"/>
    <n v="3489944"/>
    <n v="4321971"/>
    <n v="4321971"/>
    <n v="832027"/>
    <n v="0.23840697730393381"/>
    <e v="#N/A"/>
  </r>
  <r>
    <x v="1"/>
    <x v="3"/>
    <x v="7"/>
    <s v="RW Tech Support Dept."/>
    <x v="6"/>
    <n v="101721"/>
    <e v="#N/A"/>
    <s v="AWS_RF-global@risingwings.com(260910532074)"/>
    <n v="0"/>
    <s v="허지웅"/>
    <m/>
    <n v="166209"/>
    <n v="58056"/>
    <n v="67117"/>
    <n v="57527"/>
    <n v="73685"/>
    <n v="71744"/>
    <n v="73193"/>
    <n v="71790"/>
    <n v="67361"/>
    <n v="69635"/>
    <n v="67109"/>
    <n v="68685"/>
    <n v="68685"/>
    <n v="1576"/>
    <n v="2.3484182449447912E-2"/>
    <e v="#N/A"/>
  </r>
  <r>
    <x v="1"/>
    <x v="0"/>
    <x v="4"/>
    <s v="Striking Distance Studios"/>
    <x v="7"/>
    <n v="100368"/>
    <s v="P100010013"/>
    <s v="AWS_SDS-DevOps@sds.com(290246912864)"/>
    <s v="Minkz Ngo"/>
    <s v="Jordan Yerkes"/>
    <m/>
    <n v="12988743"/>
    <n v="13038481"/>
    <n v="12588478"/>
    <n v="13305868"/>
    <n v="9888008"/>
    <n v="9120766"/>
    <n v="10123189"/>
    <n v="9726249"/>
    <n v="9985811"/>
    <n v="11357403"/>
    <n v="9111993"/>
    <n v="9069298"/>
    <n v="9069298"/>
    <n v="-42695"/>
    <n v="-4.6855830552108629E-3"/>
    <n v="1000"/>
  </r>
  <r>
    <x v="1"/>
    <x v="0"/>
    <x v="4"/>
    <s v="Striking Distance Studios"/>
    <x v="7"/>
    <n v="100414"/>
    <s v="P100010013"/>
    <s v="AWS_SDS-Infra@sds.com(375608835244)"/>
    <s v="Minkz Ngo"/>
    <s v="Jordan Yerkes"/>
    <m/>
    <n v="7440"/>
    <n v="13893"/>
    <n v="7081"/>
    <n v="7161"/>
    <n v="13590"/>
    <n v="11093"/>
    <n v="11591"/>
    <n v="11711"/>
    <n v="10696"/>
    <n v="12673"/>
    <n v="10998"/>
    <n v="9759"/>
    <n v="9759"/>
    <n v="-1239"/>
    <n v="-0.11265684669939989"/>
    <n v="1000"/>
  </r>
  <r>
    <x v="1"/>
    <x v="0"/>
    <x v="4"/>
    <s v="Striking Distance Studios"/>
    <x v="7"/>
    <n v="100414"/>
    <s v="P100010013"/>
    <s v="aws_sds-security@bluehole.net(667131346962)"/>
    <s v="Minkz Ngo"/>
    <s v="Jordan Yerkes"/>
    <m/>
    <n v="5784"/>
    <n v="6643"/>
    <n v="5374"/>
    <n v="5561"/>
    <n v="17179"/>
    <n v="9089"/>
    <n v="9017"/>
    <n v="9846"/>
    <n v="8701"/>
    <n v="10665"/>
    <n v="9201"/>
    <n v="7963"/>
    <n v="7963"/>
    <n v="-1238"/>
    <n v="-0.13455059232692099"/>
    <n v="1000"/>
  </r>
  <r>
    <x v="1"/>
    <x v="0"/>
    <x v="4"/>
    <s v="Striking Distance Studios"/>
    <x v="7"/>
    <n v="100414"/>
    <s v="P100010013"/>
    <s v="AWS_SDS-VDI@sds.com(956486919325)"/>
    <s v="Minkz Ngo"/>
    <s v="Jordan Yerkes"/>
    <m/>
    <n v="5824"/>
    <n v="12405"/>
    <n v="5522"/>
    <n v="5587"/>
    <n v="3201"/>
    <m/>
    <m/>
    <m/>
    <n v="0"/>
    <n v="0"/>
    <n v="0"/>
    <n v="0"/>
    <m/>
    <n v="0"/>
    <s v=""/>
    <n v="1000"/>
  </r>
  <r>
    <x v="1"/>
    <x v="0"/>
    <x v="4"/>
    <s v="Striking Distance Studios"/>
    <x v="7"/>
    <n v="100561"/>
    <s v="P100010013"/>
    <s v="AWS_SDS-WebHost@sds.com(137191863862)"/>
    <s v="Minkz Ngo"/>
    <s v="Jordan Yerkes"/>
    <m/>
    <n v="127645"/>
    <n v="134200"/>
    <n v="120638"/>
    <n v="125729"/>
    <n v="135435"/>
    <n v="129388"/>
    <n v="135730"/>
    <n v="136614"/>
    <n v="102900"/>
    <n v="0"/>
    <n v="0"/>
    <n v="0"/>
    <m/>
    <n v="0"/>
    <s v=""/>
    <n v="1000"/>
  </r>
  <r>
    <x v="1"/>
    <x v="0"/>
    <x v="14"/>
    <s v="PGY_Art Cell"/>
    <x v="18"/>
    <n v="100212"/>
    <s v="I100090821"/>
    <s v="aws_studio_m@bluehole.net(827588337044)"/>
    <s v="Julien Copin"/>
    <s v="Julien Copin"/>
    <s v="v"/>
    <n v="7943453"/>
    <n v="3335034"/>
    <n v="3265803"/>
    <n v="3354486"/>
    <n v="3340268"/>
    <n v="3307884"/>
    <n v="3427707"/>
    <n v="3507599"/>
    <n v="3449608"/>
    <n v="3603187"/>
    <n v="3771584"/>
    <n v="4056006"/>
    <n v="4056006"/>
    <n v="284422"/>
    <n v="7.5411816361507525E-2"/>
    <n v="1000"/>
  </r>
  <r>
    <x v="1"/>
    <x v="0"/>
    <x v="0"/>
    <s v="IT Dept."/>
    <x v="1"/>
    <n v="330046"/>
    <e v="#N/A"/>
    <s v="aws_tech_network@bluehole.net(413470838121)"/>
    <s v="이승호"/>
    <s v="이승호"/>
    <s v="v"/>
    <n v="15366004"/>
    <n v="14850702"/>
    <n v="15778691"/>
    <n v="27581289"/>
    <n v="24716749"/>
    <n v="22664091"/>
    <n v="24526518"/>
    <n v="26033511"/>
    <n v="20516105"/>
    <n v="17738555"/>
    <n v="19670533"/>
    <n v="26702852"/>
    <n v="26702852"/>
    <n v="7032319"/>
    <n v="0.35750525926267479"/>
    <n v="1000"/>
  </r>
  <r>
    <x v="1"/>
    <x v="0"/>
    <x v="4"/>
    <s v="Striking Distance Studios"/>
    <x v="7"/>
    <n v="100561"/>
    <s v="P100010013"/>
    <s v="AWS_Titan-Build@sds.com(025476091557)"/>
    <s v="Minkz Ngo"/>
    <s v="Jordan Yerkes"/>
    <m/>
    <n v="554285"/>
    <n v="550617"/>
    <n v="524156"/>
    <n v="587536"/>
    <n v="347848"/>
    <m/>
    <m/>
    <m/>
    <n v="0"/>
    <n v="0"/>
    <n v="0"/>
    <n v="0"/>
    <m/>
    <n v="0"/>
    <s v=""/>
    <n v="1000"/>
  </r>
  <r>
    <x v="1"/>
    <x v="0"/>
    <x v="4"/>
    <s v="Striking Distance Studios"/>
    <x v="7"/>
    <n v="100414"/>
    <s v="P100010013"/>
    <s v="AWS_Titan-Dev@sds.com(948684412557)"/>
    <s v="Minkz Ngo"/>
    <s v="Jordan Yerkes"/>
    <m/>
    <n v="4885693"/>
    <n v="4841717"/>
    <n v="4607294"/>
    <n v="5439464"/>
    <n v="1337526"/>
    <m/>
    <m/>
    <m/>
    <n v="0"/>
    <n v="0"/>
    <n v="0"/>
    <n v="0"/>
    <m/>
    <n v="0"/>
    <s v=""/>
    <n v="1000"/>
  </r>
  <r>
    <x v="1"/>
    <x v="0"/>
    <x v="4"/>
    <s v="Striking Distance Studios"/>
    <x v="7"/>
    <n v="100553"/>
    <s v="P100010013"/>
    <s v="AWS_Titan-Live@sds.com(668355933448)"/>
    <s v="Minkz Ngo"/>
    <s v="Jordan Yerkes"/>
    <m/>
    <n v="5799"/>
    <n v="12501"/>
    <n v="5492"/>
    <n v="5577"/>
    <n v="3206"/>
    <m/>
    <m/>
    <m/>
    <n v="0"/>
    <n v="0"/>
    <n v="0"/>
    <n v="0"/>
    <m/>
    <n v="0"/>
    <s v=""/>
    <n v="1000"/>
  </r>
  <r>
    <x v="1"/>
    <x v="0"/>
    <x v="4"/>
    <s v="Striking Distance Studios"/>
    <x v="7"/>
    <n v="100774"/>
    <s v="P100010013"/>
    <s v="AWS_Titan-Prod@sds.com(498442523516)"/>
    <s v="Minkz Ngo"/>
    <s v="Jordan Yerkes"/>
    <m/>
    <n v="18222"/>
    <n v="22913"/>
    <n v="17208"/>
    <n v="17469"/>
    <n v="10288"/>
    <m/>
    <m/>
    <m/>
    <n v="0"/>
    <n v="0"/>
    <n v="0"/>
    <n v="0"/>
    <m/>
    <n v="0"/>
    <s v=""/>
    <n v="1000"/>
  </r>
  <r>
    <x v="1"/>
    <x v="0"/>
    <x v="15"/>
    <s v="Vector North Unit"/>
    <x v="1"/>
    <n v="101712"/>
    <s v="I100099999"/>
    <s v="aws_vn_dev@bluehole.net(182073802933)"/>
    <s v="Petr Matoušek"/>
    <s v="Petr Matoušek"/>
    <m/>
    <n v="2336214"/>
    <n v="2615779"/>
    <n v="3700931"/>
    <n v="5504323"/>
    <n v="5175438"/>
    <n v="4171430"/>
    <n v="4336445"/>
    <n v="3641808"/>
    <n v="0"/>
    <n v="0"/>
    <n v="0"/>
    <n v="0"/>
    <m/>
    <n v="0"/>
    <s v=""/>
    <n v="1000"/>
  </r>
  <r>
    <x v="1"/>
    <x v="6"/>
    <x v="12"/>
    <s v="OVDR Tech Div."/>
    <x v="1"/>
    <n v="102078"/>
    <s v="I100099999"/>
    <s v="aws_web3_dev@bluehole.net(295140746614)"/>
    <s v="OVERHEAD/OTHERS"/>
    <s v="이상헌"/>
    <m/>
    <n v="851781"/>
    <n v="767744"/>
    <n v="915459"/>
    <n v="793575"/>
    <n v="484858"/>
    <n v="274589"/>
    <n v="288580"/>
    <n v="301905"/>
    <n v="300920"/>
    <n v="260857"/>
    <n v="313583"/>
    <n v="256171"/>
    <n v="256171"/>
    <n v="-57412"/>
    <n v="-0.18308390442083913"/>
    <n v="4600"/>
  </r>
  <r>
    <x v="1"/>
    <x v="0"/>
    <x v="0"/>
    <s v="Experience Engineering Dept."/>
    <x v="1"/>
    <n v="100774"/>
    <s v="P100010091"/>
    <s v="AWS_WebTech@krafton.com(283281493187)"/>
    <s v="이준호"/>
    <s v="이준호"/>
    <s v="v"/>
    <n v="215124"/>
    <n v="229280"/>
    <n v="249887"/>
    <n v="255701"/>
    <n v="306663"/>
    <n v="302458"/>
    <n v="429850"/>
    <n v="825670"/>
    <n v="833770"/>
    <n v="1041636"/>
    <n v="958086"/>
    <n v="1522506"/>
    <n v="1522506"/>
    <n v="564420"/>
    <n v="0.5891120421340047"/>
    <n v="1000"/>
  </r>
  <r>
    <x v="1"/>
    <x v="0"/>
    <x v="1"/>
    <s v="Game Security Engineering Dept."/>
    <x v="3"/>
    <e v="#N/A"/>
    <e v="#N/A"/>
    <s v="AWS_xtrm-acu@pubg.com(993382902515)"/>
    <s v="황범석"/>
    <s v="황범석"/>
    <s v="v"/>
    <n v="5770653"/>
    <n v="4269656"/>
    <n v="3055422"/>
    <n v="3254070"/>
    <n v="3298955"/>
    <n v="3302867"/>
    <n v="3632461"/>
    <n v="3635911"/>
    <n v="3717988"/>
    <n v="3517276"/>
    <n v="2914815"/>
    <n v="3390523"/>
    <n v="3390523"/>
    <n v="475708"/>
    <n v="0.16320349661985409"/>
    <n v="1000"/>
  </r>
  <r>
    <x v="1"/>
    <x v="0"/>
    <x v="1"/>
    <s v="Game Security Engineering Dept."/>
    <x v="3"/>
    <n v="290069"/>
    <s v="I100099999"/>
    <s v="AWS_XTRM-NewState@pubg.com(418047124903)"/>
    <s v="최진욱"/>
    <s v="김태완"/>
    <s v="v"/>
    <n v="98352653"/>
    <n v="93964046"/>
    <n v="85333927"/>
    <n v="87506340"/>
    <n v="84264551"/>
    <n v="78480152"/>
    <n v="86498395"/>
    <n v="87110704"/>
    <n v="88224716"/>
    <n v="80565952"/>
    <n v="66805185"/>
    <n v="75756923"/>
    <n v="75756923"/>
    <n v="8951738"/>
    <n v="0.13399765302648289"/>
    <n v="1000"/>
  </r>
  <r>
    <x v="1"/>
    <x v="0"/>
    <x v="1"/>
    <s v="PUBG PC&amp;Console Dev Div."/>
    <x v="3"/>
    <n v="110202"/>
    <s v="P110010137"/>
    <s v="AWS_Xtrm-playground@pubg.com(350993443303)"/>
    <s v="최진욱"/>
    <s v="김태완"/>
    <s v="v"/>
    <n v="5604660"/>
    <n v="5531667"/>
    <n v="5268829"/>
    <n v="5492735"/>
    <n v="5415507"/>
    <n v="5403269"/>
    <n v="5534176"/>
    <n v="5177185"/>
    <n v="5347055"/>
    <n v="4934684"/>
    <n v="4192813"/>
    <n v="4868550"/>
    <n v="4868550"/>
    <n v="675737"/>
    <n v="0.16116554685362786"/>
    <n v="1000"/>
  </r>
  <r>
    <x v="1"/>
    <x v="0"/>
    <x v="0"/>
    <s v="Service DevOps Team"/>
    <x v="3"/>
    <n v="100033"/>
    <s v="P100010055"/>
    <s v="AWS_XTRM-Web@pubg.com(312871113530)"/>
    <s v="엄기성"/>
    <s v="엄기성"/>
    <m/>
    <n v="6044209"/>
    <n v="5859217"/>
    <n v="5689202"/>
    <n v="5895626"/>
    <n v="5930898"/>
    <n v="5927748"/>
    <n v="6203050"/>
    <n v="6198761"/>
    <n v="5919275"/>
    <n v="5607735"/>
    <n v="5310712"/>
    <n v="6233031"/>
    <n v="6233031"/>
    <n v="922319"/>
    <n v="0.1736714399123884"/>
    <n v="1000"/>
  </r>
  <r>
    <x v="1"/>
    <x v="0"/>
    <x v="16"/>
    <s v="Ludo Research &amp; Development Div."/>
    <x v="1"/>
    <n v="101758"/>
    <s v="I100099999"/>
    <s v="aws-agentville-deploy@krafton.com(093574267363)"/>
    <s v="정우성"/>
    <s v="정우성"/>
    <s v="v"/>
    <m/>
    <m/>
    <m/>
    <m/>
    <m/>
    <m/>
    <m/>
    <m/>
    <m/>
    <m/>
    <n v="23171"/>
    <n v="36913"/>
    <n v="36913"/>
    <n v="13742"/>
    <n v="0.59306892235984632"/>
    <n v="6000"/>
  </r>
  <r>
    <x v="1"/>
    <x v="0"/>
    <x v="0"/>
    <s v="AI Transformation Team"/>
    <x v="1"/>
    <n v="101313"/>
    <s v="I100090813"/>
    <s v="aws-ait-genai-api-project@krafton.com(425693140087)"/>
    <s v="이재준"/>
    <s v="이재준"/>
    <s v="v"/>
    <m/>
    <m/>
    <m/>
    <m/>
    <m/>
    <n v="10874"/>
    <n v="4464"/>
    <n v="11827"/>
    <n v="10514"/>
    <n v="12515"/>
    <n v="10708"/>
    <n v="9409"/>
    <n v="9409"/>
    <n v="-1299"/>
    <n v="-0.1213111692192753"/>
    <n v="1000"/>
  </r>
  <r>
    <x v="1"/>
    <x v="0"/>
    <x v="0"/>
    <s v="AI Transformation Team"/>
    <x v="1"/>
    <n v="107017"/>
    <s v="P100010146"/>
    <s v="aws-ait-project@krafton.com(860256742851)"/>
    <s v="이재준"/>
    <s v="이재준"/>
    <s v="v"/>
    <m/>
    <m/>
    <m/>
    <m/>
    <m/>
    <n v="11"/>
    <n v="78260"/>
    <n v="489850"/>
    <n v="652432"/>
    <n v="794937"/>
    <n v="1067071"/>
    <n v="2906608"/>
    <n v="2906608"/>
    <n v="1839537"/>
    <n v="1.7239124669305042"/>
    <n v="1000"/>
  </r>
  <r>
    <x v="1"/>
    <x v="0"/>
    <x v="0"/>
    <s v="Game Security Engineering Dept."/>
    <x v="1"/>
    <n v="100036"/>
    <s v="I100099999"/>
    <s v="aws-arc-anticheat-service@pubg.com(577638352596)"/>
    <s v="황범석"/>
    <s v="황범석"/>
    <s v="v"/>
    <n v="1736489"/>
    <n v="2214667"/>
    <n v="3361773"/>
    <n v="3631588"/>
    <n v="4299778"/>
    <n v="4205431"/>
    <n v="4632646"/>
    <n v="4546730"/>
    <n v="4683676"/>
    <n v="4331868"/>
    <n v="3746835"/>
    <n v="4128782"/>
    <n v="4128782"/>
    <n v="381947"/>
    <n v="0.1019385694859795"/>
    <n v="1000"/>
  </r>
  <r>
    <x v="1"/>
    <x v="0"/>
    <x v="0"/>
    <s v="Publishing Tech PM Part"/>
    <x v="1"/>
    <n v="100829"/>
    <s v="P100010048"/>
    <s v="aws-archeryking-india-prod@krafton.com(730335306083)"/>
    <s v="김정언"/>
    <s v="김정언"/>
    <s v="v"/>
    <n v="135651"/>
    <n v="279302"/>
    <n v="165836"/>
    <n v="194339"/>
    <n v="199411"/>
    <n v="935224"/>
    <n v="90222"/>
    <n v="54626"/>
    <n v="102737"/>
    <n v="50291"/>
    <n v="39483"/>
    <n v="38632"/>
    <n v="38632"/>
    <n v="-851"/>
    <n v="-2.1553580021781527E-2"/>
    <n v="1000"/>
  </r>
  <r>
    <x v="1"/>
    <x v="0"/>
    <x v="0"/>
    <s v="Asset Library Part"/>
    <x v="1"/>
    <n v="100415"/>
    <s v="P100030014"/>
    <s v="aws-artdept-ali-project@krafton.com(568307822597)"/>
    <s v="박수진"/>
    <s v="박수진"/>
    <m/>
    <m/>
    <m/>
    <m/>
    <m/>
    <m/>
    <m/>
    <m/>
    <m/>
    <m/>
    <n v="115867"/>
    <n v="336409"/>
    <n v="453303"/>
    <n v="453303"/>
    <n v="116894"/>
    <n v="0.34747584042044061"/>
    <n v="1000"/>
  </r>
  <r>
    <x v="1"/>
    <x v="0"/>
    <x v="0"/>
    <s v="Camp Dept."/>
    <x v="1"/>
    <n v="101465"/>
    <s v="I100099999"/>
    <s v="aws-athena-stage@krafton.com(954894834042)"/>
    <s v="이태형"/>
    <s v="이태형"/>
    <s v="v"/>
    <m/>
    <m/>
    <m/>
    <m/>
    <m/>
    <m/>
    <m/>
    <n v="13381"/>
    <n v="144695"/>
    <n v="12158"/>
    <n v="11549"/>
    <n v="8449"/>
    <n v="8449"/>
    <n v="-3100"/>
    <n v="-0.26842150835570178"/>
    <n v="1000"/>
  </r>
  <r>
    <x v="1"/>
    <x v="0"/>
    <x v="0"/>
    <s v="AI Applied Research Dept."/>
    <x v="9"/>
    <e v="#N/A"/>
    <e v="#N/A"/>
    <s v="aws-AtoZ-dev@krafton.com(859616339670)"/>
    <s v="김재욱"/>
    <s v="김재욱"/>
    <m/>
    <m/>
    <m/>
    <m/>
    <m/>
    <m/>
    <n v="247867"/>
    <n v="2494074"/>
    <n v="3871203"/>
    <n v="5241928"/>
    <n v="9199750"/>
    <n v="8452612"/>
    <n v="11612790"/>
    <n v="11612790"/>
    <n v="3160178"/>
    <n v="0.37386999426922707"/>
    <n v="1000"/>
  </r>
  <r>
    <x v="1"/>
    <x v="0"/>
    <x v="0"/>
    <s v="Game Security Engineering Dept."/>
    <x v="16"/>
    <n v="100092"/>
    <s v="I100099999"/>
    <s v="aws-bb-acs@krafton.com(991613102752)"/>
    <s v="황범석"/>
    <s v="황범석"/>
    <s v="v"/>
    <m/>
    <m/>
    <m/>
    <n v="3400715"/>
    <n v="3856463"/>
    <n v="3767342"/>
    <n v="4126647"/>
    <n v="4181143"/>
    <n v="5487556"/>
    <n v="5222312"/>
    <n v="3594228"/>
    <n v="4158481"/>
    <n v="4158481"/>
    <n v="564253"/>
    <n v="0.15698864957926986"/>
    <n v="1000"/>
  </r>
  <r>
    <x v="1"/>
    <x v="0"/>
    <x v="0"/>
    <s v="BGMI DevOps Team"/>
    <x v="4"/>
    <n v="100009"/>
    <s v="I100099999"/>
    <s v="aws-bgmi-aws-lz@krafton.com(438465159102)"/>
    <s v="조동현"/>
    <s v="조한경"/>
    <s v="v"/>
    <n v="9713757"/>
    <n v="11131558"/>
    <n v="10585936"/>
    <n v="255938969"/>
    <n v="451957"/>
    <n v="6373700"/>
    <n v="104988074"/>
    <n v="198872741"/>
    <n v="206664973"/>
    <n v="179632019"/>
    <n v="50569318"/>
    <n v="467246"/>
    <n v="467246"/>
    <n v="-50102072"/>
    <n v="-0.99076028670190885"/>
    <n v="1000"/>
  </r>
  <r>
    <x v="1"/>
    <x v="5"/>
    <x v="9"/>
    <s v="Bluehole shared_finance"/>
    <x v="1"/>
    <e v="#N/A"/>
    <e v="#N/A"/>
    <s v="aws-bluehole-qdev@bluehole.net(065855168285)"/>
    <s v="김승훈"/>
    <s v="김승훈"/>
    <m/>
    <m/>
    <m/>
    <m/>
    <n v="10092"/>
    <n v="12163"/>
    <n v="8375"/>
    <n v="9106"/>
    <n v="9704"/>
    <n v="8690"/>
    <n v="10663"/>
    <n v="9125"/>
    <n v="7852"/>
    <n v="7852"/>
    <n v="-1273"/>
    <n v="-0.13950684931506849"/>
    <n v="1100"/>
  </r>
  <r>
    <x v="1"/>
    <x v="0"/>
    <x v="0"/>
    <s v="Cinematic Direction &amp; Tech Team"/>
    <x v="1"/>
    <n v="100415"/>
    <s v="P100030014"/>
    <s v="aws-cg-deadline-dev@krafton.com(432439355307)"/>
    <s v="박종률"/>
    <s v="박종률"/>
    <m/>
    <m/>
    <m/>
    <m/>
    <m/>
    <m/>
    <n v="9373"/>
    <n v="8904"/>
    <n v="9848"/>
    <n v="8695"/>
    <n v="6198"/>
    <n v="0"/>
    <n v="0"/>
    <m/>
    <n v="0"/>
    <s v=""/>
    <n v="1000"/>
  </r>
  <r>
    <x v="1"/>
    <x v="0"/>
    <x v="0"/>
    <s v="Publishing Tech PM Part"/>
    <x v="1"/>
    <n v="100036"/>
    <s v="P100010048"/>
    <s v="aws-cookierun-india-prod@krafton.com(533267124897)"/>
    <s v="김정언"/>
    <s v="김정언"/>
    <s v="v"/>
    <n v="8426889"/>
    <n v="7967321"/>
    <n v="7575324"/>
    <n v="7595913"/>
    <n v="6149865"/>
    <n v="5589626"/>
    <n v="5765285"/>
    <n v="7994981"/>
    <n v="8912421"/>
    <n v="5694750"/>
    <n v="3503136"/>
    <n v="3969527"/>
    <n v="3969527"/>
    <n v="466391"/>
    <n v="0.13313528221570617"/>
    <n v="1000"/>
  </r>
  <r>
    <x v="1"/>
    <x v="0"/>
    <x v="0"/>
    <s v="Data Engineering Dept."/>
    <x v="1"/>
    <n v="540002"/>
    <s v="I100099999"/>
    <s v="aws-data-intelligence@krafton.com(730335261321)"/>
    <s v="염화음"/>
    <s v="김영철"/>
    <m/>
    <n v="51013119"/>
    <n v="25114669"/>
    <n v="25165326"/>
    <n v="24809768"/>
    <n v="30338999"/>
    <n v="29194062"/>
    <n v="24583105"/>
    <n v="22519748"/>
    <n v="29158724"/>
    <n v="26518296"/>
    <n v="25195550"/>
    <n v="23955868"/>
    <n v="23955868"/>
    <n v="-1239682"/>
    <n v="-4.9202418681076616E-2"/>
    <n v="1000"/>
  </r>
  <r>
    <x v="1"/>
    <x v="0"/>
    <x v="0"/>
    <s v="Data Engineering Dept."/>
    <x v="1"/>
    <n v="101145"/>
    <s v="I100090820"/>
    <s v="aws-data-service@krafton.com(211125690433)"/>
    <s v="염화음"/>
    <s v="김시훈"/>
    <s v="v"/>
    <n v="1613035"/>
    <n v="6291222"/>
    <n v="10755338"/>
    <n v="12716190"/>
    <n v="14801328"/>
    <n v="14423648"/>
    <n v="15878731"/>
    <n v="16423293"/>
    <n v="16754183"/>
    <n v="16542881"/>
    <n v="14640720"/>
    <n v="16971470"/>
    <n v="16971470"/>
    <n v="2330750"/>
    <n v="0.15919640564125262"/>
    <n v="1000"/>
  </r>
  <r>
    <x v="1"/>
    <x v="0"/>
    <x v="0"/>
    <s v="Data Engineering Dept."/>
    <x v="1"/>
    <n v="100025"/>
    <s v="I100099999"/>
    <s v="aws-ded-sandbox@krafton.com(061051231343)"/>
    <s v="염화음"/>
    <s v="김시훈"/>
    <s v="v"/>
    <n v="1485581"/>
    <n v="687415"/>
    <n v="689534"/>
    <n v="978274"/>
    <n v="988182"/>
    <n v="1112294"/>
    <n v="3202345"/>
    <n v="4054023"/>
    <n v="5063297"/>
    <n v="11052584"/>
    <n v="11349648"/>
    <n v="10567220"/>
    <n v="10567220"/>
    <n v="-782428"/>
    <n v="-6.8938525670575859E-2"/>
    <n v="1000"/>
  </r>
  <r>
    <x v="1"/>
    <x v="8"/>
    <x v="17"/>
    <s v="AI Foundation Model TF Team"/>
    <x v="19"/>
    <n v="400030"/>
    <e v="#N/A"/>
    <s v="aws-deeplearning-gpu@krafton.com(119492371514)"/>
    <s v="이동기"/>
    <s v="김지윤"/>
    <s v="v"/>
    <m/>
    <m/>
    <m/>
    <m/>
    <n v="14007"/>
    <n v="275493581"/>
    <n v="110095282"/>
    <n v="276915930"/>
    <n v="378380401"/>
    <n v="646702404"/>
    <n v="3038722916"/>
    <n v="1222531747"/>
    <n v="1222531747"/>
    <n v="-1816191169"/>
    <n v="-0.59768238803119622"/>
    <n v="1000"/>
  </r>
  <r>
    <x v="1"/>
    <x v="0"/>
    <x v="0"/>
    <s v="Live Ops Team"/>
    <x v="1"/>
    <n v="100033"/>
    <s v="P100010055"/>
    <s v="aws-discordbot-project@krafton.com(490004636756)"/>
    <s v="어재훈"/>
    <s v="어재훈"/>
    <m/>
    <n v="85862"/>
    <n v="94412"/>
    <n v="79243"/>
    <n v="85824"/>
    <n v="91412"/>
    <n v="64537"/>
    <n v="65826"/>
    <n v="65604"/>
    <n v="66997"/>
    <n v="59397"/>
    <n v="37885"/>
    <n v="27835"/>
    <n v="27835"/>
    <n v="-10050"/>
    <n v="-0.26527649465487663"/>
    <n v="1000"/>
  </r>
  <r>
    <x v="1"/>
    <x v="0"/>
    <x v="0"/>
    <s v="AI Product Dev Chapter Dept."/>
    <x v="1"/>
    <n v="100033"/>
    <s v="P100030014"/>
    <s v="aws-dld-ai-service-engineering@krafton.com(778870726140)"/>
    <s v="박준규"/>
    <s v="박준규"/>
    <m/>
    <m/>
    <m/>
    <m/>
    <n v="102927"/>
    <n v="604513"/>
    <n v="773135"/>
    <n v="845095"/>
    <n v="835478"/>
    <n v="854916"/>
    <n v="813392"/>
    <n v="690047"/>
    <n v="814723"/>
    <n v="814723"/>
    <n v="124676"/>
    <n v="0.18067754805107478"/>
    <n v="1000"/>
  </r>
  <r>
    <x v="1"/>
    <x v="0"/>
    <x v="0"/>
    <s v="AI Agent Research Team"/>
    <x v="9"/>
    <n v="100212"/>
    <s v="I100099999"/>
    <s v="aws-dld-artgen-project@krafton.com(253613562216)"/>
    <s v="권승진"/>
    <s v="권승진"/>
    <m/>
    <m/>
    <m/>
    <m/>
    <n v="288833"/>
    <n v="993031"/>
    <n v="1031380"/>
    <n v="1095577"/>
    <n v="1068589"/>
    <n v="318738"/>
    <n v="0"/>
    <n v="0"/>
    <n v="0"/>
    <m/>
    <n v="0"/>
    <s v=""/>
    <n v="1000"/>
  </r>
  <r>
    <x v="1"/>
    <x v="0"/>
    <x v="0"/>
    <s v="AI Product Dev Chapter Dept."/>
    <x v="9"/>
    <n v="101294"/>
    <s v="P100030012"/>
    <s v="aws-dld-orak-competition@krafton.com(990060747832)"/>
    <s v="이호원"/>
    <s v="이호원"/>
    <m/>
    <m/>
    <m/>
    <m/>
    <m/>
    <m/>
    <n v="0"/>
    <n v="2502"/>
    <n v="21719"/>
    <n v="8581"/>
    <n v="10489"/>
    <n v="9039"/>
    <n v="7840"/>
    <n v="7840"/>
    <n v="-1199"/>
    <n v="-0.13264741674964045"/>
    <n v="1000"/>
  </r>
  <r>
    <x v="1"/>
    <x v="4"/>
    <x v="8"/>
    <n v="0"/>
    <x v="6"/>
    <n v="460121"/>
    <e v="#N/A"/>
    <s v="aws-dreamotion-joust@dreamotion.us(068011097273)"/>
    <m/>
    <s v="류성중"/>
    <m/>
    <m/>
    <m/>
    <m/>
    <m/>
    <m/>
    <m/>
    <m/>
    <m/>
    <m/>
    <n v="72457"/>
    <n v="95581"/>
    <n v="95520"/>
    <n v="95520"/>
    <n v="-61"/>
    <n v="-6.3820215314759209E-4"/>
    <e v="#N/A"/>
  </r>
  <r>
    <x v="1"/>
    <x v="0"/>
    <x v="0"/>
    <s v="Publishing Tech PM Part"/>
    <x v="1"/>
    <n v="100561"/>
    <s v="P100010013"/>
    <s v="aws-esports-india-prod@bluehole.net(730335249414)"/>
    <s v="김정언"/>
    <s v="김정언"/>
    <s v="v"/>
    <n v="4583980"/>
    <n v="4342019"/>
    <n v="4832293"/>
    <n v="5348761"/>
    <n v="5393517"/>
    <n v="5623604"/>
    <n v="6846989"/>
    <n v="5593088"/>
    <n v="7348663"/>
    <n v="7271842"/>
    <n v="7168145"/>
    <n v="8652113"/>
    <n v="8652113"/>
    <n v="1483968"/>
    <n v="0.20702259789666644"/>
    <n v="1000"/>
  </r>
  <r>
    <x v="1"/>
    <x v="0"/>
    <x v="0"/>
    <s v="Esports Management Team"/>
    <x v="20"/>
    <n v="101758"/>
    <s v="I100099999"/>
    <s v="aws-esports-project@krafton.com(731386536200)"/>
    <s v="정경훈"/>
    <s v="정경훈"/>
    <m/>
    <m/>
    <n v="125166"/>
    <n v="1430075"/>
    <n v="2525521"/>
    <n v="111563"/>
    <n v="109511"/>
    <n v="112268"/>
    <n v="113131"/>
    <n v="363946"/>
    <n v="283435"/>
    <n v="255859"/>
    <n v="293837"/>
    <n v="293837"/>
    <n v="37978"/>
    <n v="0.148433316787762"/>
    <n v="1000"/>
  </r>
  <r>
    <x v="1"/>
    <x v="9"/>
    <x v="18"/>
    <n v="0"/>
    <x v="6"/>
    <n v="100414"/>
    <e v="#N/A"/>
    <s v="aws-fwg-mementomori@krafton.com(288761730516)"/>
    <n v="0"/>
    <s v="허태욱"/>
    <m/>
    <n v="157897"/>
    <n v="155265"/>
    <n v="161371"/>
    <n v="168468"/>
    <n v="182441"/>
    <n v="175494"/>
    <n v="156126"/>
    <n v="152022"/>
    <n v="155400"/>
    <n v="143982"/>
    <n v="121095"/>
    <n v="134895"/>
    <n v="134895"/>
    <n v="13800"/>
    <n v="0.11396011396011396"/>
    <e v="#N/A"/>
  </r>
  <r>
    <x v="1"/>
    <x v="9"/>
    <x v="18"/>
    <s v="FWG People Team"/>
    <x v="6"/>
    <n v="100414"/>
    <e v="#N/A"/>
    <s v="aws-fwg-people@krafton.com(992382827900)"/>
    <n v="0"/>
    <s v="전민욱"/>
    <m/>
    <n v="63891"/>
    <n v="73417"/>
    <n v="77568"/>
    <n v="71862"/>
    <n v="74723"/>
    <n v="76231"/>
    <n v="79853"/>
    <n v="78996"/>
    <n v="102123"/>
    <n v="103142"/>
    <n v="95017"/>
    <n v="112662"/>
    <n v="112662"/>
    <n v="17645"/>
    <n v="0.18570361093278046"/>
    <n v="4800"/>
  </r>
  <r>
    <x v="1"/>
    <x v="0"/>
    <x v="0"/>
    <s v="KOS Engineering Dept."/>
    <x v="2"/>
    <n v="101269"/>
    <s v="I100099999"/>
    <s v="aws-gpp-sandbox@krafton.com(043143570760)"/>
    <s v="신근우"/>
    <s v="신근우"/>
    <m/>
    <n v="87835"/>
    <n v="108433"/>
    <n v="64056"/>
    <n v="57505"/>
    <n v="61527"/>
    <n v="109873"/>
    <n v="77806"/>
    <n v="87248"/>
    <n v="290283"/>
    <n v="294940"/>
    <n v="267787"/>
    <n v="308012"/>
    <n v="308012"/>
    <n v="40225"/>
    <n v="0.15021266902426181"/>
    <n v="1000"/>
  </r>
  <r>
    <x v="1"/>
    <x v="8"/>
    <x v="17"/>
    <s v="AI Foundation Model TF Team"/>
    <x v="19"/>
    <n v="110024"/>
    <s v="P100020001"/>
    <s v="aws-gpu-sp@krafton.com(690488447034)"/>
    <s v="황시연"/>
    <s v="김지윤"/>
    <s v="v"/>
    <m/>
    <m/>
    <m/>
    <m/>
    <m/>
    <n v="6998787602"/>
    <n v="598687232"/>
    <n v="596216106"/>
    <n v="603132784"/>
    <n v="599569136"/>
    <n v="539854405"/>
    <n v="635729111"/>
    <n v="635729111"/>
    <n v="95874706"/>
    <n v="0.17759363471341871"/>
    <n v="1000"/>
  </r>
  <r>
    <x v="1"/>
    <x v="0"/>
    <x v="0"/>
    <s v="Game Security Engineering Dept."/>
    <x v="1"/>
    <e v="#N/A"/>
    <e v="#N/A"/>
    <s v="aws-gse-tech-build@krafton.com(597406702810)"/>
    <s v="황범석"/>
    <s v="황범석"/>
    <s v="v"/>
    <m/>
    <m/>
    <m/>
    <n v="116770"/>
    <n v="240623"/>
    <n v="228323"/>
    <n v="241109"/>
    <n v="239026"/>
    <n v="240104"/>
    <n v="241996"/>
    <n v="216849"/>
    <n v="250687"/>
    <n v="250687"/>
    <n v="33838"/>
    <n v="0.1560440675308625"/>
    <n v="1000"/>
  </r>
  <r>
    <x v="1"/>
    <x v="0"/>
    <x v="19"/>
    <s v="IN New Games Publishing Team 3"/>
    <x v="1"/>
    <n v="100033"/>
    <s v="I100099999"/>
    <s v="aws-ignt-sports-fantasy-prod@krafton.com(029939913515)"/>
    <s v="Prashant Pandey"/>
    <s v="Prashant Pandey"/>
    <m/>
    <m/>
    <m/>
    <m/>
    <m/>
    <m/>
    <m/>
    <m/>
    <m/>
    <m/>
    <n v="12667"/>
    <n v="767196"/>
    <n v="4461949"/>
    <n v="4461949"/>
    <n v="3694753"/>
    <n v="4.8159179662042035"/>
    <n v="2900"/>
  </r>
  <r>
    <x v="1"/>
    <x v="0"/>
    <x v="19"/>
    <s v="IN New Games Publishing Team 3"/>
    <x v="21"/>
    <e v="#N/A"/>
    <e v="#N/A"/>
    <s v="aws-ignt-sports-fantasy@krafton.com(496851883612)"/>
    <s v="Sudhamshu Mitra"/>
    <s v="Sudhamshu Mitra"/>
    <m/>
    <m/>
    <m/>
    <m/>
    <m/>
    <m/>
    <m/>
    <m/>
    <m/>
    <n v="53289"/>
    <n v="182233"/>
    <n v="808512"/>
    <n v="339600"/>
    <n v="339600"/>
    <n v="-468912"/>
    <n v="-0.57996912847304682"/>
    <n v="2900"/>
  </r>
  <r>
    <x v="1"/>
    <x v="0"/>
    <x v="19"/>
    <s v="India Div."/>
    <x v="1"/>
    <n v="100022"/>
    <s v="I100099999"/>
    <s v="aws-india-devtesting@krafton.com(822923364452)"/>
    <s v="Huzaifa Arab"/>
    <s v="Veligatla Vamsi Krishna"/>
    <m/>
    <m/>
    <m/>
    <m/>
    <m/>
    <m/>
    <n v="0"/>
    <n v="12032"/>
    <n v="184044"/>
    <n v="170022"/>
    <n v="50841"/>
    <n v="45164"/>
    <n v="25685"/>
    <n v="25685"/>
    <n v="-19479"/>
    <n v="-0.43129483659551854"/>
    <n v="2900"/>
  </r>
  <r>
    <x v="1"/>
    <x v="0"/>
    <x v="0"/>
    <s v="Service Devops Team"/>
    <x v="8"/>
    <n v="100025"/>
    <s v="I100090813"/>
    <s v="aws-inzoi-common@krafton.com(599079318802)"/>
    <s v="양장수"/>
    <s v="양장수"/>
    <s v="v"/>
    <n v="1965"/>
    <n v="9811"/>
    <n v="25420"/>
    <n v="22468"/>
    <n v="31678"/>
    <n v="32573"/>
    <n v="33470"/>
    <n v="33467"/>
    <n v="39422"/>
    <n v="41044"/>
    <n v="42064"/>
    <n v="39637"/>
    <n v="39637"/>
    <n v="-2427"/>
    <n v="-5.7697793837961205E-2"/>
    <n v="1000"/>
  </r>
  <r>
    <x v="1"/>
    <x v="0"/>
    <x v="0"/>
    <s v="Service Devops Team"/>
    <x v="8"/>
    <n v="102035"/>
    <s v="I100090134"/>
    <s v="aws-inzoi-perf@krafton.com(480311998431)"/>
    <s v="양장수"/>
    <s v="양장수"/>
    <s v="v"/>
    <n v="681"/>
    <n v="1789"/>
    <n v="14185"/>
    <n v="6071"/>
    <n v="11375"/>
    <n v="12109"/>
    <n v="12580"/>
    <n v="12445"/>
    <n v="16371"/>
    <n v="18121"/>
    <n v="18594"/>
    <n v="15889"/>
    <n v="15889"/>
    <n v="-2705"/>
    <n v="-0.14547703560288264"/>
    <n v="1000"/>
  </r>
  <r>
    <x v="1"/>
    <x v="0"/>
    <x v="0"/>
    <s v="Service Devops Team"/>
    <x v="8"/>
    <n v="100415"/>
    <s v="I100099999"/>
    <s v="aws-inzoi-prod-qa@krafton.com(891376979083)"/>
    <s v="양장수"/>
    <s v="양장수"/>
    <s v="v"/>
    <n v="12786794"/>
    <n v="13210297"/>
    <n v="11143442"/>
    <n v="10665714"/>
    <n v="10213917"/>
    <n v="9558208"/>
    <n v="7391692"/>
    <n v="7669978"/>
    <n v="7806571"/>
    <n v="7647060"/>
    <n v="7119816"/>
    <n v="7599816"/>
    <n v="7599816"/>
    <n v="480000"/>
    <n v="6.7417472586370208E-2"/>
    <n v="1000"/>
  </r>
  <r>
    <x v="1"/>
    <x v="0"/>
    <x v="0"/>
    <s v="Service Devops Team"/>
    <x v="8"/>
    <n v="290062"/>
    <s v="I100099999"/>
    <s v="aws-inzoi-prod@krafton.com(767397839450)"/>
    <s v="양장수"/>
    <s v="양장수"/>
    <s v="v"/>
    <n v="50845989"/>
    <n v="37763223"/>
    <n v="28058132"/>
    <n v="26371235"/>
    <n v="24054089"/>
    <n v="21124024"/>
    <n v="23868136"/>
    <n v="36787545"/>
    <n v="35861855"/>
    <n v="22864519"/>
    <n v="17008134"/>
    <n v="16919145"/>
    <n v="16919145"/>
    <n v="-88989"/>
    <n v="-5.2321436319822034E-3"/>
    <n v="1000"/>
  </r>
  <r>
    <x v="1"/>
    <x v="0"/>
    <x v="0"/>
    <s v="Service Devops Team"/>
    <x v="8"/>
    <n v="290062"/>
    <e v="#N/A"/>
    <s v="aws-inzoi-ps@krafton.com(875212670009)"/>
    <s v="양장수"/>
    <s v="양장수"/>
    <s v="v"/>
    <m/>
    <n v="2288"/>
    <n v="12407"/>
    <n v="5915"/>
    <n v="11622"/>
    <n v="11773"/>
    <n v="12198"/>
    <n v="12068"/>
    <n v="16864"/>
    <n v="18111"/>
    <n v="18451"/>
    <n v="15830"/>
    <n v="15830"/>
    <n v="-2621"/>
    <n v="-0.14205192130507832"/>
    <n v="1000"/>
  </r>
  <r>
    <x v="1"/>
    <x v="0"/>
    <x v="5"/>
    <s v="inZOI Studio"/>
    <x v="1"/>
    <e v="#N/A"/>
    <s v="I100099999"/>
    <s v="aws-inzoi-qdev@inzoistudio.com(536808117055)"/>
    <s v="김재윤"/>
    <s v="김재윤"/>
    <m/>
    <m/>
    <m/>
    <m/>
    <m/>
    <n v="13122"/>
    <n v="6871"/>
    <n v="8940"/>
    <n v="9704"/>
    <n v="8751"/>
    <n v="10884"/>
    <n v="9443"/>
    <n v="8142"/>
    <n v="8142"/>
    <n v="-1301"/>
    <n v="-0.1377740124960288"/>
    <n v="5000"/>
  </r>
  <r>
    <x v="1"/>
    <x v="0"/>
    <x v="0"/>
    <s v="IT Platform Engineering Team"/>
    <x v="1"/>
    <n v="100036"/>
    <s v="I100099999"/>
    <s v="aws-it-devops-dev@krafton.com(590636266953)"/>
    <s v="김주한"/>
    <s v="김주한"/>
    <m/>
    <m/>
    <m/>
    <m/>
    <n v="367203"/>
    <n v="3010111"/>
    <n v="4652174"/>
    <n v="4683506"/>
    <n v="8289762"/>
    <n v="13536695"/>
    <n v="14013845"/>
    <n v="12797429"/>
    <n v="13757218"/>
    <n v="13757218"/>
    <n v="959789"/>
    <n v="7.4998579792863077E-2"/>
    <n v="1000"/>
  </r>
  <r>
    <x v="1"/>
    <x v="0"/>
    <x v="0"/>
    <s v="IT Dept."/>
    <x v="1"/>
    <e v="#N/A"/>
    <e v="#N/A"/>
    <s v="aws-it-devops-prd@krafton.com(785459729416)"/>
    <s v="김승훈"/>
    <s v="김승훈"/>
    <m/>
    <m/>
    <m/>
    <m/>
    <n v="14052"/>
    <n v="13464"/>
    <n v="8590"/>
    <n v="9078"/>
    <n v="9675"/>
    <n v="8664"/>
    <n v="10556"/>
    <n v="9176"/>
    <n v="7933"/>
    <n v="7933"/>
    <n v="-1243"/>
    <n v="-0.13546207497820401"/>
    <n v="1000"/>
  </r>
  <r>
    <x v="1"/>
    <x v="0"/>
    <x v="0"/>
    <s v="IT Dept."/>
    <x v="1"/>
    <e v="#N/A"/>
    <e v="#N/A"/>
    <s v="aws-it-devops-stg@krafton.com(432637347936)"/>
    <s v="김승훈"/>
    <s v="김승훈"/>
    <m/>
    <m/>
    <m/>
    <m/>
    <n v="12882"/>
    <n v="13491"/>
    <n v="8645"/>
    <n v="9028"/>
    <n v="9862"/>
    <n v="8674"/>
    <n v="10576"/>
    <n v="9086"/>
    <n v="7913"/>
    <n v="7913"/>
    <n v="-1173"/>
    <n v="-0.12909971384547655"/>
    <n v="1000"/>
  </r>
  <r>
    <x v="1"/>
    <x v="0"/>
    <x v="0"/>
    <s v="IT Dept."/>
    <x v="1"/>
    <n v="100025"/>
    <s v="I100090813"/>
    <s v="aws-itsd-live@krafton.com(493888979037)"/>
    <s v="강준수"/>
    <s v="강준수"/>
    <s v="v"/>
    <m/>
    <n v="1734943"/>
    <n v="2242473"/>
    <n v="2803218"/>
    <n v="2335492"/>
    <n v="2298789"/>
    <n v="2644468"/>
    <n v="1601185"/>
    <n v="1588700"/>
    <n v="1456514"/>
    <n v="1280242"/>
    <n v="1495839"/>
    <n v="1495839"/>
    <n v="215597"/>
    <n v="0.16840331749778559"/>
    <n v="1000"/>
  </r>
  <r>
    <x v="1"/>
    <x v="0"/>
    <x v="0"/>
    <s v="Publishing QA Team 1"/>
    <x v="1"/>
    <n v="100009"/>
    <s v="I100099999"/>
    <s v="aws-jirago-automation@krafton.com(836686979310)"/>
    <s v="Jonas Jawad"/>
    <s v="Jonas Jawad"/>
    <m/>
    <m/>
    <m/>
    <m/>
    <m/>
    <m/>
    <n v="0"/>
    <n v="11407"/>
    <n v="4156"/>
    <n v="9043"/>
    <n v="13862"/>
    <n v="11003"/>
    <n v="9445"/>
    <n v="9445"/>
    <n v="-1558"/>
    <n v="-0.14159774606925385"/>
    <n v="1000"/>
  </r>
  <r>
    <x v="1"/>
    <x v="0"/>
    <x v="20"/>
    <s v="JOF Development Team"/>
    <x v="1"/>
    <n v="100156"/>
    <s v="I100099999"/>
    <s v="aws-jofsoft-nomad@krafton.com(523083722520)"/>
    <s v="이정현"/>
    <s v="이정현"/>
    <m/>
    <m/>
    <m/>
    <m/>
    <m/>
    <m/>
    <m/>
    <m/>
    <m/>
    <n v="13387"/>
    <n v="4422"/>
    <n v="6985"/>
    <n v="8083"/>
    <n v="8083"/>
    <n v="1098"/>
    <n v="0.15719398711524696"/>
    <n v="5400"/>
  </r>
  <r>
    <x v="1"/>
    <x v="0"/>
    <x v="0"/>
    <s v="Jungle Coaching Dept."/>
    <x v="22"/>
    <n v="101671"/>
    <s v="I100099999"/>
    <s v="aws-jungle-lms@bluehole.net(628687605365)"/>
    <s v="백승현"/>
    <s v="백승현"/>
    <s v="v"/>
    <n v="2110885"/>
    <n v="2070050"/>
    <n v="2045969"/>
    <n v="2140690"/>
    <n v="2173643"/>
    <n v="2169225"/>
    <n v="3011886"/>
    <n v="2929026"/>
    <n v="3075940"/>
    <n v="3120163"/>
    <n v="2968714"/>
    <n v="3562304"/>
    <n v="3562304"/>
    <n v="593590"/>
    <n v="0.19994852990217313"/>
    <n v="1000"/>
  </r>
  <r>
    <x v="1"/>
    <x v="0"/>
    <x v="0"/>
    <s v="KOS Engineering Dept."/>
    <x v="1"/>
    <n v="100212"/>
    <s v="I100099999"/>
    <s v="aws-kcn@krafton.com(864899862642)"/>
    <s v="신근우"/>
    <s v="신근우"/>
    <m/>
    <n v="1758430"/>
    <n v="1774859"/>
    <n v="1736575"/>
    <n v="2515690"/>
    <n v="2700912"/>
    <n v="2663657"/>
    <n v="3113945"/>
    <n v="2983325"/>
    <n v="3062313"/>
    <n v="4288402"/>
    <n v="6245999"/>
    <n v="8223725"/>
    <n v="8223725"/>
    <n v="1977726"/>
    <n v="0.31663885953231818"/>
    <n v="1000"/>
  </r>
  <r>
    <x v="1"/>
    <x v="0"/>
    <x v="0"/>
    <s v="KDC Team"/>
    <x v="1"/>
    <n v="110119"/>
    <s v="P100020001"/>
    <s v="aws-kdc-hackathon-project@krafton.com(720500601754)"/>
    <s v="황영욱"/>
    <s v="황영욱"/>
    <m/>
    <m/>
    <m/>
    <m/>
    <m/>
    <m/>
    <m/>
    <m/>
    <m/>
    <n v="13427"/>
    <n v="5427"/>
    <n v="6940"/>
    <n v="8013"/>
    <n v="8013"/>
    <n v="1073"/>
    <n v="0.15461095100864553"/>
    <n v="1000"/>
  </r>
  <r>
    <x v="1"/>
    <x v="0"/>
    <x v="0"/>
    <s v="KOS Engineering Dept."/>
    <x v="1"/>
    <n v="100212"/>
    <s v="I100099999"/>
    <s v="aws-kos-qa@krafton.com(436400223144)"/>
    <s v="신근우"/>
    <s v="신근우"/>
    <m/>
    <n v="1223"/>
    <n v="2944"/>
    <n v="14031"/>
    <n v="5929"/>
    <n v="10782"/>
    <n v="8465"/>
    <n v="8940"/>
    <n v="9874"/>
    <n v="8803"/>
    <n v="20623"/>
    <n v="13007"/>
    <n v="8223"/>
    <n v="8223"/>
    <n v="-4784"/>
    <n v="-0.36780195279464906"/>
    <n v="1000"/>
  </r>
  <r>
    <x v="1"/>
    <x v="0"/>
    <x v="0"/>
    <s v="KOS Engineering Dept."/>
    <x v="2"/>
    <n v="100212"/>
    <s v="I100099999"/>
    <s v="aws-kos@krafton.com(821843679442)"/>
    <s v="신근우"/>
    <s v="신근우"/>
    <m/>
    <n v="167399428"/>
    <n v="130620641"/>
    <n v="130376913"/>
    <n v="143390980"/>
    <n v="146068145"/>
    <n v="145347863"/>
    <n v="153541008"/>
    <n v="162289386"/>
    <n v="174830814"/>
    <n v="172006732"/>
    <n v="148867817"/>
    <n v="164271627"/>
    <n v="164271627"/>
    <n v="15403810"/>
    <n v="0.10347306966958479"/>
    <n v="1000"/>
  </r>
  <r>
    <x v="1"/>
    <x v="0"/>
    <x v="0"/>
    <s v="Data Engineering Dept."/>
    <x v="1"/>
    <n v="101050"/>
    <s v="I100099999"/>
    <s v="aws-krafton-braze@krafton.com(493761360527)"/>
    <s v="염화음"/>
    <s v="김시훈"/>
    <m/>
    <n v="12351"/>
    <n v="12911"/>
    <n v="20864"/>
    <n v="12741"/>
    <n v="17937"/>
    <n v="15521"/>
    <n v="16107"/>
    <n v="24389"/>
    <n v="23187"/>
    <n v="25143"/>
    <n v="23356"/>
    <n v="23597"/>
    <n v="23597"/>
    <n v="241"/>
    <n v="1.0318547696523378E-2"/>
    <n v="1000"/>
  </r>
  <r>
    <x v="1"/>
    <x v="0"/>
    <x v="0"/>
    <s v="Publishing Tech PM Part"/>
    <x v="0"/>
    <n v="100561"/>
    <s v="P100010013"/>
    <s v="aws-krafton-ddm-prod@bluehole.net(654654271845)"/>
    <s v="김정언"/>
    <s v="김정언"/>
    <s v="v"/>
    <n v="39666227"/>
    <n v="49115042"/>
    <n v="144183752"/>
    <n v="129300080"/>
    <n v="121041949"/>
    <n v="111186356"/>
    <n v="99613624"/>
    <n v="98152807"/>
    <n v="102129450"/>
    <n v="76754350"/>
    <n v="14963822"/>
    <n v="17130210"/>
    <n v="17130210"/>
    <n v="2166388"/>
    <n v="0.14477504477131578"/>
    <n v="1000"/>
  </r>
  <r>
    <x v="1"/>
    <x v="0"/>
    <x v="0"/>
    <s v="Publishing Tech PM Part"/>
    <x v="0"/>
    <n v="100561"/>
    <s v="P100010013"/>
    <s v="aws-krafton-ddm-stg@bluehole.net(975050331843)"/>
    <s v="김정언"/>
    <s v="김정언"/>
    <s v="v"/>
    <n v="26823795"/>
    <n v="32284335"/>
    <n v="31821848"/>
    <n v="33058350"/>
    <n v="28614901"/>
    <n v="28668699"/>
    <n v="25623433"/>
    <n v="27341966"/>
    <n v="31217358"/>
    <n v="23531287"/>
    <n v="815346"/>
    <n v="804961"/>
    <n v="804961"/>
    <n v="-10385"/>
    <n v="-1.2736923956210002E-2"/>
    <n v="1000"/>
  </r>
  <r>
    <x v="1"/>
    <x v="0"/>
    <x v="0"/>
    <s v="ML Sys &amp; Ops Team"/>
    <x v="1"/>
    <n v="100025"/>
    <s v="I100090813"/>
    <s v="aws-krafton-dld-applied@bluehole.net(847366387031)"/>
    <s v="김동원"/>
    <s v="김동원"/>
    <m/>
    <n v="3225032"/>
    <n v="4680785"/>
    <n v="10020054"/>
    <n v="101953933"/>
    <n v="5369336"/>
    <n v="8350990"/>
    <n v="6674984"/>
    <n v="8248963"/>
    <n v="5531763"/>
    <n v="3703059"/>
    <n v="974465"/>
    <n v="1173492"/>
    <n v="1173492"/>
    <n v="199027"/>
    <n v="0.20424232784143093"/>
    <n v="1000"/>
  </r>
  <r>
    <x v="1"/>
    <x v="0"/>
    <x v="0"/>
    <s v="KRAFTON HQ"/>
    <x v="1"/>
    <e v="#N/A"/>
    <e v="#N/A"/>
    <s v="aws-krafton-qdev@krafton.com(251425313820)"/>
    <s v="김승훈"/>
    <s v="김승훈"/>
    <m/>
    <m/>
    <m/>
    <m/>
    <n v="5416"/>
    <n v="13005"/>
    <n v="9236"/>
    <n v="9054"/>
    <n v="10076"/>
    <n v="9096"/>
    <n v="11034"/>
    <n v="9433"/>
    <n v="8209"/>
    <n v="8209"/>
    <n v="-1224"/>
    <n v="-0.12975723523799426"/>
    <n v="1000"/>
  </r>
  <r>
    <x v="1"/>
    <x v="0"/>
    <x v="0"/>
    <s v="Security team"/>
    <x v="1"/>
    <n v="101721"/>
    <s v="P100010066"/>
    <s v="aws-krafton-security-analytics@krafton.com(391183348418)"/>
    <s v="최정헌"/>
    <s v="최정헌"/>
    <m/>
    <m/>
    <m/>
    <m/>
    <m/>
    <n v="142286"/>
    <n v="651452"/>
    <n v="841257"/>
    <n v="635940"/>
    <n v="336175"/>
    <n v="620383"/>
    <n v="634099"/>
    <n v="716513"/>
    <n v="716513"/>
    <n v="82414"/>
    <n v="0.12997024123993256"/>
    <n v="1000"/>
  </r>
  <r>
    <x v="1"/>
    <x v="0"/>
    <x v="0"/>
    <s v="IT Dept."/>
    <x v="1"/>
    <e v="#N/A"/>
    <e v="#N/A"/>
    <s v="aws-krafton-security@bluehole.net(205564184489)"/>
    <s v="김재윤"/>
    <s v="김재윤"/>
    <s v="v"/>
    <n v="2293280"/>
    <n v="3275943"/>
    <n v="3298731"/>
    <n v="5685020"/>
    <n v="14442360"/>
    <n v="14867976"/>
    <n v="12184791"/>
    <n v="19663350"/>
    <n v="25853249"/>
    <n v="19541828"/>
    <n v="17418802"/>
    <n v="19313288"/>
    <n v="19313288"/>
    <n v="1894486"/>
    <n v="0.1087609813809239"/>
    <n v="1000"/>
  </r>
  <r>
    <x v="1"/>
    <x v="0"/>
    <x v="0"/>
    <s v="System Team"/>
    <x v="1"/>
    <n v="101752"/>
    <s v="I100099999"/>
    <s v="aws-krafton-ses@krafton.com(723528227774)"/>
    <s v="박상윤"/>
    <s v="박상윤"/>
    <m/>
    <m/>
    <m/>
    <m/>
    <m/>
    <m/>
    <m/>
    <m/>
    <m/>
    <m/>
    <n v="14788"/>
    <n v="4762"/>
    <n v="8013"/>
    <n v="8013"/>
    <n v="3251"/>
    <n v="0.6826963460730785"/>
    <n v="1000"/>
  </r>
  <r>
    <x v="1"/>
    <x v="0"/>
    <x v="0"/>
    <s v="Data Engineering Dept."/>
    <x v="1"/>
    <n v="100025"/>
    <s v="I100099999"/>
    <s v="aws-krafton-thinkingdata@krafton.com(830389646082)"/>
    <s v="염화음"/>
    <s v="김시훈"/>
    <s v="v"/>
    <n v="336"/>
    <n v="238108"/>
    <n v="434255"/>
    <n v="449326"/>
    <n v="444912"/>
    <n v="1327567"/>
    <n v="2206969"/>
    <n v="3212245"/>
    <n v="3359358"/>
    <n v="3091453"/>
    <n v="2656311"/>
    <n v="2997367"/>
    <n v="2997367"/>
    <n v="341056"/>
    <n v="0.1283946043968496"/>
    <n v="1000"/>
  </r>
  <r>
    <x v="1"/>
    <x v="0"/>
    <x v="0"/>
    <s v="System Team"/>
    <x v="1"/>
    <e v="#N/A"/>
    <e v="#N/A"/>
    <s v="aws-krafton-website@krafton.com(266265462265)"/>
    <s v="김재윤"/>
    <s v="김재윤"/>
    <s v="v"/>
    <m/>
    <m/>
    <m/>
    <m/>
    <m/>
    <n v="230411"/>
    <n v="989577"/>
    <n v="1622821"/>
    <n v="5222058"/>
    <n v="5763091"/>
    <n v="7013142"/>
    <n v="7506703"/>
    <n v="7506703"/>
    <n v="493561"/>
    <n v="7.0376587270013932E-2"/>
    <n v="1000"/>
  </r>
  <r>
    <x v="1"/>
    <x v="0"/>
    <x v="0"/>
    <s v="IN Performance Marketing Team"/>
    <x v="1"/>
    <e v="#N/A"/>
    <e v="#N/A"/>
    <s v="aws-ksb-project@krafton.com(347301642618)"/>
    <s v="김상범"/>
    <s v="김상범"/>
    <m/>
    <m/>
    <m/>
    <m/>
    <m/>
    <m/>
    <m/>
    <m/>
    <m/>
    <m/>
    <m/>
    <n v="14951"/>
    <n v="3683"/>
    <n v="3683"/>
    <n v="-11268"/>
    <n v="-0.75366196241054106"/>
    <n v="1000"/>
  </r>
  <r>
    <x v="1"/>
    <x v="0"/>
    <x v="0"/>
    <s v="Game Security Engineering Dept."/>
    <x v="23"/>
    <n v="100033"/>
    <s v="I100099999"/>
    <s v="Aws-kss-hq-anticheat-service@krafton.com(901635709370)"/>
    <s v="황범석"/>
    <s v="황범석"/>
    <s v="v"/>
    <m/>
    <m/>
    <m/>
    <m/>
    <m/>
    <m/>
    <m/>
    <m/>
    <m/>
    <m/>
    <n v="646806"/>
    <n v="3154968"/>
    <n v="3154968"/>
    <n v="2508162"/>
    <n v="3.8777655123792916"/>
    <n v="1000"/>
  </r>
  <r>
    <x v="1"/>
    <x v="10"/>
    <x v="21"/>
    <s v="5ml Tech Dept"/>
    <x v="6"/>
    <n v="100036"/>
    <e v="#N/A"/>
    <s v="aws-lg-sl@5minlab.com(919383859411)"/>
    <n v="0"/>
    <s v="유지현"/>
    <m/>
    <n v="15817502"/>
    <n v="14983483"/>
    <n v="12885463"/>
    <n v="13524964"/>
    <n v="13507921"/>
    <n v="12151230"/>
    <n v="12211342"/>
    <n v="11705754"/>
    <n v="11875508"/>
    <n v="12817602"/>
    <n v="10801777"/>
    <n v="10057008"/>
    <n v="10057008"/>
    <n v="-744769"/>
    <n v="-6.8948747969894211E-2"/>
    <n v="4000"/>
  </r>
  <r>
    <x v="1"/>
    <x v="10"/>
    <x v="21"/>
    <s v="5ml Tech Dept"/>
    <x v="6"/>
    <n v="100009"/>
    <e v="#N/A"/>
    <s v="aws-lgsl-qa@5minlab.com(713407752956)"/>
    <n v="0"/>
    <s v="유지현"/>
    <m/>
    <n v="75316"/>
    <n v="84566"/>
    <n v="72752"/>
    <n v="74333"/>
    <n v="90037"/>
    <n v="87295"/>
    <n v="91016"/>
    <n v="92025"/>
    <n v="67748"/>
    <n v="0"/>
    <n v="0"/>
    <n v="0"/>
    <m/>
    <n v="0"/>
    <s v=""/>
    <n v="4000"/>
  </r>
  <r>
    <x v="1"/>
    <x v="0"/>
    <x v="0"/>
    <s v="Camp Dept."/>
    <x v="1"/>
    <n v="100774"/>
    <s v="I100099999"/>
    <s v="aws-loonshot-prod@krafton.com(451978385977)"/>
    <s v="이태형"/>
    <s v="이태형"/>
    <s v="v"/>
    <m/>
    <m/>
    <m/>
    <m/>
    <m/>
    <m/>
    <m/>
    <m/>
    <n v="48039"/>
    <n v="548703"/>
    <n v="543831"/>
    <n v="579251"/>
    <n v="579251"/>
    <n v="35420"/>
    <n v="6.5130527682313075E-2"/>
    <n v="1000"/>
  </r>
  <r>
    <x v="1"/>
    <x v="0"/>
    <x v="0"/>
    <s v="MS DevOps Team"/>
    <x v="1"/>
    <n v="100774"/>
    <s v="P100030092"/>
    <s v="aws-majesta-pipeline@pubg.com(163742782003)"/>
    <s v="천궁원"/>
    <s v="배시은"/>
    <s v="v"/>
    <m/>
    <m/>
    <m/>
    <m/>
    <m/>
    <m/>
    <m/>
    <m/>
    <n v="276181"/>
    <n v="535436"/>
    <n v="697985"/>
    <n v="959823"/>
    <n v="959823"/>
    <n v="261838"/>
    <n v="0.37513413612040375"/>
    <n v="1000"/>
  </r>
  <r>
    <x v="1"/>
    <x v="0"/>
    <x v="0"/>
    <s v="MS DevOps Team"/>
    <x v="1"/>
    <n v="100774"/>
    <s v="I100099999"/>
    <s v="aws-majesta@bluehole.net(533267412343)"/>
    <s v="천궁원"/>
    <s v="배시은"/>
    <s v="v"/>
    <n v="1453479"/>
    <n v="1826555"/>
    <n v="1561629"/>
    <n v="1629700"/>
    <n v="1858534"/>
    <n v="2714649"/>
    <n v="2596925"/>
    <n v="2752322"/>
    <n v="2884835"/>
    <n v="2959586"/>
    <n v="3512845"/>
    <n v="4355810"/>
    <n v="4355810"/>
    <n v="842965"/>
    <n v="0.23996646592719006"/>
    <n v="1000"/>
  </r>
  <r>
    <x v="1"/>
    <x v="0"/>
    <x v="0"/>
    <s v="KRAFTON HQ"/>
    <x v="1"/>
    <n v="101993"/>
    <s v="I100099999"/>
    <s v="aws-marketplace@krafton.com(272916400024)"/>
    <s v="이윤슬"/>
    <s v="이윤슬"/>
    <m/>
    <m/>
    <m/>
    <m/>
    <m/>
    <m/>
    <m/>
    <m/>
    <m/>
    <m/>
    <n v="11353"/>
    <n v="3828"/>
    <n v="43103061"/>
    <n v="43103061"/>
    <n v="43099233"/>
    <n v="11258.942789968653"/>
    <n v="1000"/>
  </r>
  <r>
    <x v="1"/>
    <x v="0"/>
    <x v="10"/>
    <s v="Valor Core Tech Team"/>
    <x v="15"/>
    <n v="100415"/>
    <s v="P100020081"/>
    <s v="aws-msn-valor-prod@pubg.com(061309713406)"/>
    <s v="송영재"/>
    <s v="송영재"/>
    <s v="v"/>
    <m/>
    <m/>
    <m/>
    <m/>
    <n v="46272"/>
    <n v="469680"/>
    <n v="1287275"/>
    <n v="4005361"/>
    <n v="4938647"/>
    <n v="4348298"/>
    <n v="4418959"/>
    <n v="6171472"/>
    <n v="6171472"/>
    <n v="1752513"/>
    <n v="0.39658955876259544"/>
    <n v="1500"/>
  </r>
  <r>
    <x v="1"/>
    <x v="0"/>
    <x v="22"/>
    <s v="Olive Game Development Team"/>
    <x v="1"/>
    <n v="101465"/>
    <s v="I100099999"/>
    <s v="aws-olivetree-project@krafton.com(831974769705)"/>
    <s v="이지운"/>
    <s v="이지운"/>
    <s v="v"/>
    <m/>
    <m/>
    <m/>
    <m/>
    <m/>
    <m/>
    <m/>
    <n v="19309"/>
    <n v="210145"/>
    <n v="250984"/>
    <n v="783529"/>
    <n v="1142372"/>
    <n v="1142372"/>
    <n v="358843"/>
    <n v="0.45798304848959004"/>
    <n v="1000"/>
  </r>
  <r>
    <x v="1"/>
    <x v="0"/>
    <x v="22"/>
    <s v="Olive Game Development Team"/>
    <x v="1"/>
    <n v="101465"/>
    <s v="I100099999"/>
    <s v="aws-olivetreewebsite-project@olivetreegames.com(429851271053)"/>
    <s v="이지운"/>
    <s v="이지운"/>
    <s v="v"/>
    <m/>
    <m/>
    <m/>
    <m/>
    <m/>
    <m/>
    <m/>
    <m/>
    <m/>
    <m/>
    <n v="12927"/>
    <n v="18984"/>
    <n v="18984"/>
    <n v="6057"/>
    <n v="0.46855418890693895"/>
    <n v="1000"/>
  </r>
  <r>
    <x v="1"/>
    <x v="0"/>
    <x v="23"/>
    <s v="OCL GW Server Team"/>
    <x v="24"/>
    <n v="100212"/>
    <e v="#N/A"/>
    <s v="aws-omni-gw-project@krafton.com(023182678822)"/>
    <s v="강동혁"/>
    <s v="강동혁"/>
    <s v="v"/>
    <m/>
    <m/>
    <m/>
    <m/>
    <n v="808"/>
    <n v="14506"/>
    <n v="16318"/>
    <n v="12535"/>
    <n v="13166"/>
    <n v="13112"/>
    <n v="11112"/>
    <n v="13060"/>
    <n v="13060"/>
    <n v="1948"/>
    <n v="0.17530597552195826"/>
    <n v="3300"/>
  </r>
  <r>
    <x v="1"/>
    <x v="6"/>
    <x v="12"/>
    <s v="OVDR Platform Engineering Dept"/>
    <x v="6"/>
    <n v="100774"/>
    <e v="#N/A"/>
    <s v="aws-ovdr-sandbox@krafton.com(650251727998)"/>
    <n v="0"/>
    <s v="이제우"/>
    <m/>
    <n v="5823"/>
    <n v="6573"/>
    <n v="14392"/>
    <n v="6229"/>
    <n v="27400"/>
    <n v="20064"/>
    <n v="10951"/>
    <n v="10492"/>
    <n v="9156"/>
    <n v="11221"/>
    <n v="9661"/>
    <n v="8402"/>
    <n v="8402"/>
    <n v="-1259"/>
    <n v="-0.13031777248732015"/>
    <e v="#N/A"/>
  </r>
  <r>
    <x v="1"/>
    <x v="0"/>
    <x v="2"/>
    <s v="PUBG Marketing Team 1"/>
    <x v="16"/>
    <n v="100037"/>
    <s v="I100099999"/>
    <s v="aws-pbb-ses@pubg.com(698135531667)"/>
    <s v="유해찬"/>
    <s v="유해찬"/>
    <m/>
    <m/>
    <m/>
    <m/>
    <m/>
    <m/>
    <m/>
    <m/>
    <n v="18566"/>
    <n v="8879"/>
    <n v="14239"/>
    <n v="12193"/>
    <n v="4666"/>
    <n v="4666"/>
    <n v="-7527"/>
    <n v="-0.61732141392602313"/>
    <n v="1000"/>
  </r>
  <r>
    <x v="1"/>
    <x v="2"/>
    <x v="6"/>
    <s v="AI Research Center"/>
    <x v="1"/>
    <e v="#N/A"/>
    <e v="#N/A"/>
    <s v="aws-physical-ai-project@krafton.com(636812143498)"/>
    <s v="이영도"/>
    <s v="이영도"/>
    <m/>
    <m/>
    <m/>
    <n v="242092"/>
    <n v="397985"/>
    <n v="146075"/>
    <n v="143845"/>
    <n v="147807"/>
    <n v="151770"/>
    <n v="148401"/>
    <n v="149410"/>
    <n v="144387"/>
    <n v="173764"/>
    <n v="173764"/>
    <n v="29377"/>
    <n v="0.2034601453039401"/>
    <n v="1000"/>
  </r>
  <r>
    <x v="1"/>
    <x v="0"/>
    <x v="0"/>
    <s v="GPSI Team"/>
    <x v="1"/>
    <n v="101465"/>
    <s v="I100099999"/>
    <s v="aws-playtest-project@krafton.com(898940391531)"/>
    <s v="이채영"/>
    <s v="이채영"/>
    <m/>
    <m/>
    <m/>
    <m/>
    <m/>
    <m/>
    <m/>
    <m/>
    <m/>
    <m/>
    <n v="11752"/>
    <n v="3824"/>
    <n v="7922"/>
    <n v="7922"/>
    <n v="4098"/>
    <n v="1.0716527196652719"/>
    <n v="1000"/>
  </r>
  <r>
    <x v="1"/>
    <x v="0"/>
    <x v="0"/>
    <s v="Publishing Platform Div."/>
    <x v="2"/>
    <e v="#N/A"/>
    <e v="#N/A"/>
    <s v="aws-ppd-ai@krafton.com(831635639393)"/>
    <s v="김시훈"/>
    <s v="김시훈"/>
    <s v="v"/>
    <m/>
    <m/>
    <m/>
    <m/>
    <m/>
    <m/>
    <m/>
    <m/>
    <m/>
    <n v="45112"/>
    <n v="948054"/>
    <n v="869213"/>
    <n v="869213"/>
    <n v="-78841"/>
    <n v="-8.3160874802490153E-2"/>
    <n v="1000"/>
  </r>
  <r>
    <x v="1"/>
    <x v="0"/>
    <x v="0"/>
    <s v="Publishing Platform PM Dept."/>
    <x v="2"/>
    <n v="101315"/>
    <s v="I100090817"/>
    <s v="aws-ppm-project@krafton.com(619042035740)"/>
    <s v="서강석"/>
    <s v="서강석"/>
    <s v="v"/>
    <m/>
    <m/>
    <m/>
    <m/>
    <m/>
    <m/>
    <m/>
    <m/>
    <m/>
    <m/>
    <n v="110982"/>
    <n v="282067"/>
    <n v="282067"/>
    <n v="171085"/>
    <n v="1.541556288407129"/>
    <n v="1000"/>
  </r>
  <r>
    <x v="1"/>
    <x v="0"/>
    <x v="24"/>
    <s v="ORN Game Design &amp; Production Team"/>
    <x v="25"/>
    <e v="#N/A"/>
    <s v="P100010146"/>
    <s v="aws-project-orion@krafton.com(691210492244)"/>
    <s v="김영제"/>
    <s v="김영제"/>
    <s v="v"/>
    <m/>
    <m/>
    <m/>
    <m/>
    <m/>
    <m/>
    <m/>
    <m/>
    <m/>
    <n v="370274"/>
    <n v="1789499"/>
    <n v="1348023"/>
    <n v="1348023"/>
    <n v="-441476"/>
    <n v="-0.24670368633902562"/>
    <n v="1000"/>
  </r>
  <r>
    <x v="1"/>
    <x v="0"/>
    <x v="0"/>
    <s v="Player Support Team"/>
    <x v="1"/>
    <n v="101721"/>
    <s v="P100010066"/>
    <s v="aws-ps-project@krafton.com(072152843459)"/>
    <s v="최병욱"/>
    <s v="최병욱"/>
    <s v="v"/>
    <m/>
    <m/>
    <n v="6795"/>
    <n v="2306"/>
    <n v="719896"/>
    <n v="2405786"/>
    <n v="1280932"/>
    <n v="327253"/>
    <n v="493898"/>
    <n v="639720"/>
    <n v="531238"/>
    <n v="708485"/>
    <n v="708485"/>
    <n v="177247"/>
    <n v="0.33364894830565583"/>
    <n v="1000"/>
  </r>
  <r>
    <x v="1"/>
    <x v="0"/>
    <x v="2"/>
    <s v="Translation Team 2"/>
    <x v="1"/>
    <n v="100212"/>
    <s v="I100099999"/>
    <s v="aws-pstd-cloud@pubg.com(700388609892)"/>
    <s v="이경호"/>
    <s v="이경호"/>
    <s v="v"/>
    <m/>
    <m/>
    <m/>
    <m/>
    <m/>
    <m/>
    <m/>
    <m/>
    <n v="13391"/>
    <n v="6138"/>
    <n v="18239"/>
    <n v="26826"/>
    <n v="26826"/>
    <n v="8587"/>
    <n v="0.4708043204123033"/>
    <n v="1000"/>
  </r>
  <r>
    <x v="1"/>
    <x v="0"/>
    <x v="2"/>
    <s v="Game Security Engineering Dept."/>
    <x v="26"/>
    <n v="100414"/>
    <s v="P100030014"/>
    <s v="aws-pubg-ad-ml-project@pubg.com(495599767820)"/>
    <s v="박종민"/>
    <s v="박종민"/>
    <m/>
    <n v="34603"/>
    <n v="35794"/>
    <n v="43351"/>
    <n v="43463"/>
    <n v="59076"/>
    <n v="63778"/>
    <n v="25226"/>
    <n v="24644"/>
    <n v="28469"/>
    <n v="44045"/>
    <n v="44879"/>
    <n v="45251"/>
    <n v="45251"/>
    <n v="372"/>
    <n v="8.2889547449809496E-3"/>
    <n v="1000"/>
  </r>
  <r>
    <x v="1"/>
    <x v="0"/>
    <x v="2"/>
    <s v="MS DevOps Team"/>
    <x v="1"/>
    <n v="400030"/>
    <e v="#N/A"/>
    <s v="aws-pubg-arc-dev-01@pubg.com(915848750654)"/>
    <s v="이민기"/>
    <s v="최보성"/>
    <s v="v"/>
    <m/>
    <m/>
    <n v="8364"/>
    <n v="2179133"/>
    <n v="3148632"/>
    <n v="2073595"/>
    <n v="2387489"/>
    <n v="3491666"/>
    <n v="9158234"/>
    <n v="11483484"/>
    <n v="7074010"/>
    <n v="5855349"/>
    <n v="5855349"/>
    <n v="-1218661"/>
    <n v="-0.17227301064035816"/>
    <n v="1000"/>
  </r>
  <r>
    <x v="1"/>
    <x v="0"/>
    <x v="2"/>
    <s v="MS DevOps Team"/>
    <x v="1"/>
    <n v="100424"/>
    <s v="I100099999"/>
    <s v="aws-pubg-arc-manager@pubg.com(914194815949)"/>
    <s v="천궁원"/>
    <s v="최보성"/>
    <s v="v"/>
    <m/>
    <n v="2629"/>
    <n v="12687"/>
    <n v="153133"/>
    <n v="1931348"/>
    <n v="1015628"/>
    <n v="1051189"/>
    <n v="1004162"/>
    <n v="1757269"/>
    <n v="2648792"/>
    <n v="3648860"/>
    <n v="3655654"/>
    <n v="3655654"/>
    <n v="6794"/>
    <n v="1.8619514040001536E-3"/>
    <n v="1000"/>
  </r>
  <r>
    <x v="1"/>
    <x v="0"/>
    <x v="2"/>
    <s v="MS DevOps Team"/>
    <x v="27"/>
    <n v="150107"/>
    <s v="P100020081"/>
    <s v="aws-pubg-arc-prod-01@krafton.com(038715113116)"/>
    <s v="이민기"/>
    <s v="이민기"/>
    <s v="v"/>
    <m/>
    <m/>
    <m/>
    <m/>
    <m/>
    <m/>
    <m/>
    <m/>
    <m/>
    <n v="10391066"/>
    <n v="28782929"/>
    <n v="25601721"/>
    <n v="25601721"/>
    <n v="-3181208"/>
    <n v="-0.11052412351779765"/>
    <n v="1000"/>
  </r>
  <r>
    <x v="1"/>
    <x v="0"/>
    <x v="2"/>
    <s v="MS DevOps Team"/>
    <x v="1"/>
    <n v="101505"/>
    <s v="I100099999"/>
    <s v="aws-pubg-arc-stg-01@pubg.com(629649838776)"/>
    <s v="천궁원"/>
    <s v="최보성"/>
    <s v="v"/>
    <n v="1144"/>
    <n v="3080"/>
    <n v="13352"/>
    <n v="5945"/>
    <n v="12206"/>
    <n v="9773"/>
    <n v="10272"/>
    <n v="10926"/>
    <n v="9838"/>
    <n v="8025937"/>
    <n v="10499812"/>
    <n v="11074163"/>
    <n v="11074163"/>
    <n v="574351"/>
    <n v="5.4701074647812743E-2"/>
    <n v="1000"/>
  </r>
  <r>
    <x v="1"/>
    <x v="0"/>
    <x v="2"/>
    <s v="Adrenaline Rush Lab Unit"/>
    <x v="1"/>
    <n v="105019"/>
    <s v="I100099999"/>
    <s v="aws-pubg-c3-dev-01@pubg.com(747273371327)"/>
    <s v="이민기"/>
    <s v="Delete"/>
    <s v="v"/>
    <m/>
    <m/>
    <n v="7597"/>
    <n v="1246"/>
    <n v="11253"/>
    <n v="8580"/>
    <n v="9106"/>
    <n v="9891"/>
    <n v="9693"/>
    <n v="11759"/>
    <n v="10028"/>
    <n v="3786"/>
    <n v="3786"/>
    <n v="-6242"/>
    <n v="-0.62245712006382126"/>
    <n v="1000"/>
  </r>
  <r>
    <x v="1"/>
    <x v="0"/>
    <x v="2"/>
    <s v="Adrenaline Rush Lab Unit"/>
    <x v="1"/>
    <n v="101323"/>
    <s v="I100099999"/>
    <s v="aws-pubg-c3-manager@pubg.com(334143579308)"/>
    <s v="천궁원"/>
    <s v="Delete"/>
    <s v="v"/>
    <m/>
    <n v="2272"/>
    <n v="12277"/>
    <n v="57418"/>
    <n v="516365"/>
    <n v="740922"/>
    <n v="759211"/>
    <n v="939650"/>
    <n v="1306065"/>
    <n v="944945"/>
    <n v="534149"/>
    <n v="119915"/>
    <n v="119915"/>
    <n v="-414234"/>
    <n v="-0.77550271553442951"/>
    <n v="1000"/>
  </r>
  <r>
    <x v="1"/>
    <x v="0"/>
    <x v="2"/>
    <s v="Adrenaline Rush Lab Unit"/>
    <x v="1"/>
    <n v="100774"/>
    <s v="I100099999"/>
    <s v="aws-pubg-c3-project@krafton.com(879381264705)"/>
    <s v="이민기"/>
    <s v="Delete"/>
    <s v="v"/>
    <n v="1753388"/>
    <n v="2690005"/>
    <n v="2726179"/>
    <n v="3352465"/>
    <n v="4295867"/>
    <n v="6119366"/>
    <n v="8442854"/>
    <n v="11250617"/>
    <n v="15876493"/>
    <n v="13780400"/>
    <n v="8447415"/>
    <n v="1966066"/>
    <n v="1966066"/>
    <n v="-6481349"/>
    <n v="-0.76725826776593786"/>
    <n v="1000"/>
  </r>
  <r>
    <x v="1"/>
    <x v="0"/>
    <x v="2"/>
    <s v="Adrenaline Rush Lab Unit"/>
    <x v="1"/>
    <n v="101269"/>
    <s v="P100030103"/>
    <s v="aws-pubg-c3-stg-01@pubg.com(631069189736)"/>
    <s v="천궁원"/>
    <s v="Delete"/>
    <s v="v"/>
    <n v="1121"/>
    <n v="2732"/>
    <n v="12875"/>
    <n v="5807"/>
    <n v="10844"/>
    <n v="8419"/>
    <n v="8841"/>
    <n v="9560"/>
    <n v="9333"/>
    <n v="11430"/>
    <n v="9802"/>
    <n v="3647"/>
    <n v="3647"/>
    <n v="-6155"/>
    <n v="-0.62793307488267702"/>
    <n v="1000"/>
  </r>
  <r>
    <x v="1"/>
    <x v="0"/>
    <x v="2"/>
    <s v="MS DevOps Team"/>
    <x v="1"/>
    <n v="101315"/>
    <s v="I100090817"/>
    <s v="aws-pubg-majesta-stg-01@pubg.com(842517499550)"/>
    <s v="천궁원"/>
    <s v="배시은"/>
    <s v="v"/>
    <n v="1121"/>
    <n v="2729"/>
    <n v="13443"/>
    <n v="5929"/>
    <n v="11187"/>
    <n v="8609"/>
    <n v="9016"/>
    <n v="9783"/>
    <n v="8730"/>
    <n v="10685"/>
    <n v="9295"/>
    <n v="7912"/>
    <n v="7912"/>
    <n v="-1383"/>
    <n v="-0.14878967186659495"/>
    <n v="1000"/>
  </r>
  <r>
    <x v="1"/>
    <x v="0"/>
    <x v="2"/>
    <s v="IT Cost Engineering Part"/>
    <x v="17"/>
    <n v="101747"/>
    <s v="I100099999"/>
    <s v="aws-pubg-mobile-global@pubg.com(889174276570)"/>
    <s v="심재한"/>
    <s v="심재한"/>
    <m/>
    <m/>
    <m/>
    <m/>
    <n v="14139"/>
    <n v="33528"/>
    <n v="14781"/>
    <n v="9880"/>
    <n v="10606"/>
    <n v="9597"/>
    <n v="11566"/>
    <n v="2186718"/>
    <n v="84530"/>
    <n v="84530"/>
    <n v="-2102188"/>
    <n v="-0.96134389528050712"/>
    <n v="1000"/>
  </r>
  <r>
    <x v="1"/>
    <x v="0"/>
    <x v="2"/>
    <s v="PalM Unit"/>
    <x v="1"/>
    <e v="#N/A"/>
    <e v="#N/A"/>
    <s v="aws-pubg-np-project@krafton.com(273354649925)"/>
    <s v="천궁원"/>
    <s v="이민기"/>
    <s v="v"/>
    <n v="4119037"/>
    <n v="4199974"/>
    <n v="7050561"/>
    <n v="9407340"/>
    <n v="10077469"/>
    <n v="22315434"/>
    <n v="51770159"/>
    <n v="54319492"/>
    <n v="34118003"/>
    <n v="17664118"/>
    <n v="14840340"/>
    <n v="18804084"/>
    <n v="18804084"/>
    <n v="3963744"/>
    <n v="0.2670925329204048"/>
    <n v="1000"/>
  </r>
  <r>
    <x v="1"/>
    <x v="0"/>
    <x v="2"/>
    <s v="PUBG PC&amp;Console Dev Div."/>
    <x v="5"/>
    <n v="100212"/>
    <s v="P100010012"/>
    <s v="aws-pubg-odapi@bluehole.net(731155034380)"/>
    <s v="김정헌"/>
    <s v="최준석"/>
    <m/>
    <n v="18381335"/>
    <n v="13647032"/>
    <n v="15848904"/>
    <n v="16235703"/>
    <n v="15168502"/>
    <n v="13902869"/>
    <n v="14490754"/>
    <n v="14716389"/>
    <n v="15767097"/>
    <n v="15621198"/>
    <n v="13658792"/>
    <n v="18760835"/>
    <n v="18760835"/>
    <n v="5102043"/>
    <n v="0.37353544881567857"/>
    <n v="1000"/>
  </r>
  <r>
    <x v="1"/>
    <x v="0"/>
    <x v="2"/>
    <s v="PalM Unit"/>
    <x v="1"/>
    <n v="100774"/>
    <s v="I100099999"/>
    <s v="aws-pubg-palm-dev-01@pubg.com(214198970949)"/>
    <s v="이민기"/>
    <s v="이민기"/>
    <s v="v"/>
    <m/>
    <m/>
    <n v="7622"/>
    <n v="1324"/>
    <n v="280202"/>
    <n v="1699803"/>
    <n v="1952037"/>
    <n v="1075146"/>
    <n v="37716"/>
    <n v="38026"/>
    <n v="35579"/>
    <n v="1009298"/>
    <n v="1009298"/>
    <n v="973719"/>
    <n v="27.367801231063268"/>
    <n v="1000"/>
  </r>
  <r>
    <x v="1"/>
    <x v="0"/>
    <x v="2"/>
    <s v="PalM Unit"/>
    <x v="1"/>
    <e v="#N/A"/>
    <e v="#N/A"/>
    <s v="aws-pubg-palm-manager@pubg.com(568619625254)"/>
    <s v="천궁원"/>
    <s v="이민기"/>
    <s v="v"/>
    <m/>
    <n v="4699"/>
    <n v="591628"/>
    <n v="926853"/>
    <n v="1068993"/>
    <n v="1687907"/>
    <n v="2716587"/>
    <n v="2923758"/>
    <n v="2317672"/>
    <n v="1766080"/>
    <n v="1729355"/>
    <n v="2543752"/>
    <n v="2543752"/>
    <n v="814397"/>
    <n v="0.4709252871735416"/>
    <n v="1000"/>
  </r>
  <r>
    <x v="1"/>
    <x v="0"/>
    <x v="2"/>
    <s v="PalM Unit"/>
    <x v="1"/>
    <e v="#N/A"/>
    <e v="#N/A"/>
    <s v="aws-pubg-palm-stg-01@pubg.com(350755724755)"/>
    <s v="천궁원"/>
    <s v="이민기"/>
    <s v="v"/>
    <n v="1480"/>
    <n v="17697"/>
    <n v="14589"/>
    <n v="6018"/>
    <n v="12256"/>
    <n v="9754"/>
    <n v="10218"/>
    <n v="10980"/>
    <n v="9901"/>
    <n v="12135"/>
    <n v="10267"/>
    <n v="9026"/>
    <n v="9026"/>
    <n v="-1241"/>
    <n v="-0.12087269893834615"/>
    <n v="1000"/>
  </r>
  <r>
    <x v="1"/>
    <x v="0"/>
    <x v="2"/>
    <s v="KRAFTON HQ"/>
    <x v="1"/>
    <e v="#N/A"/>
    <e v="#N/A"/>
    <s v="aws-pubg-qdev@pubg.com(442897381348)"/>
    <s v="김승훈"/>
    <s v="김승훈"/>
    <m/>
    <m/>
    <m/>
    <m/>
    <n v="10892"/>
    <n v="12297"/>
    <n v="8289"/>
    <n v="9024"/>
    <n v="9770"/>
    <n v="8711"/>
    <n v="10786"/>
    <n v="9145"/>
    <n v="7961"/>
    <n v="7961"/>
    <n v="-1184"/>
    <n v="-0.12946965554948059"/>
    <n v="1000"/>
  </r>
  <r>
    <x v="1"/>
    <x v="0"/>
    <x v="2"/>
    <s v="MS DevOps Team"/>
    <x v="28"/>
    <n v="101451"/>
    <s v="I100099999"/>
    <s v="aws-pubg-uropa-dev-01@pubg.com(854575156645)"/>
    <s v="천궁원"/>
    <s v="최보성"/>
    <s v="v"/>
    <m/>
    <m/>
    <n v="8135"/>
    <n v="1286"/>
    <n v="11236"/>
    <n v="8509"/>
    <n v="8972"/>
    <n v="9788"/>
    <n v="3953283"/>
    <n v="8174320"/>
    <n v="5856517"/>
    <n v="9139132"/>
    <n v="9139132"/>
    <n v="3282615"/>
    <n v="0.56050635556935979"/>
    <n v="1000"/>
  </r>
  <r>
    <x v="1"/>
    <x v="0"/>
    <x v="2"/>
    <s v="MS DevOps Team"/>
    <x v="1"/>
    <n v="101940"/>
    <s v="I100099999"/>
    <s v="aws-pubg-uropa-manager@pubg.com(039287067346)"/>
    <s v="천궁원"/>
    <s v="최보성"/>
    <s v="v"/>
    <m/>
    <n v="2259"/>
    <n v="12304"/>
    <n v="122007"/>
    <n v="1861555"/>
    <n v="3909368"/>
    <n v="1495136"/>
    <n v="1116619"/>
    <n v="1708271"/>
    <n v="2543706"/>
    <n v="1798915"/>
    <n v="2837934"/>
    <n v="2837934"/>
    <n v="1039019"/>
    <n v="0.57758093072768868"/>
    <n v="1000"/>
  </r>
  <r>
    <x v="1"/>
    <x v="0"/>
    <x v="2"/>
    <s v="MS DevOps Team"/>
    <x v="28"/>
    <n v="100009"/>
    <s v="I100099999"/>
    <s v="aws-pubg-uropa-prod-01@krafton.com(006805626322)"/>
    <s v="이민기"/>
    <s v="이민기"/>
    <s v="v"/>
    <m/>
    <m/>
    <m/>
    <m/>
    <m/>
    <m/>
    <m/>
    <m/>
    <m/>
    <n v="12173"/>
    <n v="3593"/>
    <n v="9324"/>
    <n v="9324"/>
    <n v="5731"/>
    <n v="1.595045922627331"/>
    <n v="1000"/>
  </r>
  <r>
    <x v="1"/>
    <x v="0"/>
    <x v="2"/>
    <s v="MS DevOps Team"/>
    <x v="1"/>
    <n v="101269"/>
    <s v="I100099999"/>
    <s v="aws-pubg-uropa-stg-01@pubg.com(473833401781)"/>
    <s v="천궁원"/>
    <s v="최보성"/>
    <s v="v"/>
    <n v="1121"/>
    <n v="2728"/>
    <n v="13448"/>
    <n v="5891"/>
    <n v="11328"/>
    <n v="8822"/>
    <n v="9210"/>
    <n v="9988"/>
    <n v="9762"/>
    <n v="4179170"/>
    <n v="1468613"/>
    <n v="3395607"/>
    <n v="3395607"/>
    <n v="1926994"/>
    <n v="1.3121183048223051"/>
    <n v="1000"/>
  </r>
  <r>
    <x v="1"/>
    <x v="0"/>
    <x v="2"/>
    <s v="PUBG PC&amp;Console Dev Div."/>
    <x v="5"/>
    <n v="100414"/>
    <s v="P100010012"/>
    <s v="aws-pubgstudios-central@pubg.com(038462770692)"/>
    <s v="김정헌"/>
    <s v="최준석"/>
    <m/>
    <n v="5436"/>
    <n v="6212"/>
    <n v="295985"/>
    <n v="1515575"/>
    <n v="1859655"/>
    <n v="3920082"/>
    <n v="5254058"/>
    <n v="7813616"/>
    <n v="9213329"/>
    <n v="7988074"/>
    <n v="7646568"/>
    <n v="11042279"/>
    <n v="11042279"/>
    <n v="3395711"/>
    <n v="0.44408301868236832"/>
    <n v="1000"/>
  </r>
  <r>
    <x v="1"/>
    <x v="0"/>
    <x v="2"/>
    <s v="Translation Team 2"/>
    <x v="1"/>
    <n v="100037"/>
    <s v="I100099999"/>
    <s v="aws-pubgtd-automation@bluehole.net(229951847377)"/>
    <s v="이경호"/>
    <s v="Delete"/>
    <s v="v"/>
    <n v="5428"/>
    <n v="6175"/>
    <n v="13978"/>
    <n v="5923"/>
    <n v="3198"/>
    <m/>
    <m/>
    <m/>
    <n v="0"/>
    <n v="0"/>
    <n v="0"/>
    <n v="0"/>
    <m/>
    <n v="0"/>
    <s v=""/>
    <n v="1000"/>
  </r>
  <r>
    <x v="1"/>
    <x v="0"/>
    <x v="0"/>
    <s v="Publishing QA Team 1"/>
    <x v="1"/>
    <n v="290008"/>
    <s v="I100099999"/>
    <s v="aws-publishing-qa@krfaton.com(512692426877)"/>
    <s v="양준식"/>
    <s v="양준식"/>
    <s v="v"/>
    <m/>
    <m/>
    <m/>
    <m/>
    <m/>
    <m/>
    <m/>
    <m/>
    <n v="24690"/>
    <n v="31421"/>
    <n v="43355"/>
    <n v="98001"/>
    <n v="98001"/>
    <n v="54646"/>
    <n v="1.2604313228001385"/>
    <n v="1000"/>
  </r>
  <r>
    <x v="1"/>
    <x v="0"/>
    <x v="0"/>
    <s v="Platform Management Team"/>
    <x v="1"/>
    <e v="#N/A"/>
    <e v="#N/A"/>
    <s v="aws-qa-project@krafton.com(500294430830)"/>
    <s v="김수진"/>
    <s v="김수진"/>
    <m/>
    <m/>
    <m/>
    <m/>
    <m/>
    <m/>
    <n v="0"/>
    <n v="2548"/>
    <n v="21744"/>
    <n v="8603"/>
    <n v="10483"/>
    <n v="8969"/>
    <n v="7718"/>
    <n v="7718"/>
    <n v="-1251"/>
    <n v="-0.13948043260118184"/>
    <n v="1000"/>
  </r>
  <r>
    <x v="1"/>
    <x v="0"/>
    <x v="0"/>
    <s v="Publishing Tech PM Part"/>
    <x v="29"/>
    <n v="100561"/>
    <s v="P100010013"/>
    <s v="aws-R3india-stg@krafton.com(571600873674)"/>
    <s v="김정언"/>
    <s v="김정언"/>
    <s v="v"/>
    <n v="597463"/>
    <n v="342858"/>
    <n v="343282"/>
    <n v="251313"/>
    <n v="610024"/>
    <n v="2430250"/>
    <n v="369036"/>
    <n v="347690"/>
    <n v="454752"/>
    <n v="406290"/>
    <n v="280704"/>
    <n v="310181"/>
    <n v="310181"/>
    <n v="29477"/>
    <n v="0.1050109724122207"/>
    <n v="1000"/>
  </r>
  <r>
    <x v="1"/>
    <x v="0"/>
    <x v="0"/>
    <s v="AI Applied Research Dept."/>
    <x v="9"/>
    <n v="100762"/>
    <s v="P100020081"/>
    <s v="aws-rl-project@krafton.com(533267122378)"/>
    <s v="권태환"/>
    <s v="권태환"/>
    <m/>
    <n v="28490244"/>
    <n v="21062169"/>
    <n v="18248643"/>
    <n v="21070856"/>
    <n v="30386976"/>
    <n v="25070220"/>
    <n v="50465830"/>
    <n v="52098241"/>
    <n v="58812021"/>
    <n v="45957739"/>
    <n v="44398725"/>
    <n v="25003106"/>
    <n v="25003106"/>
    <n v="-19395619"/>
    <n v="-0.43685081046809338"/>
    <n v="1000"/>
  </r>
  <r>
    <x v="1"/>
    <x v="3"/>
    <x v="7"/>
    <s v="TechSupport"/>
    <x v="30"/>
    <e v="#N/A"/>
    <e v="#N/A"/>
    <s v="aws-rw-projectA@risingwings.com(905020613622)"/>
    <s v="ProjectA"/>
    <s v="허지웅"/>
    <m/>
    <m/>
    <m/>
    <m/>
    <m/>
    <n v="59656"/>
    <n v="193748"/>
    <n v="248412"/>
    <n v="248954"/>
    <n v="244703"/>
    <n v="183479"/>
    <n v="0"/>
    <n v="0"/>
    <m/>
    <n v="0"/>
    <s v=""/>
    <e v="#N/A"/>
  </r>
  <r>
    <x v="1"/>
    <x v="3"/>
    <x v="7"/>
    <s v="TechSupport"/>
    <x v="6"/>
    <e v="#N/A"/>
    <e v="#N/A"/>
    <s v="aws-rw-projectAegis@risingwings.com(035462351032)"/>
    <n v="0"/>
    <s v="허지웅"/>
    <m/>
    <m/>
    <m/>
    <m/>
    <m/>
    <m/>
    <n v="0"/>
    <n v="474239"/>
    <n v="879255"/>
    <n v="990756"/>
    <n v="1745791"/>
    <n v="1478207"/>
    <n v="1836045"/>
    <n v="1836045"/>
    <n v="357838"/>
    <n v="0.24207570387638538"/>
    <e v="#N/A"/>
  </r>
  <r>
    <x v="1"/>
    <x v="3"/>
    <x v="7"/>
    <s v="RW Tech Support Dept."/>
    <x v="31"/>
    <e v="#N/A"/>
    <e v="#N/A"/>
    <s v="aws-rw-projectel@bluehole.net(637423166880)"/>
    <s v="RW-ProjectEL"/>
    <s v="허지웅"/>
    <m/>
    <n v="4523868"/>
    <n v="2664221"/>
    <n v="3039734"/>
    <n v="3181496"/>
    <n v="5064425"/>
    <n v="3155203"/>
    <n v="2549114"/>
    <n v="505336"/>
    <n v="957591"/>
    <n v="928606"/>
    <n v="832256"/>
    <n v="681422"/>
    <n v="681422"/>
    <n v="-150834"/>
    <n v="-0.1812351007382344"/>
    <e v="#N/A"/>
  </r>
  <r>
    <x v="1"/>
    <x v="0"/>
    <x v="0"/>
    <s v="Security Dept."/>
    <x v="1"/>
    <n v="110024"/>
    <s v="P100020001"/>
    <s v="aws-security-policy-dac-prod@krafton.com(554000693744)"/>
    <s v="홍석범"/>
    <s v="홍석범"/>
    <s v="v"/>
    <m/>
    <m/>
    <m/>
    <m/>
    <n v="10718"/>
    <n v="42846"/>
    <n v="341953"/>
    <n v="1105908"/>
    <n v="5897440"/>
    <n v="7615001"/>
    <n v="6390473"/>
    <n v="7843561"/>
    <n v="7843561"/>
    <n v="1453088"/>
    <n v="0.22738348162960706"/>
    <n v="1000"/>
  </r>
  <r>
    <x v="1"/>
    <x v="0"/>
    <x v="0"/>
    <s v="Security Policy Part"/>
    <x v="1"/>
    <n v="101758"/>
    <s v="I100099999"/>
    <s v="aws-security-policy-test@krafton.com(604325177752)"/>
    <s v="조남원"/>
    <s v="조남원"/>
    <s v="v"/>
    <m/>
    <m/>
    <m/>
    <m/>
    <m/>
    <m/>
    <m/>
    <n v="13078"/>
    <n v="14670"/>
    <n v="16856"/>
    <n v="13249"/>
    <n v="46805"/>
    <n v="46805"/>
    <n v="33556"/>
    <n v="2.532719450524568"/>
    <n v="1000"/>
  </r>
  <r>
    <x v="1"/>
    <x v="0"/>
    <x v="0"/>
    <s v="Publishing Tech PM Part"/>
    <x v="1"/>
    <n v="100415"/>
    <s v="P100010012"/>
    <s v="aws-sed-ptpm@krafton.com(792479605411)"/>
    <s v="김정언"/>
    <s v="김정언"/>
    <s v="v"/>
    <m/>
    <m/>
    <n v="4955"/>
    <n v="614502"/>
    <n v="764256"/>
    <n v="160018"/>
    <n v="436864"/>
    <n v="426021"/>
    <n v="459070"/>
    <n v="461824"/>
    <n v="400797"/>
    <n v="472335"/>
    <n v="472335"/>
    <n v="71538"/>
    <n v="0.17848935995029902"/>
    <n v="1000"/>
  </r>
  <r>
    <x v="1"/>
    <x v="0"/>
    <x v="0"/>
    <s v="DevData Engineering Team"/>
    <x v="1"/>
    <n v="101216"/>
    <s v="I100090817"/>
    <s v="aws-service-close@krafton.com(786684642177)"/>
    <s v="안연주"/>
    <s v="안연주"/>
    <s v="v"/>
    <m/>
    <m/>
    <m/>
    <m/>
    <n v="12557"/>
    <n v="488220"/>
    <n v="982437"/>
    <n v="306400"/>
    <n v="304473"/>
    <n v="304754"/>
    <n v="285358"/>
    <n v="462723"/>
    <n v="462723"/>
    <n v="177365"/>
    <n v="0.6215525760623497"/>
    <n v="1000"/>
  </r>
  <r>
    <x v="1"/>
    <x v="0"/>
    <x v="0"/>
    <s v="DevData Engineering Team"/>
    <x v="32"/>
    <n v="102159"/>
    <s v="I100090817"/>
    <s v="aws-sn2-prod@krafton.com(811725779888)"/>
    <s v="안연주"/>
    <s v="안연주"/>
    <s v="v"/>
    <m/>
    <m/>
    <n v="1161331"/>
    <n v="206336"/>
    <n v="66413"/>
    <n v="99507"/>
    <n v="1049075"/>
    <n v="1018354"/>
    <n v="1056585"/>
    <n v="965739"/>
    <n v="1006846"/>
    <n v="5549136"/>
    <n v="5549136"/>
    <n v="4542290"/>
    <n v="4.5114049219046413"/>
    <n v="1000"/>
  </r>
  <r>
    <x v="1"/>
    <x v="0"/>
    <x v="0"/>
    <s v="DevData Engineering Team"/>
    <x v="32"/>
    <e v="#N/A"/>
    <e v="#N/A"/>
    <s v="aws-sn2-qa@krafton.com(230030983947)"/>
    <s v="안연주"/>
    <s v="안연주"/>
    <s v="v"/>
    <n v="147594"/>
    <n v="1980166"/>
    <n v="5332782"/>
    <n v="4768448"/>
    <n v="23577"/>
    <n v="135957"/>
    <n v="3112919"/>
    <n v="4384740"/>
    <n v="4705714"/>
    <n v="4495378"/>
    <n v="4766146"/>
    <n v="5212521"/>
    <n v="5212521"/>
    <n v="446375"/>
    <n v="9.3655334939382884E-2"/>
    <n v="1000"/>
  </r>
  <r>
    <x v="1"/>
    <x v="0"/>
    <x v="25"/>
    <s v="IN Platform Business Team"/>
    <x v="1"/>
    <n v="110119"/>
    <s v="I100099999"/>
    <s v="aws-swagapp@nautilusmbile.com(259546193919)"/>
    <s v="Amit Hardi"/>
    <s v="Amit Hardi"/>
    <m/>
    <m/>
    <m/>
    <m/>
    <m/>
    <m/>
    <m/>
    <m/>
    <m/>
    <m/>
    <n v="13362"/>
    <n v="1435706"/>
    <n v="4175979"/>
    <n v="4175979"/>
    <n v="2740273"/>
    <n v="1.9086588758422685"/>
    <n v="2900"/>
  </r>
  <r>
    <x v="1"/>
    <x v="5"/>
    <x v="9"/>
    <s v="B_TERA2 R&amp;D Team"/>
    <x v="33"/>
    <n v="100415"/>
    <s v="P100030092"/>
    <s v="aws-t2-dev@bluehole.net(349070093074)"/>
    <s v="한승환"/>
    <s v="한승환"/>
    <s v="v"/>
    <m/>
    <m/>
    <m/>
    <m/>
    <m/>
    <n v="7641"/>
    <n v="3605"/>
    <n v="12074"/>
    <n v="11654"/>
    <n v="14033"/>
    <n v="12128"/>
    <n v="10709"/>
    <n v="10709"/>
    <n v="-1419"/>
    <n v="-0.11700197889182058"/>
    <n v="1100"/>
  </r>
  <r>
    <x v="1"/>
    <x v="0"/>
    <x v="0"/>
    <s v="Talent Acquisition Team"/>
    <x v="1"/>
    <n v="105019"/>
    <s v="I100099999"/>
    <s v="aws-talent-acquisition-team@krafton.com(796973503901)"/>
    <s v="변현지"/>
    <s v="변현지"/>
    <s v="v"/>
    <n v="5459"/>
    <n v="6469"/>
    <n v="14481"/>
    <n v="6505"/>
    <n v="11663"/>
    <n v="9349"/>
    <n v="9284"/>
    <n v="10678"/>
    <n v="11240"/>
    <n v="11565"/>
    <n v="9877"/>
    <n v="16522"/>
    <n v="16522"/>
    <n v="6645"/>
    <n v="0.67277513415004553"/>
    <n v="1000"/>
  </r>
  <r>
    <x v="1"/>
    <x v="0"/>
    <x v="26"/>
    <s v="TGW IT Team"/>
    <x v="1"/>
    <n v="480004"/>
    <s v="I100099999"/>
    <s v="aws-tango-web@krafton.com(987475141870)"/>
    <s v="안연주"/>
    <s v="안연주"/>
    <s v="v"/>
    <n v="487422"/>
    <n v="859734"/>
    <n v="863859"/>
    <n v="852610"/>
    <n v="859209"/>
    <n v="819580"/>
    <n v="875797"/>
    <n v="865537"/>
    <n v="913051"/>
    <n v="863269"/>
    <n v="766731"/>
    <n v="891036"/>
    <n v="891036"/>
    <n v="124305"/>
    <n v="0.16212335225783228"/>
    <n v="4900"/>
  </r>
  <r>
    <x v="1"/>
    <x v="0"/>
    <x v="2"/>
    <s v="Game Security Engineering Dept."/>
    <x v="28"/>
    <n v="100414"/>
    <s v="P100010012"/>
    <s v="aws-uropa-anticheat-service@pubg.com(954976311480)"/>
    <s v="황범석"/>
    <s v="황범석"/>
    <s v="v"/>
    <n v="1612628"/>
    <n v="1602672"/>
    <n v="1549619"/>
    <n v="1640930"/>
    <n v="1628099"/>
    <n v="1633951"/>
    <n v="1803956"/>
    <n v="1787305"/>
    <n v="1812102"/>
    <n v="1750939"/>
    <n v="1488547"/>
    <n v="1719292"/>
    <n v="1719292"/>
    <n v="230745"/>
    <n v="0.15501358035722082"/>
    <n v="1000"/>
  </r>
  <r>
    <x v="1"/>
    <x v="0"/>
    <x v="0"/>
    <s v="DevData Engineering Team"/>
    <x v="34"/>
    <n v="101269"/>
    <s v="I100099999"/>
    <s v="aws-zeta-prod@krafton.com(494249241819)"/>
    <s v="안연주"/>
    <s v="안연주"/>
    <s v="v"/>
    <m/>
    <m/>
    <m/>
    <m/>
    <m/>
    <m/>
    <m/>
    <n v="4639865"/>
    <n v="337367"/>
    <n v="12054752"/>
    <n v="6879192"/>
    <n v="244822"/>
    <n v="244822"/>
    <n v="-6634370"/>
    <n v="-0.96441122736507423"/>
    <n v="1000"/>
  </r>
  <r>
    <x v="1"/>
    <x v="0"/>
    <x v="0"/>
    <s v="DevData Engineering Team"/>
    <x v="34"/>
    <n v="102096"/>
    <s v="I100090801"/>
    <s v="aws-zeta-qa@krafton.com(633350148323)"/>
    <s v="안연주"/>
    <s v="안연주"/>
    <s v="v"/>
    <n v="17954"/>
    <n v="786948"/>
    <n v="2251252"/>
    <n v="2577413"/>
    <n v="3259350"/>
    <n v="5158343"/>
    <n v="5861986"/>
    <n v="6266277"/>
    <n v="6678906"/>
    <n v="4920593"/>
    <n v="7029427"/>
    <n v="265342"/>
    <n v="265342"/>
    <n v="-6764085"/>
    <n v="-0.962252684322634"/>
    <n v="1000"/>
  </r>
  <r>
    <x v="1"/>
    <x v="0"/>
    <x v="0"/>
    <s v="DevData Engineering Team"/>
    <x v="8"/>
    <e v="#N/A"/>
    <e v="#N/A"/>
    <s v="aws-zoiworld-qa@krafton.com(150239773202)"/>
    <s v="안연주"/>
    <s v="안연주"/>
    <s v="v"/>
    <m/>
    <m/>
    <m/>
    <m/>
    <m/>
    <n v="7070"/>
    <n v="467696"/>
    <n v="1051493"/>
    <n v="1460019"/>
    <n v="2097111"/>
    <n v="2843218"/>
    <n v="1852601"/>
    <n v="1852601"/>
    <n v="-990617"/>
    <n v="-0.34841401538679062"/>
    <n v="1000"/>
  </r>
  <r>
    <x v="1"/>
    <x v="1"/>
    <x v="3"/>
    <n v="0"/>
    <x v="6"/>
    <n v="100810"/>
    <e v="#N/A"/>
    <s v="aws001@adpies.com(542838461536)"/>
    <n v="0"/>
    <n v="0"/>
    <m/>
    <m/>
    <m/>
    <m/>
    <n v="25769575"/>
    <n v="25881979"/>
    <n v="25130570"/>
    <n v="26520566"/>
    <n v="26418486"/>
    <n v="26691780"/>
    <n v="26474500"/>
    <n v="23873735"/>
    <n v="28311969"/>
    <n v="28311969"/>
    <n v="4438234"/>
    <n v="0.18590446781787601"/>
    <e v="#N/A"/>
  </r>
  <r>
    <x v="1"/>
    <x v="1"/>
    <x v="3"/>
    <n v="0"/>
    <x v="6"/>
    <e v="#N/A"/>
    <e v="#N/A"/>
    <s v="aws002@adpies.com(148930221833)"/>
    <n v="0"/>
    <n v="0"/>
    <m/>
    <m/>
    <m/>
    <m/>
    <n v="10195325"/>
    <n v="10254510"/>
    <n v="10229186"/>
    <n v="11118355"/>
    <n v="11159280"/>
    <n v="11306239"/>
    <n v="11186419"/>
    <n v="9463041"/>
    <n v="11145359"/>
    <n v="11145359"/>
    <n v="1682318"/>
    <n v="0.17777773550806766"/>
    <e v="#N/A"/>
  </r>
  <r>
    <x v="1"/>
    <x v="1"/>
    <x v="3"/>
    <n v="0"/>
    <x v="6"/>
    <n v="101712"/>
    <e v="#N/A"/>
    <s v="aws003@adpies.com(298972228563)"/>
    <n v="0"/>
    <n v="0"/>
    <m/>
    <m/>
    <m/>
    <m/>
    <n v="900897"/>
    <n v="897076"/>
    <n v="871353"/>
    <n v="944926"/>
    <n v="929427"/>
    <n v="953233"/>
    <n v="892668"/>
    <n v="766961"/>
    <n v="884094"/>
    <n v="884094"/>
    <n v="117133"/>
    <n v="0.15272354135347169"/>
    <e v="#N/A"/>
  </r>
  <r>
    <x v="1"/>
    <x v="1"/>
    <x v="3"/>
    <n v="0"/>
    <x v="6"/>
    <e v="#N/A"/>
    <e v="#N/A"/>
    <s v="aws004@adpies.com(637423399295)"/>
    <n v="0"/>
    <n v="0"/>
    <m/>
    <m/>
    <m/>
    <m/>
    <n v="2183253"/>
    <n v="2147822"/>
    <n v="2085562"/>
    <n v="2294815"/>
    <n v="2239185"/>
    <n v="2313401"/>
    <n v="2121487"/>
    <n v="1763184"/>
    <n v="2052137"/>
    <n v="2052137"/>
    <n v="288953"/>
    <n v="0.1638813646221835"/>
    <e v="#N/A"/>
  </r>
  <r>
    <x v="1"/>
    <x v="1"/>
    <x v="11"/>
    <n v="0"/>
    <x v="6"/>
    <n v="100024"/>
    <e v="#N/A"/>
    <s v="aws005@adpies.com(959790660922)"/>
    <n v="0"/>
    <n v="0"/>
    <m/>
    <m/>
    <m/>
    <m/>
    <m/>
    <m/>
    <m/>
    <m/>
    <m/>
    <n v="11550"/>
    <n v="155268"/>
    <n v="1090609"/>
    <n v="1371347"/>
    <n v="1371347"/>
    <n v="280738"/>
    <n v="0.25741397696149582"/>
    <e v="#N/A"/>
  </r>
  <r>
    <x v="1"/>
    <x v="0"/>
    <x v="2"/>
    <s v="PUBG PC&amp;Console Dev Div."/>
    <x v="5"/>
    <n v="100033"/>
    <s v="P100030012"/>
    <s v="BHAWS_BRO@bluehole.net(628917336532)"/>
    <s v="김정헌"/>
    <s v="최준석"/>
    <m/>
    <n v="4712030"/>
    <n v="4236873"/>
    <n v="3820745"/>
    <n v="3966196"/>
    <n v="3967383"/>
    <n v="3654372"/>
    <n v="3388768"/>
    <n v="3490510"/>
    <n v="3399585"/>
    <n v="1398520"/>
    <n v="39932"/>
    <n v="36473"/>
    <n v="36473"/>
    <n v="-3459"/>
    <n v="-8.6622257838325153E-2"/>
    <n v="1000"/>
  </r>
  <r>
    <x v="1"/>
    <x v="5"/>
    <x v="9"/>
    <s v="[N/A]TERA"/>
    <x v="35"/>
    <n v="101651"/>
    <s v="I100099999"/>
    <s v="bhaws_da@bluehole.net(218248172704)"/>
    <s v="류현덕"/>
    <s v="안영근"/>
    <s v="v"/>
    <n v="3739744"/>
    <n v="3703676"/>
    <n v="3767571"/>
    <n v="4143783"/>
    <n v="4037664"/>
    <n v="4124630"/>
    <n v="5237935"/>
    <n v="4551990"/>
    <n v="5141418"/>
    <n v="4943169"/>
    <n v="4353760"/>
    <n v="5773347"/>
    <n v="5773347"/>
    <n v="1419587"/>
    <n v="0.32606000330748597"/>
    <n v="1100"/>
  </r>
  <r>
    <x v="1"/>
    <x v="5"/>
    <x v="9"/>
    <s v="[N/A]TERA"/>
    <x v="35"/>
    <n v="101651"/>
    <s v="I100099999"/>
    <s v="bhaws_da2@bluehole.net(456601888123)"/>
    <s v="류현덕"/>
    <s v="안영근"/>
    <s v="v"/>
    <n v="19583"/>
    <n v="19894"/>
    <n v="27562"/>
    <n v="19227"/>
    <n v="25598"/>
    <n v="23403"/>
    <n v="24131"/>
    <n v="25283"/>
    <n v="23664"/>
    <n v="25522"/>
    <n v="23903"/>
    <n v="23416"/>
    <n v="23416"/>
    <n v="-487"/>
    <n v="-2.0374011630339289E-2"/>
    <n v="1100"/>
  </r>
  <r>
    <x v="1"/>
    <x v="0"/>
    <x v="0"/>
    <s v="DevData Engineering Team"/>
    <x v="1"/>
    <e v="#N/A"/>
    <e v="#N/A"/>
    <s v="Bhaws_dbdev@bluehole.net(581185314323)"/>
    <s v="김완건"/>
    <s v="이재혁"/>
    <s v="v"/>
    <n v="627111"/>
    <n v="623446"/>
    <n v="344218"/>
    <n v="247965"/>
    <n v="402041"/>
    <n v="534168"/>
    <n v="14570"/>
    <n v="396474"/>
    <n v="721916"/>
    <n v="762804"/>
    <n v="221569"/>
    <n v="256172"/>
    <n v="256172"/>
    <n v="34603"/>
    <n v="0.15617256926736142"/>
    <n v="1000"/>
  </r>
  <r>
    <x v="1"/>
    <x v="0"/>
    <x v="2"/>
    <s v="PUBG PC&amp;Console Dev Div."/>
    <x v="5"/>
    <n v="490003"/>
    <s v="I100099999"/>
    <s v="bhaws_ginno@bluehole.net(477047828735)"/>
    <s v="한상근"/>
    <s v="최진광"/>
    <s v="v"/>
    <n v="24678804"/>
    <n v="20462935"/>
    <n v="24125481"/>
    <n v="29303096"/>
    <n v="32068584"/>
    <n v="37538230"/>
    <n v="47351548"/>
    <n v="39701920"/>
    <n v="38749746"/>
    <n v="41450087"/>
    <n v="33976422"/>
    <n v="32824768"/>
    <n v="32824768"/>
    <n v="-1151654"/>
    <n v="-3.3895682129213019E-2"/>
    <n v="1000"/>
  </r>
  <r>
    <x v="1"/>
    <x v="0"/>
    <x v="0"/>
    <s v="IT Dept."/>
    <x v="1"/>
    <e v="#N/A"/>
    <s v="I100099999"/>
    <s v="Bhaws_ginnosvn@bluehole.net(377253795420)"/>
    <s v="김재윤"/>
    <s v="김재윤"/>
    <s v="v"/>
    <n v="51668369"/>
    <n v="37650429"/>
    <n v="51462075"/>
    <n v="55087742"/>
    <n v="55489929"/>
    <n v="39726281"/>
    <n v="56436355"/>
    <n v="52936222"/>
    <n v="56280486"/>
    <n v="53503473"/>
    <n v="41783033"/>
    <n v="47053313"/>
    <n v="47053313"/>
    <n v="5270280"/>
    <n v="0.1261344527095484"/>
    <n v="1000"/>
  </r>
  <r>
    <x v="1"/>
    <x v="0"/>
    <x v="0"/>
    <s v="IT Dept."/>
    <x v="1"/>
    <n v="110024"/>
    <s v="P100020001"/>
    <s v="bhaws_intradev@bluehole.net(052342468408)"/>
    <s v="홍성철"/>
    <s v="홍성철"/>
    <s v="v"/>
    <n v="2702626"/>
    <n v="2413144"/>
    <n v="2724369"/>
    <n v="2925096"/>
    <n v="6160042"/>
    <n v="4229761"/>
    <n v="5251411"/>
    <n v="5990606"/>
    <n v="5768000"/>
    <n v="5953764"/>
    <n v="5534626"/>
    <n v="7839587"/>
    <n v="7839587"/>
    <n v="2304961"/>
    <n v="0.41646192534057402"/>
    <n v="1000"/>
  </r>
  <r>
    <x v="1"/>
    <x v="0"/>
    <x v="0"/>
    <s v="IT Dept."/>
    <x v="1"/>
    <n v="101721"/>
    <s v="I100099999"/>
    <s v="bhaws_intraprod@krafton.com(851725237643)"/>
    <s v="홍성철"/>
    <s v="홍성철"/>
    <s v="v"/>
    <n v="441472"/>
    <n v="911247"/>
    <n v="3789379"/>
    <n v="7470943"/>
    <n v="20495839"/>
    <n v="6471825"/>
    <n v="7794808"/>
    <n v="7754440"/>
    <n v="7246481"/>
    <n v="8513695"/>
    <n v="7687465"/>
    <n v="9866195"/>
    <n v="9866195"/>
    <n v="2178730"/>
    <n v="0.28341332285740489"/>
    <n v="1000"/>
  </r>
  <r>
    <x v="1"/>
    <x v="0"/>
    <x v="0"/>
    <s v="IT Dept."/>
    <x v="1"/>
    <n v="100414"/>
    <s v="P100010012"/>
    <s v="bhaws_kissflow@bluehole.net(612237199640)"/>
    <s v="홍성철"/>
    <s v="홍성철"/>
    <s v="v"/>
    <n v="6080"/>
    <n v="6767"/>
    <n v="14914"/>
    <n v="6231"/>
    <n v="14026"/>
    <n v="11604"/>
    <n v="12148"/>
    <n v="12797"/>
    <n v="11344"/>
    <n v="13523"/>
    <n v="11722"/>
    <n v="10100"/>
    <n v="10100"/>
    <n v="-1622"/>
    <n v="-0.13837229141784679"/>
    <n v="1000"/>
  </r>
  <r>
    <x v="1"/>
    <x v="0"/>
    <x v="0"/>
    <s v="L10N Team"/>
    <x v="1"/>
    <n v="100561"/>
    <s v="P100010013"/>
    <s v="bhaws_l10n@bluehole.net(432820731734)"/>
    <s v="김재헌"/>
    <s v="김진희"/>
    <s v="v"/>
    <n v="2534827"/>
    <n v="2515165"/>
    <n v="3039464"/>
    <n v="3468758"/>
    <n v="3209340"/>
    <n v="3328739"/>
    <n v="3650194"/>
    <n v="3604833"/>
    <n v="3684004"/>
    <n v="3564086"/>
    <n v="3245330"/>
    <n v="4070452"/>
    <n v="4070452"/>
    <n v="825122"/>
    <n v="0.25424902860417892"/>
    <n v="1000"/>
  </r>
  <r>
    <x v="1"/>
    <x v="3"/>
    <x v="7"/>
    <s v="RW Tech Support Dept."/>
    <x v="6"/>
    <e v="#N/A"/>
    <e v="#N/A"/>
    <s v="Bhaws_pnix.golf@bluehole.net(352332181309)"/>
    <n v="0"/>
    <s v="허지웅"/>
    <m/>
    <n v="7372523"/>
    <n v="6663145"/>
    <n v="6401510"/>
    <n v="7578300"/>
    <n v="6754683"/>
    <n v="6617121"/>
    <n v="7901566"/>
    <n v="7904281"/>
    <n v="7839956"/>
    <n v="7381642"/>
    <n v="6551862"/>
    <n v="7482801"/>
    <n v="7482801"/>
    <n v="930939"/>
    <n v="0.14208769964935158"/>
    <e v="#N/A"/>
  </r>
  <r>
    <x v="1"/>
    <x v="3"/>
    <x v="7"/>
    <s v="RW Tech Support Dept."/>
    <x v="36"/>
    <n v="101721"/>
    <e v="#N/A"/>
    <s v="bhaws_pnix.realgolf@bluehole.net(026864049464)"/>
    <s v="Real golf"/>
    <s v="허지웅"/>
    <m/>
    <n v="9730258"/>
    <n v="9049275"/>
    <n v="8776586"/>
    <n v="10325290"/>
    <n v="9887917"/>
    <n v="9291345"/>
    <n v="10548345"/>
    <n v="10361783"/>
    <n v="10420552"/>
    <n v="9598463"/>
    <n v="7570294"/>
    <n v="8685209"/>
    <n v="8685209"/>
    <n v="1114915"/>
    <n v="0.14727499354714627"/>
    <e v="#N/A"/>
  </r>
  <r>
    <x v="1"/>
    <x v="3"/>
    <x v="7"/>
    <s v="RW Tech Support Dept."/>
    <x v="6"/>
    <e v="#N/A"/>
    <e v="#N/A"/>
    <s v="Bhaws_pnixgames@bluehole.net(864894785763)"/>
    <n v="0"/>
    <s v="허지웅"/>
    <m/>
    <n v="785182"/>
    <n v="747190"/>
    <n v="883136"/>
    <n v="967776"/>
    <n v="947372"/>
    <n v="1268958"/>
    <n v="1315444"/>
    <n v="1432400"/>
    <n v="1489322"/>
    <n v="1972443"/>
    <n v="1548904"/>
    <n v="1918122"/>
    <n v="1918122"/>
    <n v="369218"/>
    <n v="0.23837371457495107"/>
    <e v="#N/A"/>
  </r>
  <r>
    <x v="1"/>
    <x v="0"/>
    <x v="2"/>
    <s v="PUBG PC&amp;Console Dev Div."/>
    <x v="5"/>
    <e v="#N/A"/>
    <s v="I100099999"/>
    <s v="bhaws_pubgpclitelive@bluehole.net(923284402284)"/>
    <s v="김정헌"/>
    <s v="최준석"/>
    <m/>
    <n v="5012902"/>
    <n v="4846331"/>
    <n v="4785298"/>
    <n v="14830847"/>
    <n v="1557894"/>
    <n v="1539793"/>
    <n v="1592954"/>
    <n v="1636886"/>
    <n v="1613205"/>
    <n v="1161227"/>
    <n v="360559"/>
    <n v="427944"/>
    <n v="427944"/>
    <n v="67385"/>
    <n v="0.18689035636331364"/>
    <n v="1000"/>
  </r>
  <r>
    <x v="1"/>
    <x v="0"/>
    <x v="0"/>
    <s v="Service DevOps Team"/>
    <x v="1"/>
    <n v="100033"/>
    <s v="P100010055"/>
    <s v="bhaws_si@bluehole.net(880227346986)"/>
    <s v="엄기성"/>
    <s v="엄기성"/>
    <m/>
    <n v="2525143"/>
    <n v="2359206"/>
    <n v="1946185"/>
    <n v="2001833"/>
    <n v="2307283"/>
    <n v="2262339"/>
    <n v="1557631"/>
    <n v="1554075"/>
    <n v="2050350"/>
    <n v="3110360"/>
    <n v="2691339"/>
    <n v="3006184"/>
    <n v="3006184"/>
    <n v="314845"/>
    <n v="0.11698451960158122"/>
    <n v="1000"/>
  </r>
  <r>
    <x v="1"/>
    <x v="5"/>
    <x v="9"/>
    <s v="[N/A]TERA"/>
    <x v="35"/>
    <n v="100774"/>
    <s v="I100099999"/>
    <s v="BHAWS_SPDev@bluehole.net(959785605440)"/>
    <s v="이준호"/>
    <s v="이준호"/>
    <s v="v"/>
    <n v="195816"/>
    <n v="193329"/>
    <n v="198935"/>
    <n v="194189"/>
    <n v="206223"/>
    <n v="197728"/>
    <n v="227284"/>
    <n v="210024"/>
    <n v="209063"/>
    <n v="209174"/>
    <n v="191795"/>
    <n v="216897"/>
    <n v="216897"/>
    <n v="25102"/>
    <n v="0.13087932427852655"/>
    <n v="1100"/>
  </r>
  <r>
    <x v="1"/>
    <x v="5"/>
    <x v="9"/>
    <s v="T_Console Service Part"/>
    <x v="35"/>
    <n v="100415"/>
    <s v="I100099999"/>
    <s v="bhaws_teraconsoleps@bluehole.net(569142980887)"/>
    <s v="배인성"/>
    <s v="배인성"/>
    <s v="v"/>
    <n v="18673"/>
    <n v="19408"/>
    <n v="26778"/>
    <n v="18767"/>
    <n v="25900"/>
    <n v="22842"/>
    <n v="24111"/>
    <n v="24685"/>
    <n v="23601"/>
    <n v="25588"/>
    <n v="19249"/>
    <n v="0"/>
    <m/>
    <n v="-19249"/>
    <n v="-1"/>
    <n v="1100"/>
  </r>
  <r>
    <x v="1"/>
    <x v="5"/>
    <x v="9"/>
    <s v="T_Console Service Part"/>
    <x v="35"/>
    <n v="101269"/>
    <s v="I100099999"/>
    <s v="bhaws_teraconsolex@bluehole.net(765398988201)"/>
    <s v="배인성"/>
    <s v="배인성"/>
    <s v="v"/>
    <n v="2496767"/>
    <n v="2460196"/>
    <n v="2493688"/>
    <n v="2539951"/>
    <n v="2530942"/>
    <n v="2444289"/>
    <n v="2436708"/>
    <n v="2499811"/>
    <n v="2499581"/>
    <n v="2510577"/>
    <n v="2435581"/>
    <n v="2634704"/>
    <n v="2634704"/>
    <n v="199123"/>
    <n v="8.17558520944284E-2"/>
    <n v="1100"/>
  </r>
  <r>
    <x v="1"/>
    <x v="5"/>
    <x v="9"/>
    <s v="T_Console Service Part"/>
    <x v="35"/>
    <n v="101758"/>
    <s v="I100099999"/>
    <s v="bhaws_trcs_self@bluehole.net(119070496812)"/>
    <s v="장은진"/>
    <s v="장은진"/>
    <s v="v"/>
    <n v="1018813"/>
    <n v="991461"/>
    <n v="1012156"/>
    <n v="1030814"/>
    <n v="1083186"/>
    <n v="1079183"/>
    <n v="1112293"/>
    <n v="1150312"/>
    <n v="1138815"/>
    <n v="1109295"/>
    <n v="1002180"/>
    <n v="1066680"/>
    <n v="1066680"/>
    <n v="64500"/>
    <n v="6.4359695863018623E-2"/>
    <n v="1100"/>
  </r>
  <r>
    <x v="1"/>
    <x v="0"/>
    <x v="0"/>
    <s v="IT Dept."/>
    <x v="1"/>
    <n v="460005"/>
    <s v="I100099999"/>
    <s v="bhs_swlc@bluehole.net(846451077710)"/>
    <s v="김재윤"/>
    <s v="김재윤"/>
    <s v="v"/>
    <n v="602392"/>
    <n v="589795"/>
    <n v="615934"/>
    <n v="704299"/>
    <n v="755667"/>
    <n v="834702"/>
    <n v="809674"/>
    <n v="945327"/>
    <n v="876932"/>
    <n v="1025730"/>
    <n v="886245"/>
    <n v="1189569"/>
    <n v="1189569"/>
    <n v="303324"/>
    <n v="0.34225750215798112"/>
    <n v="1000"/>
  </r>
  <r>
    <x v="1"/>
    <x v="0"/>
    <x v="0"/>
    <s v="Infra div."/>
    <x v="1"/>
    <n v="101609"/>
    <s v="P100010048"/>
    <s v="bluehole_payer@gscdn.com(242807594737)"/>
    <s v="이윤슬"/>
    <s v="이윤슬"/>
    <m/>
    <m/>
    <m/>
    <n v="2941773"/>
    <n v="1554411"/>
    <n v="1615472"/>
    <n v="2027184"/>
    <n v="1327705"/>
    <n v="2435841"/>
    <n v="2470086"/>
    <n v="2488596"/>
    <n v="2512606"/>
    <n v="2688175"/>
    <n v="2688175"/>
    <n v="175569"/>
    <n v="6.9875260984014212E-2"/>
    <n v="1000"/>
  </r>
  <r>
    <x v="1"/>
    <x v="10"/>
    <x v="21"/>
    <s v="5ml Tech Dept"/>
    <x v="6"/>
    <n v="100038"/>
    <e v="#N/A"/>
    <s v="developers@5minlab.com(798290317353)"/>
    <n v="0"/>
    <s v="유지현"/>
    <m/>
    <n v="100839"/>
    <n v="95408"/>
    <n v="85998"/>
    <n v="91379"/>
    <n v="95239"/>
    <n v="74749"/>
    <n v="88579"/>
    <n v="1419982"/>
    <n v="2540779"/>
    <n v="2055520"/>
    <n v="1856965"/>
    <n v="2471930"/>
    <n v="2471930"/>
    <n v="614965"/>
    <n v="0.3311667155816076"/>
    <n v="4000"/>
  </r>
  <r>
    <x v="1"/>
    <x v="0"/>
    <x v="0"/>
    <s v="KRAFTON HQ"/>
    <x v="1"/>
    <n v="100677"/>
    <s v="I100099999"/>
    <s v="GPU"/>
    <s v="이윤슬"/>
    <s v="이윤슬"/>
    <m/>
    <m/>
    <m/>
    <m/>
    <m/>
    <m/>
    <m/>
    <m/>
    <m/>
    <n v="-699878760"/>
    <n v="-699878760"/>
    <n v="-699878760"/>
    <n v="-699878760"/>
    <n v="-699878760"/>
    <n v="0"/>
    <n v="0"/>
    <n v="1000"/>
  </r>
  <r>
    <x v="1"/>
    <x v="0"/>
    <x v="0"/>
    <s v="Data Engineering Dept."/>
    <x v="1"/>
    <n v="100025"/>
    <s v="I100090813"/>
    <s v="krafton-data-platform@bluehole.net(783778041225)"/>
    <s v="염화음"/>
    <s v="김시훈"/>
    <s v="v"/>
    <n v="6649430"/>
    <n v="6476228"/>
    <n v="6190826"/>
    <n v="7041066"/>
    <n v="8330087"/>
    <n v="8213724"/>
    <n v="8952499"/>
    <n v="9367099"/>
    <n v="8894925"/>
    <n v="7526502"/>
    <n v="6258784"/>
    <n v="4332280"/>
    <n v="4332280"/>
    <n v="-1926504"/>
    <n v="-0.30780803427630671"/>
    <n v="1000"/>
  </r>
  <r>
    <x v="1"/>
    <x v="0"/>
    <x v="0"/>
    <s v="Publishing Tech PM Part"/>
    <x v="37"/>
    <n v="100355"/>
    <s v="P100010012"/>
    <s v="krafton-dd-live@krafton.com(271459992830)"/>
    <s v="김정언"/>
    <s v="이진호"/>
    <s v="v"/>
    <n v="13591124"/>
    <n v="12718349"/>
    <n v="9018727"/>
    <n v="4575704"/>
    <n v="4625992"/>
    <n v="4588542"/>
    <n v="2241491"/>
    <m/>
    <n v="0"/>
    <n v="0"/>
    <n v="0"/>
    <n v="0"/>
    <m/>
    <n v="0"/>
    <s v=""/>
    <n v="1000"/>
  </r>
  <r>
    <x v="1"/>
    <x v="0"/>
    <x v="0"/>
    <s v="Publishing Tech PM Part"/>
    <x v="1"/>
    <n v="100415"/>
    <s v="I100099999"/>
    <s v="krafton-officialweb-india-prod@krafton.com(471112597609)"/>
    <s v="김정언"/>
    <s v="김정언"/>
    <s v="v"/>
    <n v="1160370"/>
    <n v="1128545"/>
    <n v="1058564"/>
    <n v="1114621"/>
    <n v="1170774"/>
    <n v="1112140"/>
    <n v="1139324"/>
    <n v="1168248"/>
    <n v="1174673"/>
    <n v="1167076"/>
    <n v="1059827"/>
    <n v="1227369"/>
    <n v="1227369"/>
    <n v="167542"/>
    <n v="0.15808429111543676"/>
    <n v="1000"/>
  </r>
  <r>
    <x v="1"/>
    <x v="0"/>
    <x v="0"/>
    <s v="Service DevOps Team"/>
    <x v="38"/>
    <n v="500001"/>
    <s v="I100099999"/>
    <s v="krafton-web-shared-prod@bluehole.net(220852994885)"/>
    <s v="엄기성"/>
    <s v="엄기성"/>
    <m/>
    <n v="55413240"/>
    <n v="49256360"/>
    <n v="43675150"/>
    <n v="46859706"/>
    <n v="46497275"/>
    <n v="45448876"/>
    <n v="49044060"/>
    <n v="49543694"/>
    <n v="65722669"/>
    <n v="53926788"/>
    <n v="46767403"/>
    <n v="52744143"/>
    <n v="52744143"/>
    <n v="5976740"/>
    <n v="0.12779713254550398"/>
    <n v="1000"/>
  </r>
  <r>
    <x v="1"/>
    <x v="6"/>
    <x v="12"/>
    <s v="OVDR Platform Engineering Team"/>
    <x v="1"/>
    <n v="100774"/>
    <s v="I100099999"/>
    <s v="ovdr-production@krafton.com(905461196704)"/>
    <s v="OVERHEAD/OTHERS"/>
    <s v="이제우"/>
    <m/>
    <n v="4061446"/>
    <n v="3659372"/>
    <n v="3182073"/>
    <n v="3552260"/>
    <n v="3058728"/>
    <n v="3066280"/>
    <n v="3638600"/>
    <n v="3812931"/>
    <n v="4250810"/>
    <n v="4121798"/>
    <n v="3486436"/>
    <n v="4256194"/>
    <n v="4256194"/>
    <n v="769758"/>
    <n v="0.22078649945101531"/>
    <n v="4600"/>
  </r>
  <r>
    <x v="1"/>
    <x v="0"/>
    <x v="4"/>
    <s v="Striking Distance Studios"/>
    <x v="7"/>
    <n v="100212"/>
    <s v="P100010013"/>
    <s v="pubg_accelbyte_ops@bluehole.net(845087158014)"/>
    <s v="Minkz Ngo"/>
    <s v="Jordan Yerkes"/>
    <m/>
    <n v="21047286"/>
    <n v="19874819"/>
    <n v="15535979"/>
    <m/>
    <m/>
    <m/>
    <m/>
    <m/>
    <n v="0"/>
    <n v="0"/>
    <n v="0"/>
    <n v="0"/>
    <m/>
    <n v="0"/>
    <s v=""/>
    <n v="1000"/>
  </r>
  <r>
    <x v="1"/>
    <x v="0"/>
    <x v="1"/>
    <s v="[N/A]New State Dev Div."/>
    <x v="3"/>
    <n v="100552"/>
    <s v="I100099999"/>
    <s v="pubg_aws_xtrm@bluehole.net(548322143865)"/>
    <s v="최진욱"/>
    <s v="김태완"/>
    <s v="v"/>
    <n v="34217988"/>
    <n v="32157196"/>
    <n v="30479964"/>
    <n v="32194519"/>
    <n v="32557913"/>
    <n v="31711178"/>
    <n v="33133151"/>
    <n v="32984856"/>
    <n v="31191029"/>
    <n v="24950305"/>
    <n v="22077854"/>
    <n v="25777420"/>
    <n v="25777420"/>
    <n v="3699566"/>
    <n v="0.16756909435128975"/>
    <n v="1000"/>
  </r>
  <r>
    <x v="1"/>
    <x v="0"/>
    <x v="2"/>
    <s v="PUBG PC&amp;Console Dev Div."/>
    <x v="5"/>
    <n v="101269"/>
    <s v="P100030073"/>
    <s v="pubg_data-inno@bluehole.net(266252275839)"/>
    <s v="염화음"/>
    <s v="김시훈"/>
    <m/>
    <n v="16649517"/>
    <n v="16664611"/>
    <n v="15898747"/>
    <n v="16277149"/>
    <n v="12562812"/>
    <n v="11977692"/>
    <n v="12408807"/>
    <n v="12087773"/>
    <n v="12325275"/>
    <n v="11750464"/>
    <n v="10272218"/>
    <n v="11908455"/>
    <n v="11908455"/>
    <n v="1636237"/>
    <n v="0.15928760468284453"/>
    <n v="1000"/>
  </r>
  <r>
    <x v="1"/>
    <x v="0"/>
    <x v="2"/>
    <s v="PUBG PC&amp;Console Dev Div."/>
    <x v="5"/>
    <e v="#N/A"/>
    <e v="#N/A"/>
    <s v="pubg_pc_live@bluehole.net(792630841427)"/>
    <s v="김정헌"/>
    <s v="최준석"/>
    <m/>
    <n v="730602753"/>
    <n v="832368536"/>
    <n v="807586524"/>
    <n v="854878169"/>
    <n v="798508852"/>
    <n v="749084864"/>
    <n v="794101665"/>
    <n v="840286844"/>
    <n v="801756930"/>
    <n v="911290061"/>
    <n v="615271646"/>
    <n v="867812841"/>
    <n v="867812841"/>
    <n v="252541195"/>
    <n v="0.41045479121591116"/>
    <n v="1000"/>
  </r>
  <r>
    <x v="1"/>
    <x v="0"/>
    <x v="2"/>
    <s v="PUBG PC&amp;Console Dev Div."/>
    <x v="5"/>
    <n v="100561"/>
    <s v="P100010013"/>
    <s v="pubg_psn_retail@bluehole.net(646628557157)"/>
    <s v="김정헌"/>
    <s v="최준석"/>
    <m/>
    <n v="332433"/>
    <n v="336423"/>
    <n v="370557"/>
    <n v="362064"/>
    <n v="411267"/>
    <n v="399846"/>
    <n v="421236"/>
    <n v="429588"/>
    <n v="429559"/>
    <n v="329637"/>
    <n v="174322"/>
    <n v="189734"/>
    <n v="189734"/>
    <n v="15412"/>
    <n v="8.8411101295304093E-2"/>
    <n v="1000"/>
  </r>
  <r>
    <x v="1"/>
    <x v="0"/>
    <x v="4"/>
    <s v="Striking Distance Studios"/>
    <x v="7"/>
    <n v="100677"/>
    <s v="P100010013"/>
    <s v="pubg_sds_aws@bluehole.net(393410803323)"/>
    <s v="Minkz Ngo"/>
    <s v="Jordan Yerkes"/>
    <m/>
    <n v="35432447"/>
    <n v="34050926"/>
    <n v="33032112"/>
    <n v="34480560"/>
    <n v="34183772"/>
    <n v="33995301"/>
    <n v="36594013"/>
    <n v="34418443"/>
    <n v="29443215"/>
    <n v="29083916"/>
    <n v="17185097"/>
    <n v="12981301"/>
    <n v="12981301"/>
    <n v="-4203796"/>
    <n v="-0.24461869490757021"/>
    <n v="1000"/>
  </r>
  <r>
    <x v="1"/>
    <x v="0"/>
    <x v="4"/>
    <s v="Striking Distance Studios"/>
    <x v="7"/>
    <n v="131035"/>
    <s v="P100010013"/>
    <s v="pubg_sds_web@bluehole.net(080552085257)"/>
    <s v="Minkz Ngo"/>
    <s v="Jordan Yerkes"/>
    <m/>
    <n v="114730"/>
    <n v="122950"/>
    <n v="82043"/>
    <n v="123883"/>
    <n v="139376"/>
    <n v="127495"/>
    <n v="132303"/>
    <n v="132925"/>
    <n v="133271"/>
    <n v="135375"/>
    <n v="123553"/>
    <n v="73651"/>
    <n v="73651"/>
    <n v="-49902"/>
    <n v="-0.40389144739504507"/>
    <n v="1000"/>
  </r>
  <r>
    <x v="1"/>
    <x v="0"/>
    <x v="2"/>
    <s v="PUBG PC&amp;Console Dev Div."/>
    <x v="5"/>
    <n v="100561"/>
    <s v="P100010013"/>
    <s v="pubg_xbox_retail@bluehole.net(199866180985)"/>
    <s v="김정헌"/>
    <s v="최준석"/>
    <m/>
    <n v="165046106"/>
    <n v="157620343"/>
    <n v="141555721"/>
    <n v="173805778"/>
    <n v="133162674"/>
    <n v="127509370"/>
    <n v="136575637"/>
    <n v="101091902"/>
    <n v="97595346"/>
    <n v="93646066"/>
    <n v="79043592"/>
    <n v="92845217"/>
    <n v="92845217"/>
    <n v="13801625"/>
    <n v="0.17460776580092666"/>
    <n v="1000"/>
  </r>
  <r>
    <x v="1"/>
    <x v="0"/>
    <x v="0"/>
    <s v="BGMI DevOps Team"/>
    <x v="4"/>
    <n v="101568"/>
    <s v="I100099999"/>
    <s v="pubg-mobile-web@bluehole.net(687869940784)"/>
    <s v="이돈현"/>
    <s v="이돈현"/>
    <s v="v"/>
    <n v="18236396"/>
    <n v="16500719"/>
    <n v="16229294"/>
    <n v="17426787"/>
    <n v="17213542"/>
    <n v="16783565"/>
    <n v="17788189"/>
    <n v="18044453"/>
    <n v="6647977"/>
    <n v="15939907"/>
    <n v="164637565"/>
    <n v="359831680"/>
    <n v="359831680"/>
    <n v="195194115"/>
    <n v="1.1855988941527409"/>
    <n v="1000"/>
  </r>
  <r>
    <x v="1"/>
    <x v="0"/>
    <x v="2"/>
    <s v="MS DevOps Team"/>
    <x v="1"/>
    <n v="101721"/>
    <s v="I100099999"/>
    <s v="pubg-uropa-project@bluehole.net(724911849581)"/>
    <s v="천궁원"/>
    <s v="최보성"/>
    <s v="v"/>
    <n v="8974508"/>
    <n v="9066515"/>
    <n v="8907742"/>
    <n v="8603047"/>
    <n v="29391391"/>
    <n v="54888778"/>
    <n v="14476303"/>
    <n v="9167420"/>
    <n v="10689701"/>
    <n v="11802727"/>
    <n v="8215810"/>
    <n v="7167018"/>
    <n v="7167018"/>
    <n v="-1048792"/>
    <n v="-0.12765533769646573"/>
    <n v="1000"/>
  </r>
  <r>
    <x v="1"/>
    <x v="0"/>
    <x v="1"/>
    <s v="Data Engineering Dept."/>
    <x v="3"/>
    <n v="100212"/>
    <s v="I100099999"/>
    <s v="pubg-xtrm-data@bluehole.net(176977192848)"/>
    <s v="염화음"/>
    <s v="김신영"/>
    <s v="v"/>
    <n v="15309192"/>
    <n v="14599876"/>
    <n v="14543073"/>
    <n v="15152367"/>
    <n v="14487190"/>
    <n v="11578876"/>
    <n v="12106728"/>
    <n v="12329264"/>
    <n v="12220160"/>
    <n v="12132204"/>
    <n v="11589668"/>
    <n v="12618294"/>
    <n v="12618294"/>
    <n v="1028626"/>
    <n v="8.8753707181258343E-2"/>
    <n v="1000"/>
  </r>
  <r>
    <x v="1"/>
    <x v="2"/>
    <x v="6"/>
    <s v="AI research center"/>
    <x v="9"/>
    <n v="102035"/>
    <s v="I100090134"/>
    <s v="pubgawsresearch@bluehole.net(397523987293)"/>
    <s v="심재한"/>
    <s v="심재한"/>
    <m/>
    <n v="-328202"/>
    <n v="23328212"/>
    <n v="31382789"/>
    <n v="55438969"/>
    <n v="1603916"/>
    <n v="21633922"/>
    <n v="2807701"/>
    <n v="14400111"/>
    <n v="7520491"/>
    <n v="32788507"/>
    <n v="39193969"/>
    <n v="36948967"/>
    <n v="36948967"/>
    <n v="-2245002"/>
    <n v="-5.7279271716523528E-2"/>
    <n v="1000"/>
  </r>
  <r>
    <x v="1"/>
    <x v="0"/>
    <x v="27"/>
    <s v="Americas IT Team"/>
    <x v="1"/>
    <n v="100036"/>
    <s v="I100099999"/>
    <s v="sm_it_accounts@pubg.com(314135859452)"/>
    <s v="David Huh"/>
    <s v="David Huh"/>
    <s v="v"/>
    <m/>
    <m/>
    <m/>
    <n v="23164"/>
    <n v="145340"/>
    <n v="142739"/>
    <n v="145778"/>
    <n v="150607"/>
    <n v="146609"/>
    <n v="147869"/>
    <n v="146182"/>
    <n v="153515"/>
    <n v="153515"/>
    <n v="7333"/>
    <n v="5.0163494821523852E-2"/>
    <n v="1300"/>
  </r>
  <r>
    <x v="1"/>
    <x v="0"/>
    <x v="0"/>
    <s v="Global Subsidiary Management Team"/>
    <x v="1"/>
    <e v="#N/A"/>
    <e v="#N/A"/>
    <s v="storyplay.prod@thingsflow.com(303682502270)"/>
    <s v="김재현"/>
    <s v="김재현"/>
    <m/>
    <n v="334149"/>
    <n v="1233122"/>
    <n v="1210475"/>
    <n v="1235227"/>
    <n v="1259259"/>
    <n v="1267847"/>
    <n v="1317418"/>
    <n v="1260376"/>
    <n v="1620676"/>
    <n v="1407145"/>
    <n v="302765"/>
    <n v="288741"/>
    <n v="288741"/>
    <n v="-14024"/>
    <n v="-4.6319752943702212E-2"/>
    <n v="1000"/>
  </r>
  <r>
    <x v="1"/>
    <x v="0"/>
    <x v="0"/>
    <s v="HR Operations Team"/>
    <x v="1"/>
    <m/>
    <m/>
    <s v="aws-hr-ops-automation@krafton.com(002889193681)"/>
    <m/>
    <s v="조재현"/>
    <m/>
    <m/>
    <m/>
    <m/>
    <m/>
    <m/>
    <m/>
    <m/>
    <m/>
    <m/>
    <m/>
    <n v="0"/>
    <n v="12895"/>
    <n v="12895"/>
    <n v="12895"/>
    <s v=""/>
    <n v="1000"/>
  </r>
  <r>
    <x v="1"/>
    <x v="0"/>
    <x v="10"/>
    <s v="Valor DevOps Part"/>
    <x v="15"/>
    <m/>
    <m/>
    <s v="aws-msn-valor-cert@pubg.com(059855171766)"/>
    <m/>
    <s v="송영재"/>
    <s v="v"/>
    <m/>
    <m/>
    <m/>
    <m/>
    <m/>
    <m/>
    <m/>
    <m/>
    <m/>
    <m/>
    <n v="0"/>
    <n v="17153"/>
    <n v="17153"/>
    <n v="17153"/>
    <s v=""/>
    <n v="1500"/>
  </r>
  <r>
    <x v="1"/>
    <x v="0"/>
    <x v="10"/>
    <s v="Valor DevOps Part"/>
    <x v="15"/>
    <m/>
    <m/>
    <s v="aws-msn-valor-staging@pubg.com(117891393965)"/>
    <m/>
    <s v="송영재"/>
    <s v="v"/>
    <m/>
    <m/>
    <m/>
    <m/>
    <m/>
    <m/>
    <m/>
    <m/>
    <m/>
    <m/>
    <n v="0"/>
    <n v="14754"/>
    <n v="14754"/>
    <n v="14754"/>
    <s v=""/>
    <n v="1500"/>
  </r>
  <r>
    <x v="1"/>
    <x v="0"/>
    <x v="24"/>
    <s v="NineB Div."/>
    <x v="1"/>
    <m/>
    <m/>
    <s v="Aws-9b-common-web@krafton.com(200283415652)"/>
    <m/>
    <s v="김성훈"/>
    <m/>
    <m/>
    <m/>
    <m/>
    <m/>
    <m/>
    <m/>
    <m/>
    <m/>
    <m/>
    <m/>
    <n v="0"/>
    <n v="12767"/>
    <n v="12767"/>
    <n v="12767"/>
    <s v=""/>
    <e v="#N/A"/>
  </r>
  <r>
    <x v="1"/>
    <x v="0"/>
    <x v="19"/>
    <s v="IN New Games Publishing Team 3"/>
    <x v="1"/>
    <m/>
    <m/>
    <s v="aws-ignt@krafton.com(339918905706)"/>
    <m/>
    <s v="Sudhamshu Mitra"/>
    <m/>
    <m/>
    <m/>
    <m/>
    <m/>
    <m/>
    <m/>
    <m/>
    <m/>
    <m/>
    <m/>
    <n v="0"/>
    <n v="22447"/>
    <n v="22447"/>
    <n v="22447"/>
    <s v=""/>
    <n v="2900"/>
  </r>
  <r>
    <x v="1"/>
    <x v="0"/>
    <x v="0"/>
    <s v="Video Creative Part"/>
    <x v="1"/>
    <m/>
    <m/>
    <s v="aws-bcd-gdd-reader@krafton.com(372468809148)"/>
    <m/>
    <s v="전지민"/>
    <m/>
    <m/>
    <m/>
    <m/>
    <m/>
    <m/>
    <m/>
    <m/>
    <m/>
    <m/>
    <m/>
    <n v="0"/>
    <n v="197"/>
    <n v="197"/>
    <n v="197"/>
    <s v=""/>
    <n v="1000"/>
  </r>
  <r>
    <x v="1"/>
    <x v="0"/>
    <x v="0"/>
    <s v="GPD1 Community Management Team"/>
    <x v="1"/>
    <m/>
    <m/>
    <s v="aws-gpd1cmt-project@krafton.com(427780306826)"/>
    <m/>
    <s v="안예슬"/>
    <m/>
    <m/>
    <m/>
    <m/>
    <m/>
    <m/>
    <m/>
    <m/>
    <m/>
    <m/>
    <m/>
    <n v="0"/>
    <n v="13412"/>
    <n v="13412"/>
    <n v="13412"/>
    <s v=""/>
    <n v="1000"/>
  </r>
  <r>
    <x v="1"/>
    <x v="1"/>
    <x v="11"/>
    <n v="0"/>
    <x v="6"/>
    <m/>
    <m/>
    <s v="aws_neptunez_019@neptunecompany.kr(608420805733)"/>
    <m/>
    <n v="0"/>
    <m/>
    <m/>
    <m/>
    <m/>
    <m/>
    <m/>
    <m/>
    <m/>
    <m/>
    <m/>
    <m/>
    <n v="0"/>
    <n v="80071"/>
    <n v="80071"/>
    <n v="80071"/>
    <s v=""/>
    <e v="#N/A"/>
  </r>
  <r>
    <x v="1"/>
    <x v="0"/>
    <x v="27"/>
    <s v="Creative Americas Production Team"/>
    <x v="1"/>
    <m/>
    <m/>
    <s v="aws-blueprint-project@krafton.com(706877673977)"/>
    <m/>
    <s v="Andy Fernandez"/>
    <m/>
    <m/>
    <m/>
    <m/>
    <m/>
    <m/>
    <m/>
    <m/>
    <m/>
    <m/>
    <m/>
    <n v="0"/>
    <n v="14272"/>
    <n v="14272"/>
    <n v="14272"/>
    <s v=""/>
    <e v="#N/A"/>
  </r>
  <r>
    <x v="1"/>
    <x v="0"/>
    <x v="0"/>
    <s v="PUBG Strategy &amp; Operations Team"/>
    <x v="1"/>
    <m/>
    <m/>
    <s v="aws-pubgsno-hr@krafton.com(756041605037)"/>
    <m/>
    <s v="김세은"/>
    <m/>
    <m/>
    <m/>
    <m/>
    <m/>
    <m/>
    <m/>
    <m/>
    <m/>
    <m/>
    <m/>
    <n v="0"/>
    <n v="13424"/>
    <n v="13424"/>
    <n v="13424"/>
    <s v=""/>
    <n v="1000"/>
  </r>
  <r>
    <x v="1"/>
    <x v="0"/>
    <x v="0"/>
    <s v="Live Ops Team"/>
    <x v="1"/>
    <m/>
    <m/>
    <s v="aws-hq-dashboard@krafton.com(774222655862)"/>
    <m/>
    <s v="구지현"/>
    <m/>
    <m/>
    <m/>
    <m/>
    <m/>
    <m/>
    <m/>
    <m/>
    <m/>
    <m/>
    <m/>
    <n v="0"/>
    <n v="55233"/>
    <n v="55233"/>
    <n v="55233"/>
    <s v=""/>
    <n v="1000"/>
  </r>
  <r>
    <x v="1"/>
    <x v="0"/>
    <x v="0"/>
    <s v="Service DevOps Team"/>
    <x v="39"/>
    <m/>
    <m/>
    <s v="aws-cas-qa@krafton.com(864617344154)"/>
    <m/>
    <s v="안연주"/>
    <m/>
    <m/>
    <m/>
    <m/>
    <m/>
    <m/>
    <m/>
    <m/>
    <m/>
    <m/>
    <m/>
    <n v="0"/>
    <n v="14921"/>
    <n v="14921"/>
    <n v="14921"/>
    <s v=""/>
    <n v="1000"/>
  </r>
  <r>
    <x v="1"/>
    <x v="0"/>
    <x v="10"/>
    <s v="Valor DevOps Part"/>
    <x v="15"/>
    <m/>
    <m/>
    <s v="aws-msn-valor-test@pubg.com(947782089035)"/>
    <m/>
    <s v="송영재"/>
    <s v="v"/>
    <m/>
    <m/>
    <m/>
    <m/>
    <m/>
    <m/>
    <m/>
    <m/>
    <m/>
    <m/>
    <n v="0"/>
    <n v="15436"/>
    <n v="15436"/>
    <n v="15436"/>
    <s v=""/>
    <n v="1500"/>
  </r>
  <r>
    <x v="1"/>
    <x v="0"/>
    <x v="0"/>
    <s v="Service DevOps Team"/>
    <x v="21"/>
    <m/>
    <m/>
    <s v="aws-ignt-qa@krafton.com(956314528401)"/>
    <m/>
    <s v="안연주"/>
    <m/>
    <m/>
    <m/>
    <m/>
    <m/>
    <m/>
    <m/>
    <m/>
    <m/>
    <m/>
    <m/>
    <n v="0"/>
    <n v="298601"/>
    <n v="298601"/>
    <n v="298601"/>
    <s v=""/>
    <n v="1000"/>
  </r>
  <r>
    <x v="1"/>
    <x v="0"/>
    <x v="0"/>
    <s v="GPD1 Community Management Team"/>
    <x v="32"/>
    <m/>
    <m/>
    <s v="aws-sn2e-project@krafton.com(958175316161)"/>
    <m/>
    <s v="민경윤"/>
    <m/>
    <m/>
    <m/>
    <m/>
    <m/>
    <m/>
    <m/>
    <m/>
    <m/>
    <m/>
    <m/>
    <n v="0"/>
    <n v="685171"/>
    <n v="685171"/>
    <n v="685171"/>
    <s v=""/>
    <n v="1000"/>
  </r>
  <r>
    <x v="1"/>
    <x v="0"/>
    <x v="0"/>
    <s v="Service DevOps Team"/>
    <x v="1"/>
    <n v="100024"/>
    <s v="I100099999"/>
    <s v="tech_support@bluehole.net(921237081789)"/>
    <s v="엄기성"/>
    <s v="엄기성"/>
    <m/>
    <n v="1312055"/>
    <n v="1149109"/>
    <n v="1083134"/>
    <n v="1102872"/>
    <n v="1103467"/>
    <n v="1183524"/>
    <n v="1088631"/>
    <n v="1124598"/>
    <n v="1264308"/>
    <n v="1072603"/>
    <n v="942217"/>
    <n v="1277071"/>
    <n v="1277071"/>
    <n v="334854"/>
    <n v="0.3553894697293723"/>
    <n v="1000"/>
  </r>
  <r>
    <x v="1"/>
    <x v="11"/>
    <x v="28"/>
    <n v="0"/>
    <x v="6"/>
    <n v="400030"/>
    <e v="#N/A"/>
    <s v="ted-aws@unknownworlds.com(221334622883)"/>
    <s v="Jack Smith"/>
    <s v="Jack Smith"/>
    <m/>
    <m/>
    <m/>
    <n v="1756556"/>
    <n v="1799670"/>
    <n v="1794443"/>
    <n v="1648704"/>
    <n v="1750195"/>
    <n v="1748828"/>
    <n v="1772253"/>
    <n v="1724926"/>
    <n v="1626021"/>
    <n v="2449090"/>
    <n v="2449090"/>
    <n v="823069"/>
    <n v="0.5061859594679281"/>
    <e v="#N/A"/>
  </r>
  <r>
    <x v="2"/>
    <x v="12"/>
    <x v="29"/>
    <s v="ML Sys &amp; Ops Team"/>
    <x v="9"/>
    <n v="101721"/>
    <e v="#N/A"/>
    <s v="AI-Research-Deep-Learning"/>
    <s v="이동기"/>
    <s v="김지윤"/>
    <s v="v"/>
    <n v="276540607"/>
    <n v="271107741"/>
    <n v="255360965"/>
    <n v="261480759"/>
    <n v="258980391"/>
    <n v="251108723"/>
    <n v="249788803"/>
    <n v="248612867"/>
    <n v="263767189"/>
    <n v="251769405"/>
    <n v="242636977"/>
    <n v="243315920"/>
    <n v="243315920"/>
    <n v="678943"/>
    <n v="2.7981843839078161E-3"/>
    <n v="1000"/>
  </r>
  <r>
    <x v="2"/>
    <x v="2"/>
    <x v="6"/>
    <s v="ML Sys &amp; Ops Team"/>
    <x v="9"/>
    <n v="101835"/>
    <s v="I100099999"/>
    <s v="AI-Research-Deep-Learning"/>
    <s v="이동기"/>
    <s v="김지윤"/>
    <s v="v"/>
    <n v="0"/>
    <n v="165375722"/>
    <n v="155770189"/>
    <n v="159503263"/>
    <n v="157978039"/>
    <n v="153176321"/>
    <n v="157596351.55520001"/>
    <n v="157720002"/>
    <n v="167333904"/>
    <n v="159722511"/>
    <n v="153928898"/>
    <n v="154359620"/>
    <n v="154359620"/>
    <n v="430722"/>
    <n v="2.7981880309440013E-3"/>
    <n v="1000"/>
  </r>
  <r>
    <x v="2"/>
    <x v="0"/>
    <x v="0"/>
    <s v="Art Management Part"/>
    <x v="1"/>
    <n v="100212"/>
    <s v="P100130012"/>
    <s v="ART_ALI_CustomVision"/>
    <s v="배준석"/>
    <s v="배준석"/>
    <m/>
    <m/>
    <m/>
    <m/>
    <m/>
    <m/>
    <m/>
    <n v="1.9032"/>
    <n v="4"/>
    <n v="521"/>
    <n v="258"/>
    <n v="226"/>
    <n v="113"/>
    <n v="113"/>
    <n v="-113"/>
    <n v="-0.5"/>
    <n v="1000"/>
  </r>
  <r>
    <x v="2"/>
    <x v="12"/>
    <x v="29"/>
    <s v="Art Management Part"/>
    <x v="1"/>
    <n v="101537"/>
    <s v="P100010012"/>
    <s v="ART_ALI_CustomVision"/>
    <s v="배준석"/>
    <s v="배준석"/>
    <m/>
    <m/>
    <m/>
    <m/>
    <m/>
    <m/>
    <m/>
    <n v="3"/>
    <n v="6"/>
    <n v="822"/>
    <n v="406"/>
    <n v="356"/>
    <n v="178"/>
    <n v="178"/>
    <n v="-178"/>
    <n v="-0.5"/>
    <n v="1000"/>
  </r>
  <r>
    <x v="2"/>
    <x v="0"/>
    <x v="0"/>
    <s v="Art Management Part"/>
    <x v="1"/>
    <n v="100212"/>
    <s v="P100130012"/>
    <s v="ART_ALI_Vision"/>
    <s v="배준석"/>
    <s v="배준석"/>
    <m/>
    <m/>
    <m/>
    <m/>
    <m/>
    <m/>
    <m/>
    <n v="1.9032"/>
    <n v="12"/>
    <n v="0"/>
    <n v="0"/>
    <n v="0"/>
    <n v="0"/>
    <m/>
    <n v="0"/>
    <s v=""/>
    <n v="1000"/>
  </r>
  <r>
    <x v="2"/>
    <x v="12"/>
    <x v="29"/>
    <s v="Art Management Part"/>
    <x v="1"/>
    <n v="101537"/>
    <s v="P100010012"/>
    <s v="ART_ALI_Vision"/>
    <s v="배준석"/>
    <s v="배준석"/>
    <m/>
    <m/>
    <m/>
    <m/>
    <m/>
    <m/>
    <m/>
    <n v="3"/>
    <n v="19"/>
    <n v="0"/>
    <n v="0"/>
    <n v="0"/>
    <n v="0"/>
    <m/>
    <n v="0"/>
    <s v=""/>
    <n v="1000"/>
  </r>
  <r>
    <x v="2"/>
    <x v="0"/>
    <x v="0"/>
    <s v="AI Transformation Team"/>
    <x v="1"/>
    <n v="100414"/>
    <s v="P100010012"/>
    <s v="azure-ait-genai-api-project"/>
    <s v="이재준"/>
    <s v="이재준"/>
    <s v="v"/>
    <n v="0"/>
    <n v="27264"/>
    <n v="153677"/>
    <n v="155119"/>
    <n v="148833"/>
    <n v="89015"/>
    <n v="88956.202399999995"/>
    <n v="3057"/>
    <n v="35"/>
    <n v="0"/>
    <n v="3095"/>
    <n v="12144"/>
    <n v="12144"/>
    <n v="9049"/>
    <n v="2.9237479806138933"/>
    <n v="1000"/>
  </r>
  <r>
    <x v="2"/>
    <x v="12"/>
    <x v="29"/>
    <s v="AI Transformation Team"/>
    <x v="1"/>
    <n v="100414"/>
    <s v="P100010012"/>
    <s v="azure-ait-genai-api-project"/>
    <s v="이재준"/>
    <s v="이재준"/>
    <s v="v"/>
    <n v="2955"/>
    <n v="44695"/>
    <n v="251929"/>
    <n v="254294"/>
    <n v="243989"/>
    <n v="145927"/>
    <n v="140221"/>
    <n v="4819"/>
    <n v="55"/>
    <n v="0"/>
    <n v="4878"/>
    <n v="19142"/>
    <n v="19142"/>
    <n v="14264"/>
    <n v="2.9241492414924148"/>
    <n v="1000"/>
  </r>
  <r>
    <x v="2"/>
    <x v="0"/>
    <x v="0"/>
    <s v="DevData Engineering Team"/>
    <x v="39"/>
    <m/>
    <m/>
    <s v="azure-cas-prod"/>
    <m/>
    <s v="안연주"/>
    <s v="v"/>
    <m/>
    <m/>
    <m/>
    <m/>
    <m/>
    <m/>
    <m/>
    <m/>
    <m/>
    <m/>
    <m/>
    <n v="0"/>
    <n v="0"/>
    <n v="0"/>
    <s v=""/>
    <n v="1000"/>
  </r>
  <r>
    <x v="2"/>
    <x v="12"/>
    <x v="29"/>
    <s v="DevData Engineering Team"/>
    <x v="39"/>
    <m/>
    <m/>
    <s v="azure-cas-prod"/>
    <m/>
    <s v="안연주"/>
    <s v="v"/>
    <m/>
    <m/>
    <m/>
    <m/>
    <m/>
    <m/>
    <m/>
    <m/>
    <m/>
    <m/>
    <m/>
    <n v="262212"/>
    <n v="262212"/>
    <n v="262212"/>
    <s v=""/>
    <n v="1000"/>
  </r>
  <r>
    <x v="2"/>
    <x v="0"/>
    <x v="0"/>
    <s v="DevData Engineering Team"/>
    <x v="39"/>
    <m/>
    <m/>
    <s v="azure-cas-qa"/>
    <m/>
    <s v="안연주"/>
    <s v="v"/>
    <m/>
    <m/>
    <m/>
    <m/>
    <m/>
    <m/>
    <m/>
    <m/>
    <m/>
    <m/>
    <m/>
    <n v="0"/>
    <n v="0"/>
    <n v="0"/>
    <s v=""/>
    <n v="1000"/>
  </r>
  <r>
    <x v="2"/>
    <x v="12"/>
    <x v="29"/>
    <s v="DevData Engineering Team"/>
    <x v="39"/>
    <m/>
    <m/>
    <s v="azure-cas-qa"/>
    <m/>
    <s v="안연주"/>
    <s v="v"/>
    <m/>
    <m/>
    <m/>
    <m/>
    <m/>
    <m/>
    <m/>
    <m/>
    <m/>
    <m/>
    <m/>
    <n v="4084367"/>
    <n v="4084367"/>
    <n v="4084367"/>
    <s v=""/>
    <n v="1000"/>
  </r>
  <r>
    <x v="2"/>
    <x v="0"/>
    <x v="0"/>
    <s v="Service DevOps Team"/>
    <x v="1"/>
    <n v="480001"/>
    <e v="#N/A"/>
    <s v="AzureOpsLAB-DevTest-20181205"/>
    <s v="엄기성"/>
    <s v="엄기성"/>
    <m/>
    <n v="0"/>
    <n v="112497"/>
    <n v="106296"/>
    <n v="107796"/>
    <n v="104288"/>
    <n v="100935"/>
    <n v="106409.8152"/>
    <n v="110056"/>
    <n v="129325"/>
    <n v="135808"/>
    <n v="152069"/>
    <n v="184162"/>
    <n v="184162"/>
    <n v="32093"/>
    <n v="0.21104235577270844"/>
    <n v="1000"/>
  </r>
  <r>
    <x v="2"/>
    <x v="12"/>
    <x v="29"/>
    <s v="Service DevOps Team"/>
    <x v="1"/>
    <n v="100033"/>
    <s v="P100010048"/>
    <s v="AzureOpsLAB-DevTest-20181205"/>
    <s v="엄기성"/>
    <s v="엄기성"/>
    <m/>
    <n v="68527"/>
    <n v="184421"/>
    <n v="174255"/>
    <n v="176715"/>
    <n v="170964"/>
    <n v="165467"/>
    <n v="167733"/>
    <n v="173480"/>
    <n v="203854"/>
    <n v="214074"/>
    <n v="239706"/>
    <n v="290294"/>
    <n v="290294"/>
    <n v="50588"/>
    <n v="0.21104185961135724"/>
    <n v="1000"/>
  </r>
  <r>
    <x v="2"/>
    <x v="0"/>
    <x v="0"/>
    <s v="Service DevOps Team"/>
    <x v="1"/>
    <n v="480001"/>
    <e v="#N/A"/>
    <s v="AzureOpsLAB-Enterprise-20171102"/>
    <s v="엄기성"/>
    <s v="엄기성"/>
    <m/>
    <n v="0"/>
    <n v="147830"/>
    <n v="142215"/>
    <n v="146660"/>
    <n v="188011"/>
    <n v="130036"/>
    <n v="158426.17439999999"/>
    <n v="261857"/>
    <n v="159260"/>
    <n v="182613"/>
    <n v="175566"/>
    <n v="171376"/>
    <n v="171376"/>
    <n v="-4190"/>
    <n v="-2.3865668751352768E-2"/>
    <n v="1000"/>
  </r>
  <r>
    <x v="2"/>
    <x v="12"/>
    <x v="29"/>
    <s v="Service DevOps Team"/>
    <x v="1"/>
    <n v="100033"/>
    <s v="P100010048"/>
    <s v="AzureOpsLAB-Enterprise-20171102"/>
    <s v="엄기성"/>
    <s v="엄기성"/>
    <m/>
    <n v="457449"/>
    <n v="242344"/>
    <n v="233139"/>
    <n v="240426"/>
    <n v="308215"/>
    <n v="213173"/>
    <n v="249726"/>
    <n v="412764"/>
    <n v="251040"/>
    <n v="287851"/>
    <n v="276743"/>
    <n v="270138"/>
    <n v="270138"/>
    <n v="-6605"/>
    <n v="-2.3866909009441974E-2"/>
    <n v="1000"/>
  </r>
  <r>
    <x v="2"/>
    <x v="0"/>
    <x v="1"/>
    <s v="[N/A]New State Dev Div."/>
    <x v="3"/>
    <e v="#N/A"/>
    <s v="I100099999"/>
    <s v="AzureOpsLAB-Platform-20231227"/>
    <s v="엄기성"/>
    <s v="엄기성"/>
    <m/>
    <n v="0"/>
    <n v="551948"/>
    <n v="541468"/>
    <n v="543758"/>
    <n v="537788"/>
    <n v="531596"/>
    <n v="554267.03280000004"/>
    <n v="546777"/>
    <n v="554269"/>
    <n v="548288"/>
    <n v="543343"/>
    <n v="549631"/>
    <n v="549631"/>
    <n v="6288"/>
    <n v="1.1572800238523364E-2"/>
    <n v="1000"/>
  </r>
  <r>
    <x v="2"/>
    <x v="12"/>
    <x v="29"/>
    <s v="[N/A]New State Dev Div."/>
    <x v="3"/>
    <n v="100033"/>
    <s v="P100010048"/>
    <s v="AzureOpsLAB-Platform-20231227"/>
    <s v="엄기성"/>
    <s v="엄기성"/>
    <m/>
    <n v="749092"/>
    <n v="904833"/>
    <n v="887653"/>
    <n v="891407"/>
    <n v="881620"/>
    <n v="871469"/>
    <n v="873687"/>
    <n v="861881"/>
    <n v="873690"/>
    <n v="864262"/>
    <n v="856467"/>
    <n v="866379"/>
    <n v="866379"/>
    <n v="9912"/>
    <n v="1.15731254093853E-2"/>
    <n v="1000"/>
  </r>
  <r>
    <x v="2"/>
    <x v="0"/>
    <x v="0"/>
    <s v="IN Platform Business Dept._HQ"/>
    <x v="1"/>
    <n v="100553"/>
    <s v="P100130012"/>
    <s v="Battlin Project"/>
    <s v="김형진"/>
    <s v="김형진"/>
    <s v="v"/>
    <m/>
    <m/>
    <m/>
    <m/>
    <m/>
    <m/>
    <m/>
    <m/>
    <m/>
    <m/>
    <n v="4037"/>
    <n v="3196195"/>
    <n v="3196195"/>
    <n v="3192158"/>
    <n v="790.72529105771616"/>
    <n v="1000"/>
  </r>
  <r>
    <x v="2"/>
    <x v="12"/>
    <x v="29"/>
    <s v="IN Platform Business Dept._HQ"/>
    <x v="1"/>
    <e v="#N/A"/>
    <s v="I100099999"/>
    <s v="Battlin Project"/>
    <s v="김형진"/>
    <s v="김형진"/>
    <m/>
    <m/>
    <m/>
    <m/>
    <m/>
    <m/>
    <m/>
    <m/>
    <m/>
    <m/>
    <m/>
    <n v="6364"/>
    <n v="5038138"/>
    <n v="5038138"/>
    <n v="5031774"/>
    <n v="790.66216216216219"/>
    <n v="1000"/>
  </r>
  <r>
    <x v="2"/>
    <x v="0"/>
    <x v="0"/>
    <s v="IN Platform Business Dept._HQ"/>
    <x v="1"/>
    <e v="#N/A"/>
    <s v="I100099999"/>
    <s v="Battlin Project_old"/>
    <s v="김형진"/>
    <s v="김형진"/>
    <m/>
    <m/>
    <m/>
    <m/>
    <m/>
    <m/>
    <m/>
    <m/>
    <m/>
    <m/>
    <n v="3753754"/>
    <n v="8778135"/>
    <n v="0"/>
    <m/>
    <n v="-8778135"/>
    <n v="-1"/>
    <n v="1000"/>
  </r>
  <r>
    <x v="2"/>
    <x v="0"/>
    <x v="0"/>
    <s v="DevData Engineering Team"/>
    <x v="4"/>
    <n v="101799"/>
    <s v="I100099999"/>
    <s v="BGMI-DB-Monitoring"/>
    <s v="김도현"/>
    <s v="김도현"/>
    <s v="v"/>
    <n v="0"/>
    <n v="361912"/>
    <n v="564614"/>
    <n v="376200"/>
    <n v="490439"/>
    <n v="355263"/>
    <n v="706628.97759999998"/>
    <n v="336976"/>
    <n v="379391"/>
    <n v="740866"/>
    <n v="797677"/>
    <n v="802443"/>
    <n v="802443"/>
    <n v="4766"/>
    <n v="5.9748494691460327E-3"/>
    <n v="1000"/>
  </r>
  <r>
    <x v="2"/>
    <x v="12"/>
    <x v="29"/>
    <s v="DevData Engineering Team"/>
    <x v="4"/>
    <n v="101799"/>
    <s v="P100010048"/>
    <s v="BGMI-DB-Monitoring"/>
    <s v="김도현"/>
    <s v="김도현"/>
    <s v="v"/>
    <n v="565325"/>
    <n v="593298"/>
    <n v="925596"/>
    <n v="616722"/>
    <n v="803998"/>
    <n v="582399"/>
    <n v="1113854"/>
    <n v="531173"/>
    <n v="598031"/>
    <n v="1167821"/>
    <n v="1257373"/>
    <n v="1264885"/>
    <n v="1264885"/>
    <n v="7512"/>
    <n v="5.974360830079857E-3"/>
    <n v="1000"/>
  </r>
  <r>
    <x v="2"/>
    <x v="0"/>
    <x v="0"/>
    <s v="BGMI DevOps Team"/>
    <x v="4"/>
    <n v="101721"/>
    <s v="I100099999"/>
    <s v="bgmiops"/>
    <s v="조동현"/>
    <s v="조한경"/>
    <s v="v"/>
    <n v="0"/>
    <n v="194459"/>
    <n v="509492"/>
    <n v="594998"/>
    <n v="581019"/>
    <n v="563025"/>
    <n v="596672.23199999996"/>
    <n v="580624"/>
    <n v="603812"/>
    <n v="588850"/>
    <n v="832785"/>
    <n v="2380478"/>
    <n v="2380478"/>
    <n v="1547693"/>
    <n v="1.8584544630366782"/>
    <n v="1000"/>
  </r>
  <r>
    <x v="2"/>
    <x v="12"/>
    <x v="29"/>
    <s v="BGMI DevOps Team"/>
    <x v="4"/>
    <n v="101721"/>
    <s v="P100010048"/>
    <s v="bgmiops"/>
    <s v="조동현"/>
    <s v="조한경"/>
    <m/>
    <n v="272523"/>
    <n v="318785"/>
    <n v="835233"/>
    <n v="975406"/>
    <n v="952490"/>
    <n v="922992"/>
    <n v="940530"/>
    <n v="915233"/>
    <n v="951785"/>
    <n v="928200"/>
    <n v="1312713"/>
    <n v="3752329"/>
    <n v="3752329"/>
    <n v="2439616"/>
    <n v="1.8584534471739063"/>
    <n v="1000"/>
  </r>
  <r>
    <x v="2"/>
    <x v="0"/>
    <x v="0"/>
    <s v="HQ Investment Team 2"/>
    <x v="1"/>
    <m/>
    <m/>
    <s v="CorpDev_GameDataAnalysis"/>
    <m/>
    <s v="이유림"/>
    <m/>
    <m/>
    <m/>
    <m/>
    <m/>
    <m/>
    <m/>
    <m/>
    <m/>
    <m/>
    <m/>
    <m/>
    <n v="302"/>
    <n v="302"/>
    <n v="302"/>
    <s v=""/>
    <e v="#N/A"/>
  </r>
  <r>
    <x v="2"/>
    <x v="12"/>
    <x v="29"/>
    <s v="HQ Investment Team 2"/>
    <x v="1"/>
    <m/>
    <m/>
    <s v="CorpDev_GameDataAnalysis"/>
    <m/>
    <s v="이유림"/>
    <m/>
    <m/>
    <m/>
    <m/>
    <m/>
    <m/>
    <m/>
    <m/>
    <m/>
    <m/>
    <m/>
    <m/>
    <n v="476"/>
    <n v="476"/>
    <n v="476"/>
    <s v=""/>
    <e v="#N/A"/>
  </r>
  <r>
    <x v="2"/>
    <x v="0"/>
    <x v="0"/>
    <s v="Data Engineering Dept."/>
    <x v="1"/>
    <n v="101651"/>
    <s v="I100099999"/>
    <s v="data-accounting"/>
    <s v="염화음"/>
    <s v="김시훈"/>
    <s v="v"/>
    <n v="0"/>
    <n v="15317371"/>
    <n v="14594182"/>
    <n v="14556277"/>
    <n v="13828244"/>
    <n v="13629480"/>
    <n v="14008017.0152"/>
    <n v="13397822"/>
    <n v="13090452"/>
    <n v="17211313"/>
    <n v="21263698"/>
    <n v="13904338"/>
    <n v="13904338"/>
    <n v="-7359360"/>
    <n v="-0.34609972357583335"/>
    <n v="1000"/>
  </r>
  <r>
    <x v="2"/>
    <x v="12"/>
    <x v="29"/>
    <s v="Data Engineering Dept."/>
    <x v="1"/>
    <n v="101721"/>
    <s v="P100010012"/>
    <s v="data-accounting"/>
    <s v="염화음"/>
    <s v="김시훈"/>
    <s v="v"/>
    <n v="23957587"/>
    <n v="25110445"/>
    <n v="23924888"/>
    <n v="23862749"/>
    <n v="22669253"/>
    <n v="22343410"/>
    <n v="22080733"/>
    <n v="21118887"/>
    <n v="20634632"/>
    <n v="27130065"/>
    <n v="33517809"/>
    <n v="21917304"/>
    <n v="21917304"/>
    <n v="-11600505"/>
    <n v="-0.34609974058865245"/>
    <n v="1000"/>
  </r>
  <r>
    <x v="2"/>
    <x v="0"/>
    <x v="0"/>
    <s v="Data Engineering Dept."/>
    <x v="1"/>
    <n v="101651"/>
    <s v="I100099999"/>
    <s v="data-platform"/>
    <s v="염화음"/>
    <s v="김시훈"/>
    <s v="v"/>
    <n v="0"/>
    <n v="126728664"/>
    <n v="127628160"/>
    <n v="149218418"/>
    <n v="172934433"/>
    <n v="141380470"/>
    <n v="136497312.41119999"/>
    <n v="159184683"/>
    <n v="149900669"/>
    <n v="156504733"/>
    <n v="357963114"/>
    <n v="357026560"/>
    <n v="357026560"/>
    <n v="-936554"/>
    <n v="-2.6163421966431994E-3"/>
    <n v="1000"/>
  </r>
  <r>
    <x v="2"/>
    <x v="12"/>
    <x v="29"/>
    <s v="Data Engineering Dept."/>
    <x v="1"/>
    <n v="101721"/>
    <s v="P100010012"/>
    <s v="data-platform"/>
    <s v="염화음"/>
    <s v="김시훈"/>
    <s v="v"/>
    <n v="199081588"/>
    <n v="207751908"/>
    <n v="209226492"/>
    <n v="244620357"/>
    <n v="283499070"/>
    <n v="231771262"/>
    <n v="215159698"/>
    <n v="250921631"/>
    <n v="236292378"/>
    <n v="246697246"/>
    <n v="564254593"/>
    <n v="562778310"/>
    <n v="562778310"/>
    <n v="-1476283"/>
    <n v="-2.6163420170866028E-3"/>
    <n v="1000"/>
  </r>
  <r>
    <x v="2"/>
    <x v="0"/>
    <x v="0"/>
    <s v="Data Engineering Dept."/>
    <x v="1"/>
    <n v="100212"/>
    <s v="I100099999"/>
    <s v="data-service"/>
    <s v="염화음"/>
    <s v="문중현"/>
    <m/>
    <n v="0"/>
    <n v="2189"/>
    <n v="0"/>
    <m/>
    <m/>
    <m/>
    <m/>
    <m/>
    <n v="0"/>
    <n v="0"/>
    <n v="0"/>
    <n v="0"/>
    <m/>
    <n v="0"/>
    <s v=""/>
    <n v="1000"/>
  </r>
  <r>
    <x v="2"/>
    <x v="12"/>
    <x v="29"/>
    <s v="Data Engineering Dept."/>
    <x v="1"/>
    <n v="100212"/>
    <s v="P100010048"/>
    <s v="data-service"/>
    <s v="염화음"/>
    <s v="문중현"/>
    <m/>
    <n v="3471486"/>
    <n v="3589"/>
    <n v="0"/>
    <m/>
    <m/>
    <m/>
    <m/>
    <m/>
    <n v="0"/>
    <n v="0"/>
    <n v="0"/>
    <n v="0"/>
    <m/>
    <n v="0"/>
    <s v=""/>
    <n v="1000"/>
  </r>
  <r>
    <x v="2"/>
    <x v="0"/>
    <x v="0"/>
    <s v="Data Engineering Dept."/>
    <x v="1"/>
    <n v="101721"/>
    <s v="P100130145"/>
    <s v="data-tech"/>
    <s v="염화음"/>
    <s v="김시훈"/>
    <s v="v"/>
    <n v="0"/>
    <n v="65443626"/>
    <n v="83196799"/>
    <n v="88226201"/>
    <n v="97461072"/>
    <n v="91968279"/>
    <n v="99677091.6752"/>
    <n v="119954546"/>
    <n v="123162553"/>
    <n v="104060185"/>
    <n v="119579697"/>
    <n v="116618711"/>
    <n v="116618711"/>
    <n v="-2960986"/>
    <n v="-2.4761611496640603E-2"/>
    <n v="1000"/>
  </r>
  <r>
    <x v="2"/>
    <x v="12"/>
    <x v="29"/>
    <s v="Data Engineering Dept."/>
    <x v="1"/>
    <n v="100033"/>
    <s v="P100010048"/>
    <s v="data-tech"/>
    <s v="염화음"/>
    <s v="김시훈"/>
    <s v="v"/>
    <n v="101244451"/>
    <n v="107284632"/>
    <n v="136388195"/>
    <n v="144633116"/>
    <n v="159772249"/>
    <n v="150767671"/>
    <n v="157120258"/>
    <n v="189083458"/>
    <n v="194140226"/>
    <n v="164029296"/>
    <n v="188492587"/>
    <n v="183825207"/>
    <n v="183825207"/>
    <n v="-4667380"/>
    <n v="-2.4761610386301293E-2"/>
    <n v="1000"/>
  </r>
  <r>
    <x v="2"/>
    <x v="0"/>
    <x v="0"/>
    <s v="DevData Engineering Team"/>
    <x v="1"/>
    <n v="100829"/>
    <s v="P100010048"/>
    <s v="DB-Monitoring"/>
    <s v="이동준"/>
    <s v="이동준"/>
    <s v="v"/>
    <n v="0"/>
    <n v="91530"/>
    <n v="96451"/>
    <n v="96546"/>
    <n v="93628"/>
    <n v="90750"/>
    <n v="1221306.2784"/>
    <n v="1179310"/>
    <n v="115770"/>
    <n v="119820"/>
    <n v="108288"/>
    <n v="116597"/>
    <n v="116597"/>
    <n v="8309"/>
    <n v="7.6730570330969264E-2"/>
    <n v="1000"/>
  </r>
  <r>
    <x v="2"/>
    <x v="12"/>
    <x v="29"/>
    <s v="DevData Engineering Team"/>
    <x v="1"/>
    <n v="100829"/>
    <s v="P100010012"/>
    <s v="DB-Monitoring"/>
    <s v="이동준"/>
    <s v="이동준"/>
    <m/>
    <n v="138544"/>
    <n v="150049"/>
    <n v="158117"/>
    <n v="158272"/>
    <n v="153489"/>
    <n v="148770"/>
    <n v="1925136"/>
    <n v="1858938"/>
    <n v="182487"/>
    <n v="188871"/>
    <n v="170693"/>
    <n v="183791"/>
    <n v="183791"/>
    <n v="13098"/>
    <n v="7.6734253894418639E-2"/>
    <n v="1000"/>
  </r>
  <r>
    <x v="2"/>
    <x v="0"/>
    <x v="0"/>
    <s v="DevData Engineering Team"/>
    <x v="1"/>
    <n v="101799"/>
    <s v="I100099999"/>
    <s v="DB-Tech_BHS"/>
    <s v="김도현"/>
    <s v="김도현"/>
    <m/>
    <n v="0"/>
    <n v="323937"/>
    <n v="389658"/>
    <n v="595835"/>
    <n v="856721"/>
    <n v="923465"/>
    <n v="1165130.7927999999"/>
    <n v="2104265"/>
    <n v="2179241"/>
    <n v="1280283"/>
    <n v="2126445"/>
    <n v="9181045"/>
    <n v="9181045"/>
    <n v="7054600"/>
    <n v="3.3175558267436966"/>
    <n v="1000"/>
  </r>
  <r>
    <x v="2"/>
    <x v="12"/>
    <x v="29"/>
    <s v="DevData Engineering Team"/>
    <x v="1"/>
    <n v="101799"/>
    <s v="P100010048"/>
    <s v="DB-Tech_BHS"/>
    <s v="김도현"/>
    <s v="김도현"/>
    <m/>
    <n v="511956"/>
    <n v="531044"/>
    <n v="638783"/>
    <n v="976778"/>
    <n v="1404460"/>
    <n v="1513877"/>
    <n v="1836587"/>
    <n v="3316937"/>
    <n v="3435122"/>
    <n v="2018100"/>
    <n v="3351899"/>
    <n v="14472013"/>
    <n v="14472013"/>
    <n v="11120114"/>
    <n v="3.317556406085028"/>
    <n v="1000"/>
  </r>
  <r>
    <x v="2"/>
    <x v="0"/>
    <x v="0"/>
    <s v="Data Engineering Dept."/>
    <x v="1"/>
    <n v="100212"/>
    <s v="I100099999"/>
    <s v="ded-data-intelligence"/>
    <s v="염화음"/>
    <s v="문중현"/>
    <m/>
    <n v="0"/>
    <n v="7475391"/>
    <n v="14338676"/>
    <n v="497669"/>
    <n v="567236"/>
    <n v="2818292"/>
    <n v="1435164.4216"/>
    <n v="1555487"/>
    <n v="5437463"/>
    <n v="4623765"/>
    <n v="4114446"/>
    <n v="6756194"/>
    <n v="6756194"/>
    <n v="2641748"/>
    <n v="0.64206651393650571"/>
    <n v="1000"/>
  </r>
  <r>
    <x v="2"/>
    <x v="12"/>
    <x v="29"/>
    <s v="Data Engineering Dept."/>
    <x v="1"/>
    <n v="100212"/>
    <s v="P100010048"/>
    <s v="ded-data-intelligence"/>
    <s v="염화음"/>
    <s v="문중현"/>
    <m/>
    <n v="3072171"/>
    <n v="12254739"/>
    <n v="23506026"/>
    <n v="815850"/>
    <n v="929895"/>
    <n v="4620150"/>
    <n v="2262239"/>
    <n v="2451903"/>
    <n v="8571032"/>
    <n v="7288407"/>
    <n v="6485571"/>
    <n v="10649738"/>
    <n v="10649738"/>
    <n v="4164167"/>
    <n v="0.64206636547499052"/>
    <n v="1000"/>
  </r>
  <r>
    <x v="2"/>
    <x v="0"/>
    <x v="0"/>
    <s v="Data Engineering Dept."/>
    <x v="4"/>
    <n v="101721"/>
    <s v="P100130145"/>
    <s v="ded-engineering"/>
    <s v="염화음"/>
    <s v="김시훈"/>
    <s v="v"/>
    <n v="0"/>
    <n v="41084654"/>
    <n v="34897936"/>
    <n v="30461387"/>
    <n v="40749550"/>
    <n v="82303641"/>
    <n v="84995686.9736"/>
    <n v="105864456"/>
    <n v="110659586"/>
    <n v="108055470"/>
    <n v="101452552"/>
    <n v="161713966"/>
    <n v="161713966"/>
    <n v="60261414"/>
    <n v="0.59398618183601726"/>
    <n v="1000"/>
  </r>
  <r>
    <x v="2"/>
    <x v="12"/>
    <x v="29"/>
    <s v="Data Engineering Dept."/>
    <x v="4"/>
    <n v="100033"/>
    <s v="P100010048"/>
    <s v="ded-engineering"/>
    <s v="염화음"/>
    <s v="김시훈"/>
    <s v="v"/>
    <n v="58544910"/>
    <n v="67351891"/>
    <n v="57209731"/>
    <n v="49936700"/>
    <n v="66802541"/>
    <n v="134924001"/>
    <n v="133978069"/>
    <n v="166873355"/>
    <n v="174484781"/>
    <n v="170327034"/>
    <n v="159918903"/>
    <n v="254908521"/>
    <n v="254908521"/>
    <n v="94989618"/>
    <n v="0.593986178106787"/>
    <n v="1000"/>
  </r>
  <r>
    <x v="2"/>
    <x v="0"/>
    <x v="0"/>
    <s v="Live Service Support Dept."/>
    <x v="8"/>
    <n v="100414"/>
    <s v="P100010012"/>
    <s v="DL-Service-SafeCanvas-inZOI-LiveOps"/>
    <s v="임형진"/>
    <s v="임형진"/>
    <m/>
    <n v="0"/>
    <n v="184"/>
    <n v="99"/>
    <n v="0"/>
    <n v="159"/>
    <n v="85"/>
    <n v="19.032"/>
    <n v="27"/>
    <n v="29"/>
    <n v="65"/>
    <n v="0"/>
    <n v="0"/>
    <n v="0"/>
    <n v="0"/>
    <s v=""/>
    <n v="1000"/>
  </r>
  <r>
    <x v="2"/>
    <x v="12"/>
    <x v="29"/>
    <s v="Live Service Support Dept."/>
    <x v="8"/>
    <n v="100553"/>
    <e v="#N/A"/>
    <s v="DL-Service-SafeCanvas-inZOI-LiveOps"/>
    <s v="임형진"/>
    <s v="임형진"/>
    <m/>
    <n v="345"/>
    <n v="302"/>
    <n v="163"/>
    <n v="0"/>
    <n v="261"/>
    <n v="139"/>
    <n v="30"/>
    <n v="43"/>
    <n v="46"/>
    <n v="103"/>
    <n v="0"/>
    <n v="0"/>
    <n v="0"/>
    <n v="0"/>
    <s v=""/>
    <n v="1000"/>
  </r>
  <r>
    <x v="2"/>
    <x v="0"/>
    <x v="0"/>
    <s v="GPD1 Publishing Coordination Team"/>
    <x v="8"/>
    <n v="100810"/>
    <s v="I100090817"/>
    <s v="DL-Service-SafeCanvas-inZOI-Publishing2"/>
    <s v="임형진"/>
    <s v="국용상"/>
    <m/>
    <n v="0"/>
    <n v="128546"/>
    <n v="72109"/>
    <n v="47250"/>
    <n v="113201"/>
    <n v="329653"/>
    <n v="33605.436800000003"/>
    <n v="0"/>
    <n v="0"/>
    <n v="0"/>
    <n v="40905"/>
    <n v="62216"/>
    <n v="62216"/>
    <n v="21311"/>
    <n v="0.5209876543209877"/>
    <n v="1000"/>
  </r>
  <r>
    <x v="2"/>
    <x v="12"/>
    <x v="29"/>
    <s v="GPD1 Publishing Coordination Team"/>
    <x v="8"/>
    <n v="100810"/>
    <s v="P100010012"/>
    <s v="DL-Service-SafeCanvas-inZOI-Publishing2"/>
    <s v="임형진"/>
    <s v="국용상"/>
    <m/>
    <n v="470504"/>
    <n v="210731"/>
    <n v="118211"/>
    <n v="77459"/>
    <n v="185575"/>
    <n v="540414"/>
    <n v="52972"/>
    <n v="0"/>
    <n v="0"/>
    <n v="0"/>
    <n v="64479"/>
    <n v="98070"/>
    <n v="98070"/>
    <n v="33591"/>
    <n v="0.52096031265993581"/>
    <n v="1000"/>
  </r>
  <r>
    <x v="2"/>
    <x v="0"/>
    <x v="0"/>
    <s v="Live Service Support Dept."/>
    <x v="0"/>
    <n v="100774"/>
    <s v="I100099999"/>
    <s v="DL-Service-Toxic-Filter-DnDM"/>
    <s v="오명석"/>
    <s v="오명석"/>
    <m/>
    <n v="0"/>
    <n v="0"/>
    <n v="0"/>
    <m/>
    <m/>
    <m/>
    <m/>
    <m/>
    <n v="0"/>
    <n v="0"/>
    <n v="0"/>
    <n v="0"/>
    <m/>
    <n v="0"/>
    <s v=""/>
    <n v="1000"/>
  </r>
  <r>
    <x v="2"/>
    <x v="12"/>
    <x v="29"/>
    <s v="Live Service Support Dept."/>
    <x v="0"/>
    <n v="101835"/>
    <s v="P100010048"/>
    <s v="DL-Service-Toxic-Filter-DnDM"/>
    <s v="오명석"/>
    <s v="오명석"/>
    <m/>
    <n v="0"/>
    <n v="0"/>
    <n v="0"/>
    <m/>
    <m/>
    <m/>
    <m/>
    <m/>
    <n v="0"/>
    <n v="0"/>
    <n v="0"/>
    <n v="0"/>
    <m/>
    <n v="0"/>
    <s v=""/>
    <n v="1000"/>
  </r>
  <r>
    <x v="2"/>
    <x v="0"/>
    <x v="0"/>
    <s v="Live Service Support Dept."/>
    <x v="8"/>
    <n v="101835"/>
    <s v="I100099999"/>
    <s v="DL-Service-Toxic-Filter-inZOI"/>
    <s v="오명석"/>
    <s v="오명석"/>
    <m/>
    <n v="0"/>
    <n v="4585"/>
    <n v="1"/>
    <n v="0"/>
    <n v="0"/>
    <n v="0"/>
    <n v="0"/>
    <n v="0"/>
    <n v="0"/>
    <n v="0"/>
    <n v="0"/>
    <n v="0"/>
    <n v="0"/>
    <n v="0"/>
    <s v=""/>
    <n v="1000"/>
  </r>
  <r>
    <x v="2"/>
    <x v="12"/>
    <x v="29"/>
    <s v="Live Service Support Dept."/>
    <x v="8"/>
    <n v="100090"/>
    <s v="P100010048"/>
    <s v="DL-Service-Toxic-Filter-inZOI"/>
    <s v="오명석"/>
    <s v="오명석"/>
    <m/>
    <n v="29"/>
    <n v="7516"/>
    <n v="2"/>
    <n v="0"/>
    <n v="0"/>
    <n v="0"/>
    <n v="0"/>
    <n v="0"/>
    <n v="0"/>
    <n v="0"/>
    <n v="0"/>
    <n v="0"/>
    <n v="0"/>
    <n v="0"/>
    <s v=""/>
    <n v="1000"/>
  </r>
  <r>
    <x v="2"/>
    <x v="0"/>
    <x v="0"/>
    <s v="Service DevOps Team"/>
    <x v="1"/>
    <n v="100553"/>
    <s v="P100130012"/>
    <s v="EME-SUNSET-API"/>
    <s v="장은진"/>
    <s v="장은진"/>
    <m/>
    <n v="0"/>
    <n v="142797"/>
    <n v="142696"/>
    <n v="142797"/>
    <n v="142797"/>
    <n v="142696"/>
    <n v="148503.524"/>
    <n v="148404"/>
    <n v="148509"/>
    <n v="148509"/>
    <n v="148117"/>
    <n v="148509"/>
    <n v="148509"/>
    <n v="392"/>
    <n v="2.6465564384911926E-3"/>
    <n v="1000"/>
  </r>
  <r>
    <x v="2"/>
    <x v="12"/>
    <x v="29"/>
    <s v="Service DevOps Team"/>
    <x v="1"/>
    <n v="100553"/>
    <e v="#N/A"/>
    <s v="EME-SUNSET-API"/>
    <s v="장은진"/>
    <s v="장은진"/>
    <m/>
    <n v="233928"/>
    <n v="234093"/>
    <n v="233928"/>
    <n v="234093"/>
    <n v="234093"/>
    <n v="233928"/>
    <n v="234085"/>
    <n v="233928"/>
    <n v="234093"/>
    <n v="234093"/>
    <n v="233475"/>
    <n v="234093"/>
    <n v="234093"/>
    <n v="618"/>
    <n v="2.6469643430774171E-3"/>
    <n v="1000"/>
  </r>
  <r>
    <x v="2"/>
    <x v="0"/>
    <x v="0"/>
    <s v="Publishing Tech PM Part"/>
    <x v="1"/>
    <n v="100368"/>
    <s v="P100030014"/>
    <s v="EME-SUNSET-BACKUP"/>
    <s v="김정언"/>
    <s v="김정언"/>
    <s v="v"/>
    <n v="0"/>
    <n v="104600"/>
    <n v="104600"/>
    <n v="104600"/>
    <n v="104600"/>
    <n v="104600"/>
    <n v="108784.3744"/>
    <n v="108784"/>
    <n v="108784"/>
    <n v="108784"/>
    <n v="108784"/>
    <n v="108784"/>
    <n v="108784"/>
    <n v="0"/>
    <n v="0"/>
    <n v="1000"/>
  </r>
  <r>
    <x v="2"/>
    <x v="12"/>
    <x v="29"/>
    <s v="Publishing Tech PM Part"/>
    <x v="1"/>
    <n v="101835"/>
    <s v="P100010048"/>
    <s v="EME-SUNSET-BACKUP"/>
    <s v="김정언"/>
    <s v="김정언"/>
    <s v="v"/>
    <n v="171809"/>
    <n v="171475"/>
    <n v="171476"/>
    <n v="171476"/>
    <n v="171476"/>
    <n v="171476"/>
    <n v="171476"/>
    <n v="171476"/>
    <n v="171476"/>
    <n v="171476"/>
    <n v="171476"/>
    <n v="171476"/>
    <n v="171476"/>
    <n v="0"/>
    <n v="0"/>
    <n v="1000"/>
  </r>
  <r>
    <x v="2"/>
    <x v="13"/>
    <x v="30"/>
    <s v="EME IT Admin Part"/>
    <x v="16"/>
    <n v="110119"/>
    <s v="AI Tools"/>
    <s v="EMEA_VisualStudio"/>
    <s v="Ben Moore"/>
    <s v="Ben Moore"/>
    <m/>
    <n v="1640680"/>
    <n v="1000815"/>
    <n v="1000815"/>
    <n v="1000815"/>
    <n v="1000815"/>
    <n v="1000815"/>
    <n v="1000814.8"/>
    <n v="1000815"/>
    <n v="1000815"/>
    <n v="1000815"/>
    <n v="1000815"/>
    <n v="0"/>
    <m/>
    <n v="-1000815"/>
    <n v="-1"/>
    <e v="#N/A"/>
  </r>
  <r>
    <x v="2"/>
    <x v="12"/>
    <x v="29"/>
    <s v="EME IT Admin Part"/>
    <x v="16"/>
    <n v="110119"/>
    <s v="AI Tools"/>
    <s v="EMEA_VisualStudio"/>
    <s v="Ben Moore"/>
    <s v="Ben Moore"/>
    <m/>
    <m/>
    <m/>
    <m/>
    <n v="1640680"/>
    <n v="1640680"/>
    <n v="1640680"/>
    <n v="1640680"/>
    <n v="1640680"/>
    <n v="1640680"/>
    <n v="1640680"/>
    <n v="1640680"/>
    <n v="0"/>
    <m/>
    <n v="-1640680"/>
    <n v="-1"/>
    <e v="#N/A"/>
  </r>
  <r>
    <x v="2"/>
    <x v="0"/>
    <x v="0"/>
    <s v="IT Dept."/>
    <x v="1"/>
    <n v="105011"/>
    <s v="P100010055"/>
    <s v="ERP_SystemCell"/>
    <s v="백용원"/>
    <s v="백용원"/>
    <s v="v"/>
    <n v="0"/>
    <n v="3097273"/>
    <n v="20956469"/>
    <n v="3031878"/>
    <n v="2943603"/>
    <n v="2968924"/>
    <n v="3311401.7872000001"/>
    <n v="3570659"/>
    <n v="3642868"/>
    <n v="3769614"/>
    <n v="3888371"/>
    <n v="3975313"/>
    <n v="3975313"/>
    <n v="86942"/>
    <n v="2.2359491931196896E-2"/>
    <n v="1000"/>
  </r>
  <r>
    <x v="2"/>
    <x v="12"/>
    <x v="29"/>
    <s v="IT Dept."/>
    <x v="1"/>
    <n v="101537"/>
    <s v="P100010012"/>
    <s v="ERP_SystemCell"/>
    <s v="백용원"/>
    <s v="백용원"/>
    <s v="v"/>
    <n v="5076819"/>
    <n v="5077496"/>
    <n v="4846670"/>
    <n v="4970292"/>
    <n v="4825578"/>
    <n v="4867089"/>
    <n v="5219738"/>
    <n v="5628404"/>
    <n v="5742684"/>
    <n v="5942015"/>
    <n v="6129211"/>
    <n v="6266257"/>
    <n v="6266257"/>
    <n v="137046"/>
    <n v="2.2359484768920503E-2"/>
    <n v="1000"/>
  </r>
  <r>
    <x v="2"/>
    <x v="9"/>
    <x v="18"/>
    <s v="Flyway Games"/>
    <x v="40"/>
    <e v="#N/A"/>
    <s v="AI Tools"/>
    <s v="Flyway-visualstudio"/>
    <s v="전민욱"/>
    <s v="전민욱"/>
    <m/>
    <n v="164068"/>
    <n v="100081"/>
    <n v="100081"/>
    <n v="100081"/>
    <n v="120260"/>
    <n v="150122"/>
    <n v="186442.23"/>
    <n v="225183"/>
    <n v="250204"/>
    <n v="250204"/>
    <n v="250204"/>
    <n v="0"/>
    <m/>
    <n v="-250204"/>
    <n v="-1"/>
    <n v="4800"/>
  </r>
  <r>
    <x v="2"/>
    <x v="12"/>
    <x v="29"/>
    <s v="Flyway Games"/>
    <x v="40"/>
    <n v="100677"/>
    <s v="P100010048"/>
    <s v="Flyway-visualstudio"/>
    <s v="전민욱"/>
    <s v="전민욱"/>
    <m/>
    <n v="0"/>
    <n v="164068"/>
    <n v="164068"/>
    <n v="164068"/>
    <n v="265949"/>
    <n v="246102"/>
    <n v="305643"/>
    <n v="369153"/>
    <n v="410170"/>
    <n v="410170"/>
    <n v="410170"/>
    <n v="0"/>
    <m/>
    <n v="-410170"/>
    <n v="-1"/>
    <n v="4800"/>
  </r>
  <r>
    <x v="2"/>
    <x v="0"/>
    <x v="0"/>
    <s v="Service DevOps Team"/>
    <x v="1"/>
    <n v="100036"/>
    <s v="I100099999"/>
    <s v="GameDevTest2304"/>
    <s v="엄기성"/>
    <s v="엄기성"/>
    <m/>
    <n v="0"/>
    <n v="0"/>
    <n v="0"/>
    <m/>
    <m/>
    <m/>
    <m/>
    <m/>
    <n v="0"/>
    <n v="0"/>
    <n v="0"/>
    <n v="0"/>
    <m/>
    <n v="0"/>
    <s v=""/>
    <n v="1000"/>
  </r>
  <r>
    <x v="2"/>
    <x v="12"/>
    <x v="29"/>
    <s v="Service DevOps Team"/>
    <x v="1"/>
    <n v="100037"/>
    <s v="P100010048"/>
    <s v="GameDevTest2304"/>
    <s v="엄기성"/>
    <s v="엄기성"/>
    <m/>
    <n v="0"/>
    <n v="0"/>
    <n v="0"/>
    <m/>
    <m/>
    <m/>
    <m/>
    <m/>
    <n v="0"/>
    <n v="0"/>
    <n v="0"/>
    <n v="0"/>
    <m/>
    <n v="0"/>
    <s v=""/>
    <n v="1000"/>
  </r>
  <r>
    <x v="2"/>
    <x v="0"/>
    <x v="0"/>
    <s v="Service DevOps Team"/>
    <x v="1"/>
    <n v="100033"/>
    <s v="I100099999"/>
    <s v="giseongeom-DevTest"/>
    <s v="엄기성"/>
    <s v="엄기성"/>
    <m/>
    <n v="0"/>
    <n v="240056"/>
    <n v="221064"/>
    <n v="222559"/>
    <n v="214214"/>
    <n v="199449"/>
    <n v="207198.212"/>
    <n v="200526"/>
    <n v="207295"/>
    <n v="200727"/>
    <n v="198608"/>
    <n v="202264"/>
    <n v="202264"/>
    <n v="3656"/>
    <n v="1.8408120518810925E-2"/>
    <n v="1000"/>
  </r>
  <r>
    <x v="2"/>
    <x v="12"/>
    <x v="29"/>
    <s v="Service DevOps Team"/>
    <x v="1"/>
    <n v="100037"/>
    <s v="P100010048"/>
    <s v="giseongeom-DevTest"/>
    <s v="엄기성"/>
    <s v="엄기성"/>
    <m/>
    <n v="389854"/>
    <n v="393534"/>
    <n v="362400"/>
    <n v="364850"/>
    <n v="351171"/>
    <n v="326965"/>
    <n v="326605"/>
    <n v="316088"/>
    <n v="326758"/>
    <n v="316405"/>
    <n v="313064"/>
    <n v="318828"/>
    <n v="318828"/>
    <n v="5764"/>
    <n v="1.8411570797025528E-2"/>
    <n v="1000"/>
  </r>
  <r>
    <x v="2"/>
    <x v="0"/>
    <x v="0"/>
    <s v="System Team"/>
    <x v="1"/>
    <n v="105011"/>
    <s v="P100010055"/>
    <s v="GitHub-Cloud-Azure-Enterprise"/>
    <s v="백용원"/>
    <s v="백용원"/>
    <s v="v"/>
    <n v="0"/>
    <n v="4285978"/>
    <n v="4535689"/>
    <n v="4700283"/>
    <n v="4819475"/>
    <n v="4998676"/>
    <n v="5333632.9903999995"/>
    <n v="6047147"/>
    <n v="6555691"/>
    <n v="6958431"/>
    <n v="7257705"/>
    <n v="7379760"/>
    <n v="7379760"/>
    <n v="122055"/>
    <n v="1.6817299683577661E-2"/>
    <n v="1000"/>
  </r>
  <r>
    <x v="2"/>
    <x v="12"/>
    <x v="29"/>
    <s v="System Team"/>
    <x v="1"/>
    <n v="101537"/>
    <s v="P100010012"/>
    <s v="GitHub-Cloud-Azure-Enterprise"/>
    <s v="백용원"/>
    <s v="백용원"/>
    <s v="v"/>
    <n v="6928615"/>
    <n v="7026194"/>
    <n v="7435555"/>
    <n v="7705382"/>
    <n v="7900779"/>
    <n v="8194550"/>
    <n v="8407366"/>
    <n v="9532073"/>
    <n v="10333687"/>
    <n v="10968523"/>
    <n v="11440266"/>
    <n v="11632661"/>
    <n v="11632661"/>
    <n v="192395"/>
    <n v="1.6817353722369741E-2"/>
    <n v="1000"/>
  </r>
  <r>
    <x v="2"/>
    <x v="0"/>
    <x v="0"/>
    <s v="Publishing Portfolio Management Team"/>
    <x v="1"/>
    <m/>
    <m/>
    <s v="gp-playtest-tool"/>
    <m/>
    <s v="백상훈"/>
    <m/>
    <m/>
    <m/>
    <m/>
    <m/>
    <m/>
    <m/>
    <m/>
    <m/>
    <m/>
    <m/>
    <m/>
    <n v="394"/>
    <n v="394"/>
    <n v="394"/>
    <s v=""/>
    <n v="1000"/>
  </r>
  <r>
    <x v="2"/>
    <x v="12"/>
    <x v="29"/>
    <s v="Publishing Portfolio Management Team"/>
    <x v="1"/>
    <m/>
    <m/>
    <s v="gp-playtest-tool"/>
    <m/>
    <s v="백상훈"/>
    <m/>
    <m/>
    <m/>
    <m/>
    <m/>
    <m/>
    <m/>
    <m/>
    <m/>
    <m/>
    <m/>
    <m/>
    <n v="621"/>
    <n v="621"/>
    <n v="621"/>
    <s v=""/>
    <n v="1000"/>
  </r>
  <r>
    <x v="2"/>
    <x v="0"/>
    <x v="31"/>
    <m/>
    <x v="1"/>
    <n v="100076"/>
    <s v="P100010048"/>
    <s v="KraftonMontrealStudio"/>
    <m/>
    <m/>
    <m/>
    <m/>
    <m/>
    <m/>
    <m/>
    <m/>
    <m/>
    <m/>
    <m/>
    <n v="7065"/>
    <n v="18151"/>
    <n v="20331"/>
    <n v="22161"/>
    <n v="22161"/>
    <n v="1830"/>
    <n v="9.0010329054153751E-2"/>
    <e v="#N/A"/>
  </r>
  <r>
    <x v="2"/>
    <x v="12"/>
    <x v="29"/>
    <m/>
    <x v="1"/>
    <n v="110119"/>
    <s v="AI Tools"/>
    <s v="KraftonMontrealStudio"/>
    <m/>
    <m/>
    <m/>
    <m/>
    <m/>
    <m/>
    <m/>
    <m/>
    <m/>
    <m/>
    <m/>
    <m/>
    <n v="28611"/>
    <n v="32047"/>
    <n v="34933"/>
    <n v="34933"/>
    <n v="2886"/>
    <n v="9.0055231378912221E-2"/>
    <e v="#N/A"/>
  </r>
  <r>
    <x v="2"/>
    <x v="0"/>
    <x v="0"/>
    <s v="L10N Team"/>
    <x v="1"/>
    <n v="100677"/>
    <s v="I100099999"/>
    <s v="L10N"/>
    <s v="김재헌"/>
    <s v="전평준"/>
    <s v="v"/>
    <n v="0"/>
    <n v="3729345"/>
    <n v="4503851"/>
    <n v="4752644"/>
    <n v="4729282"/>
    <n v="4570596"/>
    <n v="4875433.784"/>
    <n v="6098403"/>
    <n v="5160618"/>
    <n v="4907736"/>
    <n v="4627068"/>
    <n v="5020605"/>
    <n v="5020605"/>
    <n v="393537"/>
    <n v="8.5051051767555605E-2"/>
    <n v="1000"/>
  </r>
  <r>
    <x v="2"/>
    <x v="12"/>
    <x v="29"/>
    <s v="L10N Team"/>
    <x v="1"/>
    <n v="100561"/>
    <s v="AI Tools"/>
    <s v="L10N"/>
    <s v="김재헌"/>
    <s v="전평준"/>
    <m/>
    <n v="6739152"/>
    <n v="6113680"/>
    <n v="7383363"/>
    <n v="7791220"/>
    <n v="7752921"/>
    <n v="7492781"/>
    <n v="7685110"/>
    <n v="9612868"/>
    <n v="8134643"/>
    <n v="7736028"/>
    <n v="7293613"/>
    <n v="7913943"/>
    <n v="7913943"/>
    <n v="620330"/>
    <n v="8.5051126238806479E-2"/>
    <n v="1000"/>
  </r>
  <r>
    <x v="2"/>
    <x v="0"/>
    <x v="2"/>
    <s v="MS DevOps Team"/>
    <x v="1"/>
    <n v="100774"/>
    <s v="I100099999"/>
    <s v="majesta"/>
    <s v="천궁원"/>
    <s v="엄희영"/>
    <s v="v"/>
    <n v="0"/>
    <n v="0"/>
    <n v="0"/>
    <n v="0"/>
    <n v="0"/>
    <n v="0"/>
    <n v="41443.687248793998"/>
    <n v="2547814"/>
    <n v="2749611"/>
    <n v="2818120"/>
    <n v="2285967"/>
    <n v="2189229"/>
    <n v="2189229"/>
    <n v="-96738"/>
    <n v="-4.231819619443325E-2"/>
    <n v="1000"/>
  </r>
  <r>
    <x v="2"/>
    <x v="12"/>
    <x v="29"/>
    <s v="MS DevOps Team"/>
    <x v="1"/>
    <n v="100092"/>
    <s v="P100010048"/>
    <s v="majesta"/>
    <s v="천궁원"/>
    <s v="엄희영"/>
    <s v="v"/>
    <n v="3346784"/>
    <n v="3546603"/>
    <n v="0"/>
    <n v="3850441"/>
    <n v="3103765"/>
    <n v="4380720"/>
    <n v="4221852"/>
    <n v="4016100"/>
    <n v="4334192"/>
    <n v="4442182"/>
    <n v="3603352"/>
    <n v="3450865"/>
    <n v="3450865"/>
    <n v="-152487"/>
    <n v="-4.2318097149542981E-2"/>
    <n v="1000"/>
  </r>
  <r>
    <x v="2"/>
    <x v="0"/>
    <x v="0"/>
    <s v="IN Platform Business Dept._HQ"/>
    <x v="1"/>
    <n v="100025"/>
    <s v="I100099999"/>
    <s v="MCA"/>
    <s v="이승우"/>
    <s v="이승우"/>
    <m/>
    <m/>
    <m/>
    <m/>
    <m/>
    <m/>
    <m/>
    <m/>
    <m/>
    <m/>
    <n v="9406566"/>
    <n v="0"/>
    <n v="0"/>
    <m/>
    <n v="0"/>
    <s v=""/>
    <n v="1000"/>
  </r>
  <r>
    <x v="2"/>
    <x v="12"/>
    <x v="29"/>
    <s v="IN Platform Business Dept._HQ"/>
    <x v="1"/>
    <n v="100025"/>
    <s v="P100010048"/>
    <s v="MCA"/>
    <s v="이승우"/>
    <s v="이승우"/>
    <m/>
    <m/>
    <m/>
    <m/>
    <m/>
    <m/>
    <m/>
    <m/>
    <m/>
    <m/>
    <n v="0"/>
    <n v="0"/>
    <n v="0"/>
    <m/>
    <n v="0"/>
    <s v=""/>
    <n v="1000"/>
  </r>
  <r>
    <x v="2"/>
    <x v="0"/>
    <x v="0"/>
    <s v="Milestone Review Support Office"/>
    <x v="1"/>
    <n v="100033"/>
    <s v="I100099999"/>
    <s v="MRSO"/>
    <s v="송진나"/>
    <s v="송진나"/>
    <s v="v"/>
    <m/>
    <m/>
    <m/>
    <m/>
    <m/>
    <m/>
    <m/>
    <m/>
    <m/>
    <n v="17552"/>
    <n v="6021"/>
    <n v="39863"/>
    <n v="39863"/>
    <n v="33842"/>
    <n v="5.6206610197641584"/>
    <n v="1000"/>
  </r>
  <r>
    <x v="2"/>
    <x v="12"/>
    <x v="29"/>
    <s v="Milestone Review Support Office"/>
    <x v="1"/>
    <n v="100033"/>
    <s v="P100010048"/>
    <s v="MRSO"/>
    <s v="송진나"/>
    <s v="송진나"/>
    <s v="v"/>
    <m/>
    <m/>
    <m/>
    <m/>
    <m/>
    <m/>
    <m/>
    <m/>
    <m/>
    <n v="0"/>
    <n v="9491"/>
    <n v="62836"/>
    <n v="62836"/>
    <n v="53345"/>
    <n v="5.6205879254030133"/>
    <n v="1000"/>
  </r>
  <r>
    <x v="2"/>
    <x v="0"/>
    <x v="0"/>
    <s v="Milestone Review Support Office"/>
    <x v="1"/>
    <n v="101269"/>
    <s v="I100099999"/>
    <s v="MRSO_old"/>
    <s v="송진나"/>
    <s v="송진나"/>
    <s v="v"/>
    <m/>
    <m/>
    <m/>
    <m/>
    <m/>
    <m/>
    <m/>
    <m/>
    <m/>
    <m/>
    <n v="68850"/>
    <n v="0"/>
    <m/>
    <n v="-68850"/>
    <n v="-1"/>
    <n v="1000"/>
  </r>
  <r>
    <x v="2"/>
    <x v="14"/>
    <x v="25"/>
    <s v="Nautilus"/>
    <x v="41"/>
    <n v="110119"/>
    <s v="AI Tools"/>
    <s v="Nautilus_azure_sce_krafton_general"/>
    <s v="Mithil Bhatia"/>
    <s v="Mithil Bhatia"/>
    <s v="v"/>
    <m/>
    <m/>
    <m/>
    <m/>
    <n v="0"/>
    <n v="9427554"/>
    <n v="605447.25280000002"/>
    <n v="18349095"/>
    <n v="24970152"/>
    <n v="26039966"/>
    <n v="26065314"/>
    <n v="29799779"/>
    <n v="29799779"/>
    <n v="3734465"/>
    <n v="0.14327335554062384"/>
    <e v="#N/A"/>
  </r>
  <r>
    <x v="2"/>
    <x v="12"/>
    <x v="29"/>
    <s v="Nautilus"/>
    <x v="41"/>
    <n v="100076"/>
    <s v="P100010048"/>
    <s v="Nautilus_azure_sce_krafton_general"/>
    <m/>
    <m/>
    <m/>
    <m/>
    <m/>
    <m/>
    <n v="4488659"/>
    <n v="22485885"/>
    <n v="20099067"/>
    <n v="27584638"/>
    <n v="29425293"/>
    <n v="39360265"/>
    <n v="41046604"/>
    <n v="41086560"/>
    <n v="46973170"/>
    <n v="46973170"/>
    <n v="5886610"/>
    <n v="0.1432733721197394"/>
    <e v="#N/A"/>
  </r>
  <r>
    <x v="2"/>
    <x v="6"/>
    <x v="12"/>
    <s v="OVDR People Team"/>
    <x v="1"/>
    <n v="100212"/>
    <s v="P100010048"/>
    <s v="overdare_visualstudio"/>
    <s v="나윤호"/>
    <s v="나윤호"/>
    <m/>
    <n v="1066442"/>
    <n v="650530"/>
    <n v="650530"/>
    <n v="639230"/>
    <n v="650530"/>
    <n v="650530"/>
    <n v="625509.25"/>
    <n v="625509"/>
    <n v="625509"/>
    <n v="625509"/>
    <n v="625509"/>
    <n v="0"/>
    <m/>
    <n v="-625509"/>
    <n v="-1"/>
    <n v="4600"/>
  </r>
  <r>
    <x v="2"/>
    <x v="12"/>
    <x v="29"/>
    <s v="OVDR People Team"/>
    <x v="1"/>
    <n v="100212"/>
    <s v="P100010048"/>
    <s v="overdare_visualstudio"/>
    <s v="나윤호"/>
    <s v="나윤호"/>
    <m/>
    <n v="0"/>
    <n v="1066442"/>
    <n v="1066442"/>
    <n v="1047918"/>
    <n v="1066442"/>
    <n v="1066442"/>
    <n v="1025425"/>
    <n v="1025425"/>
    <n v="1025425"/>
    <n v="1025425"/>
    <n v="1025425"/>
    <n v="0"/>
    <m/>
    <n v="-1025425"/>
    <n v="-1"/>
    <n v="4600"/>
  </r>
  <r>
    <x v="2"/>
    <x v="0"/>
    <x v="2"/>
    <s v="Black Budget Div."/>
    <x v="16"/>
    <n v="101451"/>
    <s v="I100099999"/>
    <s v="PBB Dev"/>
    <s v="조원빈"/>
    <s v="조원빈"/>
    <m/>
    <n v="0"/>
    <n v="64923422"/>
    <n v="32400079"/>
    <n v="67015755"/>
    <n v="93084079"/>
    <n v="86855377"/>
    <n v="98894909.464000002"/>
    <n v="86537325"/>
    <n v="193495469"/>
    <n v="100301273"/>
    <n v="99110413"/>
    <n v="107833504"/>
    <n v="107833504"/>
    <n v="8723091"/>
    <n v="8.8013869945229667E-2"/>
    <n v="1000"/>
  </r>
  <r>
    <x v="2"/>
    <x v="12"/>
    <x v="29"/>
    <s v="Black Budget Div."/>
    <x v="16"/>
    <n v="101451"/>
    <s v="P100010048"/>
    <s v="PBB Dev"/>
    <s v="조원빈"/>
    <s v="조원빈"/>
    <m/>
    <n v="58472583"/>
    <n v="106431840"/>
    <n v="53114884"/>
    <n v="109861894"/>
    <n v="152596850"/>
    <n v="142385864"/>
    <n v="155887310"/>
    <n v="136408141"/>
    <n v="305005468"/>
    <n v="158104150"/>
    <n v="156227007"/>
    <n v="169977150"/>
    <n v="169977150"/>
    <n v="13750143"/>
    <n v="8.8013866898186174E-2"/>
    <n v="1000"/>
  </r>
  <r>
    <x v="2"/>
    <x v="0"/>
    <x v="0"/>
    <s v="KOS Engineering Dept."/>
    <x v="1"/>
    <n v="101269"/>
    <s v="I100099999"/>
    <s v="PPE-KCN"/>
    <s v="조국환"/>
    <s v="신근우"/>
    <m/>
    <n v="0"/>
    <n v="27264"/>
    <n v="153677"/>
    <n v="155119"/>
    <n v="148833"/>
    <n v="89015"/>
    <n v="88956.202399999995"/>
    <n v="86061"/>
    <n v="88809"/>
    <n v="86604"/>
    <n v="84916"/>
    <n v="86931"/>
    <n v="86931"/>
    <n v="2015"/>
    <n v="2.372933251684017E-2"/>
    <n v="1000"/>
  </r>
  <r>
    <x v="2"/>
    <x v="12"/>
    <x v="29"/>
    <s v="KOS Engineering Dept."/>
    <x v="1"/>
    <e v="#N/A"/>
    <s v="P100010012"/>
    <s v="PPE-KCN"/>
    <s v="조국환"/>
    <s v="신근우"/>
    <m/>
    <n v="2955"/>
    <n v="44695"/>
    <n v="251929"/>
    <n v="254294"/>
    <n v="243989"/>
    <n v="145927"/>
    <n v="140221"/>
    <n v="135657"/>
    <n v="139989"/>
    <n v="136513"/>
    <n v="133853"/>
    <n v="137028"/>
    <n v="137028"/>
    <n v="3175"/>
    <n v="2.3720051100834496E-2"/>
    <n v="1000"/>
  </r>
  <r>
    <x v="2"/>
    <x v="9"/>
    <x v="18"/>
    <s v="Service DevOps Team"/>
    <x v="42"/>
    <n v="102057"/>
    <s v="P100010048"/>
    <s v="Project-MC"/>
    <s v="엄기성"/>
    <s v="엄기성"/>
    <m/>
    <n v="0"/>
    <n v="0"/>
    <m/>
    <m/>
    <m/>
    <m/>
    <m/>
    <m/>
    <n v="0"/>
    <n v="0"/>
    <n v="0"/>
    <n v="0"/>
    <m/>
    <n v="0"/>
    <s v=""/>
    <n v="1000"/>
  </r>
  <r>
    <x v="2"/>
    <x v="12"/>
    <x v="29"/>
    <s v="Service DevOps Team"/>
    <x v="42"/>
    <n v="102057"/>
    <s v="P100010048"/>
    <s v="Project-MC"/>
    <s v="엄기성"/>
    <s v="엄기성"/>
    <m/>
    <n v="0"/>
    <n v="0"/>
    <n v="0"/>
    <m/>
    <m/>
    <m/>
    <m/>
    <m/>
    <n v="0"/>
    <n v="0"/>
    <n v="0"/>
    <n v="0"/>
    <m/>
    <n v="0"/>
    <s v=""/>
    <n v="1000"/>
  </r>
  <r>
    <x v="2"/>
    <x v="0"/>
    <x v="2"/>
    <s v="PUBG PC&amp;Console Dev Div."/>
    <x v="5"/>
    <n v="100974"/>
    <s v="I100099999"/>
    <s v="PUBG Console"/>
    <s v="김정헌"/>
    <s v="최준석"/>
    <s v="v"/>
    <n v="0"/>
    <n v="43349022"/>
    <n v="40223578"/>
    <n v="34438652"/>
    <n v="29686673"/>
    <n v="28623552"/>
    <n v="29541266.757599998"/>
    <n v="40130689"/>
    <n v="55695481"/>
    <n v="57950978"/>
    <n v="65344334"/>
    <n v="62481829"/>
    <n v="62481829"/>
    <n v="-2862505"/>
    <n v="-4.3806476013666308E-2"/>
    <n v="1000"/>
  </r>
  <r>
    <x v="2"/>
    <x v="12"/>
    <x v="29"/>
    <s v="PUBG PC&amp;Console Dev Div."/>
    <x v="5"/>
    <n v="101835"/>
    <s v="P100010012"/>
    <s v="PUBG Console"/>
    <s v="김정헌"/>
    <s v="최준석"/>
    <s v="v"/>
    <n v="71663951"/>
    <n v="71063971"/>
    <n v="65940291"/>
    <n v="56456807"/>
    <n v="48666677"/>
    <n v="46923856"/>
    <n v="46565679"/>
    <n v="63257706"/>
    <n v="87792373"/>
    <n v="91347696"/>
    <n v="103001788"/>
    <n v="98489642"/>
    <n v="98489642"/>
    <n v="-4512146"/>
    <n v="-4.3806482271938813E-2"/>
    <n v="1000"/>
  </r>
  <r>
    <x v="2"/>
    <x v="0"/>
    <x v="2"/>
    <s v="PUBG PC&amp;Console Dev Div."/>
    <x v="5"/>
    <n v="101835"/>
    <s v="I100099999"/>
    <s v="PUBG DevOps"/>
    <s v="김정헌"/>
    <s v="최준석"/>
    <s v="v"/>
    <n v="0"/>
    <n v="31892561"/>
    <n v="29032457"/>
    <n v="27276188"/>
    <n v="28936216"/>
    <n v="46992394"/>
    <n v="37244470.660800003"/>
    <n v="39551595"/>
    <n v="42634095"/>
    <n v="44015945"/>
    <n v="43136249"/>
    <n v="44909556"/>
    <n v="44909556"/>
    <n v="1773307"/>
    <n v="4.1109439070606255E-2"/>
    <n v="1000"/>
  </r>
  <r>
    <x v="2"/>
    <x v="12"/>
    <x v="29"/>
    <s v="PUBG PC&amp;Console Dev Div."/>
    <x v="5"/>
    <n v="101835"/>
    <s v="P100010012"/>
    <s v="PUBG DevOps"/>
    <s v="김정헌"/>
    <s v="최준석"/>
    <s v="v"/>
    <n v="50497745"/>
    <n v="52282887"/>
    <n v="47594192"/>
    <n v="44715062"/>
    <n v="47436420"/>
    <n v="77036712"/>
    <n v="58708182"/>
    <n v="62344885"/>
    <n v="67203806"/>
    <n v="69382006"/>
    <n v="67995349"/>
    <n v="70790599"/>
    <n v="70790599"/>
    <n v="2795250"/>
    <n v="4.110942941112046E-2"/>
    <n v="1000"/>
  </r>
  <r>
    <x v="2"/>
    <x v="0"/>
    <x v="2"/>
    <s v="PUBG PC&amp;Console Dev Div."/>
    <x v="5"/>
    <n v="101835"/>
    <s v="I100099999"/>
    <s v="PUBG PC"/>
    <s v="김정헌"/>
    <s v="최준석"/>
    <s v="v"/>
    <n v="0"/>
    <n v="654122055"/>
    <n v="632675274"/>
    <n v="643153731"/>
    <n v="613043775"/>
    <n v="583476656"/>
    <n v="629518453.13759995"/>
    <n v="566841287"/>
    <n v="608623170"/>
    <n v="614123098"/>
    <n v="545561778"/>
    <n v="674310259"/>
    <n v="674310259"/>
    <n v="128748481"/>
    <n v="0.23599248736226533"/>
    <n v="1000"/>
  </r>
  <r>
    <x v="2"/>
    <x v="12"/>
    <x v="29"/>
    <s v="PUBG PC&amp;Console Dev Div."/>
    <x v="5"/>
    <n v="100974"/>
    <s v="P100010048"/>
    <s v="PUBG PC"/>
    <s v="김정헌"/>
    <s v="최준석"/>
    <s v="v"/>
    <n v="1107321813"/>
    <n v="1072331238"/>
    <n v="1037172581"/>
    <n v="1054350379"/>
    <n v="1004989795"/>
    <n v="956519110"/>
    <n v="992305254"/>
    <n v="893507704"/>
    <n v="959368174"/>
    <n v="968037670"/>
    <n v="859964972"/>
    <n v="1062910245"/>
    <n v="1062910245"/>
    <n v="202945273"/>
    <n v="0.2359924876102977"/>
    <n v="1000"/>
  </r>
  <r>
    <x v="2"/>
    <x v="0"/>
    <x v="0"/>
    <s v="BGMI DevOps Team"/>
    <x v="4"/>
    <n v="101721"/>
    <s v="I100099999"/>
    <s v="pubg_mobile"/>
    <s v="조동현"/>
    <s v="조한경"/>
    <s v="v"/>
    <n v="0"/>
    <n v="2868169594"/>
    <n v="2635352434"/>
    <n v="2853663210"/>
    <n v="2918228070"/>
    <n v="2712037527"/>
    <n v="2788638480.5584002"/>
    <n v="2638062712"/>
    <n v="2719853599"/>
    <n v="2681886330"/>
    <n v="2590022339"/>
    <n v="2628154164"/>
    <n v="2628154164"/>
    <n v="38131825"/>
    <n v="1.4722585371492427E-2"/>
    <n v="1000"/>
  </r>
  <r>
    <x v="2"/>
    <x v="12"/>
    <x v="29"/>
    <s v="BGMI DevOps Team"/>
    <x v="4"/>
    <n v="100212"/>
    <s v="P100010048"/>
    <s v="pubg_mobile"/>
    <s v="조동현"/>
    <s v="조한경"/>
    <m/>
    <n v="4428010767"/>
    <n v="4701917367"/>
    <n v="4320249892"/>
    <n v="4678136410"/>
    <n v="4783980440"/>
    <n v="4445963159"/>
    <n v="4395710086"/>
    <n v="4158358621"/>
    <n v="4287447886"/>
    <n v="4227437468"/>
    <n v="4082632942"/>
    <n v="4142739853"/>
    <n v="4142739853"/>
    <n v="60106911"/>
    <n v="1.4722585119433938E-2"/>
    <n v="1000"/>
  </r>
  <r>
    <x v="2"/>
    <x v="0"/>
    <x v="0"/>
    <s v="BGMI DevOps Team"/>
    <x v="4"/>
    <n v="101721"/>
    <s v="I100099999"/>
    <s v="pubg_mobile_Test"/>
    <s v="조동현"/>
    <s v="조한경"/>
    <s v="v"/>
    <n v="0"/>
    <n v="5918183"/>
    <n v="10063622"/>
    <n v="7652918"/>
    <n v="6458424"/>
    <n v="5882031"/>
    <n v="7633905.2192000002"/>
    <n v="8523777"/>
    <n v="8947618"/>
    <n v="9256166"/>
    <n v="8813779"/>
    <n v="9441613"/>
    <n v="9441613"/>
    <n v="627834"/>
    <n v="7.1233236050052995E-2"/>
    <n v="1000"/>
  </r>
  <r>
    <x v="2"/>
    <x v="12"/>
    <x v="29"/>
    <s v="BGMI DevOps Team"/>
    <x v="4"/>
    <n v="100212"/>
    <s v="P100010048"/>
    <s v="pubg_mobile_Test"/>
    <s v="조동현"/>
    <s v="조한경"/>
    <m/>
    <n v="5229135"/>
    <n v="9701940"/>
    <n v="16497741"/>
    <n v="12545767"/>
    <n v="10587581"/>
    <n v="9642674"/>
    <n v="12033268"/>
    <n v="13435967"/>
    <n v="14104063"/>
    <n v="14590426"/>
    <n v="13893094"/>
    <n v="14882745"/>
    <n v="14882745"/>
    <n v="989651"/>
    <n v="7.1233304834761785E-2"/>
    <n v="1000"/>
  </r>
  <r>
    <x v="2"/>
    <x v="0"/>
    <x v="2"/>
    <s v="PUBG Valor Div."/>
    <x v="15"/>
    <n v="101537"/>
    <s v="P100010055"/>
    <s v="PUBG-Madison"/>
    <s v="송영재"/>
    <s v="송영재"/>
    <m/>
    <n v="0"/>
    <n v="0"/>
    <n v="0"/>
    <m/>
    <m/>
    <m/>
    <m/>
    <m/>
    <n v="0"/>
    <n v="0"/>
    <n v="0"/>
    <n v="0"/>
    <m/>
    <n v="0"/>
    <s v=""/>
    <n v="1000"/>
  </r>
  <r>
    <x v="2"/>
    <x v="12"/>
    <x v="29"/>
    <s v="PUBG Valor Div."/>
    <x v="15"/>
    <n v="101537"/>
    <s v="P100010012"/>
    <s v="PUBG-Madison"/>
    <s v="송영재"/>
    <s v="송영재"/>
    <m/>
    <n v="0"/>
    <n v="0"/>
    <n v="0"/>
    <m/>
    <m/>
    <m/>
    <m/>
    <m/>
    <n v="0"/>
    <n v="0"/>
    <n v="0"/>
    <n v="0"/>
    <m/>
    <n v="0"/>
    <s v=""/>
    <n v="1000"/>
  </r>
  <r>
    <x v="2"/>
    <x v="12"/>
    <x v="29"/>
    <s v="ReLU Dev Dept."/>
    <x v="43"/>
    <n v="100090"/>
    <s v="P100010048"/>
    <s v="ReLu_deep learning"/>
    <s v="이기문"/>
    <s v="이기문"/>
    <m/>
    <n v="389251"/>
    <n v="436911"/>
    <n v="437712"/>
    <n v="439454"/>
    <n v="436084"/>
    <n v="417513"/>
    <n v="433062"/>
    <n v="416606"/>
    <n v="465768"/>
    <n v="432899"/>
    <n v="359540"/>
    <n v="393443"/>
    <n v="393443"/>
    <n v="33903"/>
    <n v="9.4295488679979972E-2"/>
    <e v="#N/A"/>
  </r>
  <r>
    <x v="2"/>
    <x v="15"/>
    <x v="13"/>
    <s v="ReLU Dev Dept."/>
    <x v="43"/>
    <n v="100090"/>
    <s v="P100010048"/>
    <s v="ReLu_deep learning"/>
    <s v="이기문"/>
    <s v="이기문"/>
    <s v="v"/>
    <n v="0"/>
    <n v="266516"/>
    <n v="267004"/>
    <n v="268067"/>
    <n v="266011"/>
    <n v="254683"/>
    <n v="274734.53279999999"/>
    <n v="264295"/>
    <n v="295483"/>
    <n v="274631"/>
    <n v="228092"/>
    <n v="249600"/>
    <n v="249600"/>
    <n v="21508"/>
    <n v="9.4295284358942882E-2"/>
    <e v="#N/A"/>
  </r>
  <r>
    <x v="2"/>
    <x v="12"/>
    <x v="29"/>
    <s v="ReLU Dev Dept."/>
    <x v="43"/>
    <e v="#N/A"/>
    <s v="P100010048"/>
    <s v="relu_deeplearning_prod"/>
    <s v="이기문"/>
    <s v="이기문"/>
    <m/>
    <n v="24488"/>
    <n v="26056"/>
    <n v="25343"/>
    <n v="25869"/>
    <n v="26130"/>
    <n v="27454"/>
    <n v="27549"/>
    <n v="31547"/>
    <n v="36060"/>
    <n v="32075"/>
    <n v="27016"/>
    <n v="29955"/>
    <n v="29955"/>
    <n v="2939"/>
    <n v="0.10878738525318329"/>
    <e v="#N/A"/>
  </r>
  <r>
    <x v="2"/>
    <x v="15"/>
    <x v="32"/>
    <s v="ReLU Dev Dept."/>
    <x v="43"/>
    <e v="#N/A"/>
    <s v="P100010048"/>
    <s v="relu_deeplearning_prod"/>
    <s v="이기문"/>
    <s v="이기문"/>
    <s v="v"/>
    <n v="0"/>
    <n v="15894"/>
    <n v="15459"/>
    <n v="15780"/>
    <n v="15939"/>
    <n v="16747"/>
    <n v="17477.085599999999"/>
    <n v="20013"/>
    <n v="22876"/>
    <n v="20348"/>
    <n v="17139"/>
    <n v="19003"/>
    <n v="19003"/>
    <n v="1864"/>
    <n v="0.10875780383919716"/>
    <e v="#N/A"/>
  </r>
  <r>
    <x v="2"/>
    <x v="12"/>
    <x v="29"/>
    <s v="ReLU Dev Dept."/>
    <x v="43"/>
    <n v="460013"/>
    <s v="P100010048"/>
    <s v="relu_deeplearning_prod_secondary"/>
    <s v="이기문"/>
    <s v="이기문"/>
    <m/>
    <n v="24484"/>
    <n v="26080"/>
    <n v="25554"/>
    <n v="26303"/>
    <n v="26354"/>
    <n v="27607"/>
    <n v="27579"/>
    <n v="31525"/>
    <n v="36068"/>
    <n v="32075"/>
    <n v="27022"/>
    <n v="29965"/>
    <n v="29965"/>
    <n v="2943"/>
    <n v="0.10891125749389387"/>
    <e v="#N/A"/>
  </r>
  <r>
    <x v="2"/>
    <x v="15"/>
    <x v="32"/>
    <s v="ReLU Dev Dept."/>
    <x v="43"/>
    <n v="460013"/>
    <s v="P100010048"/>
    <s v="relu_deeplearning_prod_secondary"/>
    <s v="이기문"/>
    <s v="이기문"/>
    <s v="v"/>
    <n v="0"/>
    <n v="15909"/>
    <n v="15588"/>
    <n v="16045"/>
    <n v="16076"/>
    <n v="16840"/>
    <n v="17496.117600000001"/>
    <n v="19999"/>
    <n v="22882"/>
    <n v="20348"/>
    <n v="17143"/>
    <n v="19010"/>
    <n v="19010"/>
    <n v="1867"/>
    <n v="0.1089074257714519"/>
    <e v="#N/A"/>
  </r>
  <r>
    <x v="2"/>
    <x v="12"/>
    <x v="29"/>
    <s v="AI research center"/>
    <x v="1"/>
    <e v="#N/A"/>
    <s v="P100010012"/>
    <s v="Research"/>
    <s v="심재한"/>
    <s v="심재한"/>
    <m/>
    <n v="29889"/>
    <n v="58705"/>
    <n v="51794"/>
    <n v="54218"/>
    <n v="58561"/>
    <n v="76466"/>
    <n v="53111"/>
    <n v="40466"/>
    <n v="22490"/>
    <n v="22489"/>
    <n v="22254"/>
    <n v="22489"/>
    <n v="22489"/>
    <n v="235"/>
    <n v="1.0559899343938169E-2"/>
    <n v="1000"/>
  </r>
  <r>
    <x v="2"/>
    <x v="2"/>
    <x v="6"/>
    <s v="AI research center"/>
    <x v="1"/>
    <n v="100036"/>
    <s v="I100099999"/>
    <s v="Research"/>
    <s v="심재한"/>
    <s v="심재한"/>
    <m/>
    <n v="0"/>
    <n v="35810"/>
    <n v="31594"/>
    <n v="33073"/>
    <n v="35722"/>
    <n v="46644"/>
    <n v="33693.618399999999"/>
    <n v="25672"/>
    <n v="14268"/>
    <n v="14267"/>
    <n v="14118"/>
    <n v="14267"/>
    <n v="14267"/>
    <n v="149"/>
    <n v="1.0553902819096189E-2"/>
    <n v="1000"/>
  </r>
  <r>
    <x v="2"/>
    <x v="0"/>
    <x v="4"/>
    <s v="Striking Distance Studios"/>
    <x v="7"/>
    <n v="110119"/>
    <s v="AI Tools"/>
    <s v="SDS-Azure subscription"/>
    <s v="Jordan Yerkes"/>
    <s v="Jordan Yerkes"/>
    <m/>
    <n v="0"/>
    <n v="0"/>
    <n v="0"/>
    <n v="1"/>
    <m/>
    <n v="0"/>
    <m/>
    <n v="0"/>
    <n v="0"/>
    <n v="0"/>
    <n v="0"/>
    <n v="0"/>
    <m/>
    <n v="0"/>
    <s v=""/>
    <n v="1000"/>
  </r>
  <r>
    <x v="2"/>
    <x v="12"/>
    <x v="29"/>
    <s v="Striking Distance Studios"/>
    <x v="7"/>
    <n v="110119"/>
    <s v="AI Tools"/>
    <s v="SDS-Azure subscription"/>
    <s v="Jordan Yerkes"/>
    <s v="Jordan Yerkes"/>
    <m/>
    <n v="2"/>
    <n v="0"/>
    <n v="1"/>
    <n v="1"/>
    <n v="1"/>
    <n v="0"/>
    <n v="1"/>
    <n v="0"/>
    <n v="1"/>
    <n v="0"/>
    <n v="1"/>
    <n v="1"/>
    <n v="1"/>
    <n v="0"/>
    <n v="0"/>
    <n v="1000"/>
  </r>
  <r>
    <x v="2"/>
    <x v="0"/>
    <x v="0"/>
    <s v="Security Policy Part"/>
    <x v="1"/>
    <n v="101940"/>
    <s v="I100099999"/>
    <s v="security_policy_prod"/>
    <s v="조남원"/>
    <s v="조남원"/>
    <s v="v"/>
    <m/>
    <m/>
    <m/>
    <m/>
    <m/>
    <m/>
    <m/>
    <m/>
    <n v="4"/>
    <n v="18"/>
    <n v="6"/>
    <n v="17867"/>
    <n v="17867"/>
    <n v="17861"/>
    <n v="2976.8333333333335"/>
    <n v="1000"/>
  </r>
  <r>
    <x v="2"/>
    <x v="12"/>
    <x v="29"/>
    <s v="Security Policy Part"/>
    <x v="1"/>
    <n v="101940"/>
    <s v="P100010048"/>
    <s v="security_policy_prod"/>
    <s v="조남원"/>
    <s v="조남원"/>
    <s v="v"/>
    <m/>
    <m/>
    <m/>
    <m/>
    <m/>
    <m/>
    <m/>
    <m/>
    <m/>
    <n v="29"/>
    <n v="9"/>
    <n v="28163"/>
    <n v="28163"/>
    <n v="28154"/>
    <n v="3128.2222222222222"/>
    <n v="1000"/>
  </r>
  <r>
    <x v="2"/>
    <x v="0"/>
    <x v="0"/>
    <s v="Security Dept."/>
    <x v="1"/>
    <n v="101835"/>
    <s v="I100099999"/>
    <s v="Security_VDI"/>
    <s v="홍준화"/>
    <s v="홍준화"/>
    <s v="v"/>
    <n v="0"/>
    <n v="3750159"/>
    <n v="5263924"/>
    <n v="9174285"/>
    <n v="9778425"/>
    <n v="10102923"/>
    <n v="10306813.223200001"/>
    <n v="10732462"/>
    <n v="11368561"/>
    <n v="12220988"/>
    <n v="12729421"/>
    <n v="14888597"/>
    <n v="14888597"/>
    <n v="2159176"/>
    <n v="0.16962091205876528"/>
    <n v="1000"/>
  </r>
  <r>
    <x v="2"/>
    <x v="12"/>
    <x v="29"/>
    <s v="Security Dept."/>
    <x v="1"/>
    <n v="100037"/>
    <s v="P100010048"/>
    <s v="Security_VDI"/>
    <s v="홍준화"/>
    <s v="홍준화"/>
    <s v="v"/>
    <n v="2571411"/>
    <n v="6147802"/>
    <n v="8629384"/>
    <n v="15039812"/>
    <n v="16030205"/>
    <n v="16562169"/>
    <n v="16246553"/>
    <n v="16917500"/>
    <n v="17920178"/>
    <n v="19263852"/>
    <n v="20065291"/>
    <n v="23468785"/>
    <n v="23468785"/>
    <n v="3403494"/>
    <n v="0.16962096388235784"/>
    <n v="1000"/>
  </r>
  <r>
    <x v="2"/>
    <x v="0"/>
    <x v="0"/>
    <s v="IN Platform Business Dept._HQ"/>
    <x v="39"/>
    <n v="100368"/>
    <s v="P100030014"/>
    <s v="SRC-India-DEV"/>
    <s v="김정언"/>
    <s v="김정언"/>
    <s v="v"/>
    <m/>
    <m/>
    <m/>
    <m/>
    <m/>
    <m/>
    <m/>
    <m/>
    <n v="0"/>
    <n v="31079"/>
    <n v="1127183"/>
    <n v="0"/>
    <n v="0"/>
    <n v="-1127183"/>
    <n v="-1"/>
    <n v="1000"/>
  </r>
  <r>
    <x v="2"/>
    <x v="12"/>
    <x v="29"/>
    <s v="IN Platform Business Dept._HQ"/>
    <x v="39"/>
    <n v="101835"/>
    <s v="P100010048"/>
    <s v="SRC-India-DEV"/>
    <s v="김정언"/>
    <s v="김정언"/>
    <m/>
    <m/>
    <m/>
    <m/>
    <m/>
    <m/>
    <m/>
    <m/>
    <m/>
    <m/>
    <n v="48989"/>
    <n v="1776770"/>
    <n v="5023982"/>
    <n v="5023982"/>
    <n v="3247212"/>
    <n v="1.8275927666495946"/>
    <n v="1000"/>
  </r>
  <r>
    <x v="2"/>
    <x v="0"/>
    <x v="0"/>
    <s v="Strategic Alignment Office"/>
    <x v="1"/>
    <n v="100212"/>
    <s v="I100099999"/>
    <s v="Strategic Alignment Office"/>
    <s v="박승아"/>
    <s v="박승아"/>
    <s v="v"/>
    <m/>
    <m/>
    <m/>
    <m/>
    <m/>
    <m/>
    <m/>
    <m/>
    <n v="0"/>
    <n v="13313"/>
    <n v="17695"/>
    <n v="19225"/>
    <n v="19225"/>
    <n v="1530"/>
    <n v="8.6465103136479232E-2"/>
    <n v="1000"/>
  </r>
  <r>
    <x v="2"/>
    <x v="12"/>
    <x v="29"/>
    <s v="Strategic Alignment Office"/>
    <x v="1"/>
    <n v="100212"/>
    <s v="P100010048"/>
    <s v="Strategic Alignment Office"/>
    <s v="박승아"/>
    <s v="박승아"/>
    <m/>
    <m/>
    <m/>
    <m/>
    <m/>
    <m/>
    <m/>
    <m/>
    <m/>
    <m/>
    <n v="20985"/>
    <n v="27892"/>
    <n v="30304"/>
    <n v="30304"/>
    <n v="2412"/>
    <n v="8.6476409006166641E-2"/>
    <n v="1000"/>
  </r>
  <r>
    <x v="2"/>
    <x v="0"/>
    <x v="0"/>
    <s v="IN Platform Business Dept._HQ"/>
    <x v="1"/>
    <n v="100033"/>
    <e v="#N/A"/>
    <s v="SUNZO"/>
    <s v="이승우"/>
    <s v="이승우"/>
    <s v="v"/>
    <m/>
    <m/>
    <m/>
    <m/>
    <m/>
    <m/>
    <m/>
    <m/>
    <m/>
    <m/>
    <n v="1731437"/>
    <n v="7003366"/>
    <n v="7003366"/>
    <n v="5271929"/>
    <n v="3.0448286596624654"/>
    <n v="1000"/>
  </r>
  <r>
    <x v="2"/>
    <x v="12"/>
    <x v="29"/>
    <s v="IN Platform Business Dept._HQ"/>
    <x v="1"/>
    <n v="100033"/>
    <s v="I100099999"/>
    <s v="SUNZO"/>
    <s v="이승우"/>
    <s v="이승우"/>
    <m/>
    <m/>
    <m/>
    <m/>
    <m/>
    <m/>
    <m/>
    <m/>
    <m/>
    <m/>
    <m/>
    <n v="2729251"/>
    <n v="11039354"/>
    <n v="11039354"/>
    <n v="8310103"/>
    <n v="3.0448291490962172"/>
    <n v="1000"/>
  </r>
  <r>
    <x v="2"/>
    <x v="0"/>
    <x v="0"/>
    <s v="IN Platform Business Dept._HQ"/>
    <x v="1"/>
    <n v="100414"/>
    <s v="P100010012"/>
    <s v="SUNZO_old"/>
    <s v="이승우"/>
    <s v="이승우"/>
    <m/>
    <m/>
    <m/>
    <m/>
    <m/>
    <m/>
    <m/>
    <m/>
    <m/>
    <m/>
    <m/>
    <n v="31836944"/>
    <n v="0"/>
    <m/>
    <n v="-31836944"/>
    <n v="-1"/>
    <n v="1000"/>
  </r>
  <r>
    <x v="2"/>
    <x v="0"/>
    <x v="0"/>
    <s v="System Team"/>
    <x v="1"/>
    <n v="100561"/>
    <s v="P100010013"/>
    <s v="Teams Room Pro"/>
    <s v="정윤환"/>
    <s v="정윤환"/>
    <m/>
    <m/>
    <m/>
    <m/>
    <m/>
    <m/>
    <m/>
    <m/>
    <m/>
    <n v="0"/>
    <n v="68735"/>
    <n v="0"/>
    <n v="0"/>
    <m/>
    <n v="0"/>
    <s v=""/>
    <n v="1000"/>
  </r>
  <r>
    <x v="2"/>
    <x v="5"/>
    <x v="9"/>
    <s v="T_Console Service Part"/>
    <x v="35"/>
    <e v="#N/A"/>
    <e v="#N/A"/>
    <s v="TRCS-AP-Azure-Enterprise"/>
    <s v="장은진"/>
    <s v="장은진"/>
    <s v="v"/>
    <n v="0"/>
    <n v="3856679"/>
    <n v="3683346"/>
    <n v="3743177"/>
    <n v="3653615"/>
    <n v="3922959"/>
    <n v="3940138.4983999999"/>
    <n v="3777309"/>
    <n v="3983307"/>
    <n v="3892641"/>
    <n v="3717170"/>
    <n v="3916345"/>
    <n v="3916345"/>
    <n v="199175"/>
    <n v="5.358242964405717E-2"/>
    <n v="1100"/>
  </r>
  <r>
    <x v="2"/>
    <x v="12"/>
    <x v="29"/>
    <s v="T_Console Service Part"/>
    <x v="35"/>
    <n v="100553"/>
    <e v="#N/A"/>
    <s v="TRCS-AP-Azure-Enterprise"/>
    <s v="장은진"/>
    <s v="장은진"/>
    <m/>
    <n v="5491183"/>
    <n v="6322424"/>
    <n v="6038272"/>
    <n v="6136355"/>
    <n v="5989533"/>
    <n v="6431081"/>
    <n v="6210811"/>
    <n v="5954144"/>
    <n v="6278857"/>
    <n v="6135941"/>
    <n v="5859348"/>
    <n v="6173306"/>
    <n v="6173306"/>
    <n v="313958"/>
    <n v="5.3582412241088943E-2"/>
    <n v="1100"/>
  </r>
  <r>
    <x v="2"/>
    <x v="5"/>
    <x v="9"/>
    <s v="T_Console Service Part"/>
    <x v="35"/>
    <e v="#N/A"/>
    <e v="#N/A"/>
    <s v="TRCS-AP-Azure-Enterprise-DevTest"/>
    <s v="장은진"/>
    <s v="장은진"/>
    <s v="v"/>
    <n v="0"/>
    <n v="3705594"/>
    <n v="3560658"/>
    <n v="3530653"/>
    <n v="3306576"/>
    <n v="3612062"/>
    <n v="3746040.0120000001"/>
    <n v="3640784"/>
    <n v="3749390"/>
    <n v="3685507"/>
    <n v="3495136"/>
    <n v="3245935"/>
    <n v="3245935"/>
    <n v="-249201"/>
    <n v="-7.1299371469379161E-2"/>
    <n v="1100"/>
  </r>
  <r>
    <x v="2"/>
    <x v="12"/>
    <x v="29"/>
    <s v="T_Console Service Part"/>
    <x v="35"/>
    <n v="100459"/>
    <s v="AI Tools"/>
    <s v="TRCS-AP-Azure-Enterprise-DevTest"/>
    <s v="장은진"/>
    <s v="장은진"/>
    <m/>
    <n v="6038949"/>
    <n v="6074744"/>
    <n v="5837145"/>
    <n v="5787956"/>
    <n v="5420617"/>
    <n v="5921413"/>
    <n v="5904855"/>
    <n v="5738941"/>
    <n v="5910135"/>
    <n v="5809438"/>
    <n v="5509357"/>
    <n v="5116543"/>
    <n v="5116543"/>
    <n v="-392814"/>
    <n v="-7.1299427501249235E-2"/>
    <n v="1100"/>
  </r>
  <r>
    <x v="2"/>
    <x v="5"/>
    <x v="9"/>
    <s v="T_Console Service Part"/>
    <x v="35"/>
    <e v="#N/A"/>
    <e v="#N/A"/>
    <s v="TRCS-Azure-Enterprise"/>
    <s v="장은진"/>
    <s v="장은진"/>
    <s v="v"/>
    <n v="0"/>
    <n v="15630180"/>
    <n v="14799265"/>
    <n v="14966148"/>
    <n v="14475951"/>
    <n v="14023479"/>
    <n v="14720369.5496"/>
    <n v="14191387"/>
    <n v="14744226"/>
    <n v="14412521"/>
    <n v="13819269"/>
    <n v="14282518"/>
    <n v="14282518"/>
    <n v="463249"/>
    <n v="3.3521961255693046E-2"/>
    <n v="1100"/>
  </r>
  <r>
    <x v="2"/>
    <x v="12"/>
    <x v="29"/>
    <s v="T_Console Service Part"/>
    <x v="35"/>
    <n v="100459"/>
    <s v="AI Tools"/>
    <s v="TRCS-Azure-Enterprise"/>
    <s v="장은진"/>
    <s v="장은진"/>
    <m/>
    <n v="25668476"/>
    <n v="25623246"/>
    <n v="24261089"/>
    <n v="24534670"/>
    <n v="23731068"/>
    <n v="22989310"/>
    <n v="23203609"/>
    <n v="22369777"/>
    <n v="23241386"/>
    <n v="22718349"/>
    <n v="21783211"/>
    <n v="22513427"/>
    <n v="22513427"/>
    <n v="730216"/>
    <n v="3.3521963313856713E-2"/>
    <n v="1100"/>
  </r>
  <r>
    <x v="2"/>
    <x v="5"/>
    <x v="9"/>
    <s v="T_Console Service Part"/>
    <x v="35"/>
    <e v="#N/A"/>
    <e v="#N/A"/>
    <s v="TRCS-Azure-Enterprise-DevTest"/>
    <s v="장은진"/>
    <s v="장은진"/>
    <s v="v"/>
    <n v="0"/>
    <n v="3135165"/>
    <n v="3241010"/>
    <n v="3285226"/>
    <n v="3008475"/>
    <n v="3014797"/>
    <n v="3157726"/>
    <n v="3276885"/>
    <n v="3786220"/>
    <n v="3605524"/>
    <n v="3406434"/>
    <n v="3053938"/>
    <n v="3053938"/>
    <n v="-352496"/>
    <n v="-0.10347947442985832"/>
    <n v="1100"/>
  </r>
  <r>
    <x v="2"/>
    <x v="12"/>
    <x v="29"/>
    <s v="T_Console Service Part"/>
    <x v="35"/>
    <e v="#N/A"/>
    <s v="AI Tools"/>
    <s v="TRCS-Azure-Enterprise-DevTest"/>
    <s v="장은진"/>
    <s v="장은진"/>
    <m/>
    <n v="5113778"/>
    <n v="5139616"/>
    <n v="5313131"/>
    <n v="5385616"/>
    <n v="4931926"/>
    <n v="4942290"/>
    <n v="4977500"/>
    <n v="5165330"/>
    <n v="5968191"/>
    <n v="5683360"/>
    <n v="5369537"/>
    <n v="4813900"/>
    <n v="4813900"/>
    <n v="-555637"/>
    <n v="-0.10347949925663982"/>
    <n v="1100"/>
  </r>
  <r>
    <x v="2"/>
    <x v="0"/>
    <x v="0"/>
    <s v="Culture Team"/>
    <x v="1"/>
    <m/>
    <m/>
    <s v="WoW"/>
    <m/>
    <s v="이서진"/>
    <m/>
    <m/>
    <m/>
    <m/>
    <m/>
    <m/>
    <m/>
    <m/>
    <m/>
    <m/>
    <m/>
    <m/>
    <n v="578"/>
    <n v="578"/>
    <n v="578"/>
    <s v=""/>
    <n v="1000"/>
  </r>
  <r>
    <x v="2"/>
    <x v="12"/>
    <x v="29"/>
    <s v="Culture Team"/>
    <x v="1"/>
    <m/>
    <m/>
    <s v="WoW"/>
    <m/>
    <s v="이서진"/>
    <m/>
    <m/>
    <m/>
    <m/>
    <m/>
    <m/>
    <m/>
    <m/>
    <m/>
    <m/>
    <m/>
    <m/>
    <n v="911"/>
    <n v="911"/>
    <n v="911"/>
    <s v=""/>
    <n v="1000"/>
  </r>
  <r>
    <x v="2"/>
    <x v="0"/>
    <x v="30"/>
    <s v="West Scale-up Dept."/>
    <x v="1"/>
    <n v="110119"/>
    <s v="AI Tools"/>
    <s v="WPS AI Ops Team (wps_ai_ops_team)"/>
    <s v="Love Hedman"/>
    <s v="Love Hedman"/>
    <m/>
    <n v="0"/>
    <n v="5"/>
    <n v="5"/>
    <n v="6"/>
    <n v="6"/>
    <n v="54"/>
    <n v="1370.9384"/>
    <n v="738"/>
    <n v="247"/>
    <n v="211"/>
    <n v="246"/>
    <n v="232"/>
    <n v="232"/>
    <n v="-14"/>
    <n v="-5.6910569105691054E-2"/>
    <e v="#N/A"/>
  </r>
  <r>
    <x v="2"/>
    <x v="12"/>
    <x v="29"/>
    <s v="West Scale-up Dept."/>
    <x v="1"/>
    <n v="110119"/>
    <s v="AI Tools"/>
    <s v="WPS AI Ops Team (wps_ai_ops_team)"/>
    <s v="Love Hedman"/>
    <s v="Love Hedman"/>
    <m/>
    <m/>
    <n v="9"/>
    <n v="9"/>
    <n v="10"/>
    <n v="10"/>
    <n v="89"/>
    <n v="2161"/>
    <n v="1164"/>
    <n v="389"/>
    <n v="332"/>
    <n v="387"/>
    <n v="365"/>
    <n v="365"/>
    <n v="-22"/>
    <n v="-5.6847545219638244E-2"/>
    <e v="#N/A"/>
  </r>
  <r>
    <x v="2"/>
    <x v="0"/>
    <x v="0"/>
    <s v="Experience Engineering Dept."/>
    <x v="1"/>
    <n v="100414"/>
    <s v="P100010012"/>
    <s v="xe_git_bee"/>
    <s v="허지호"/>
    <s v="이준호"/>
    <m/>
    <m/>
    <m/>
    <m/>
    <m/>
    <n v="261"/>
    <n v="1490"/>
    <n v="5186.22"/>
    <n v="7841"/>
    <n v="3395"/>
    <n v="0"/>
    <n v="0"/>
    <n v="0"/>
    <n v="0"/>
    <n v="0"/>
    <s v=""/>
    <n v="1000"/>
  </r>
  <r>
    <x v="2"/>
    <x v="12"/>
    <x v="29"/>
    <s v="Experience Engineering Dept."/>
    <x v="1"/>
    <n v="100414"/>
    <s v="P100010012"/>
    <s v="xe_git_bee"/>
    <s v="허지호"/>
    <s v="이준호"/>
    <m/>
    <m/>
    <m/>
    <m/>
    <m/>
    <n v="261"/>
    <n v="2442"/>
    <n v="8175"/>
    <n v="12359"/>
    <n v="5352"/>
    <n v="0"/>
    <n v="0"/>
    <n v="0"/>
    <n v="0"/>
    <n v="0"/>
    <s v=""/>
    <n v="1000"/>
  </r>
  <r>
    <x v="2"/>
    <x v="0"/>
    <x v="1"/>
    <s v="[N/A]New State Dev Div."/>
    <x v="3"/>
    <n v="100033"/>
    <s v="I100099999"/>
    <s v="XTRM-data"/>
    <s v="염화음"/>
    <s v="김시훈"/>
    <s v="v"/>
    <n v="0"/>
    <n v="57649"/>
    <n v="57539"/>
    <n v="59060"/>
    <n v="59068"/>
    <n v="57083"/>
    <n v="61482.875999999997"/>
    <n v="59373"/>
    <n v="61401"/>
    <n v="61125"/>
    <n v="55946"/>
    <n v="61464"/>
    <n v="61464"/>
    <n v="5518"/>
    <n v="9.8630822578915381E-2"/>
    <n v="1000"/>
  </r>
  <r>
    <x v="2"/>
    <x v="12"/>
    <x v="29"/>
    <s v="[N/A]New State Dev Div."/>
    <x v="3"/>
    <n v="100033"/>
    <s v="P100010048"/>
    <s v="XTRM-data"/>
    <s v="염화음"/>
    <s v="김시훈"/>
    <s v="v"/>
    <n v="90761"/>
    <n v="94506"/>
    <n v="94326"/>
    <n v="96820"/>
    <n v="96833"/>
    <n v="93578"/>
    <n v="96915"/>
    <n v="93590"/>
    <n v="96786"/>
    <n v="96351"/>
    <n v="88188"/>
    <n v="96886"/>
    <n v="96886"/>
    <n v="8698"/>
    <n v="9.8630199120061685E-2"/>
    <n v="1000"/>
  </r>
  <r>
    <x v="2"/>
    <x v="0"/>
    <x v="1"/>
    <s v="[N/A]New State Dev Div."/>
    <x v="3"/>
    <n v="100553"/>
    <s v="P100130012"/>
    <s v="xtrm-newstate"/>
    <s v="김태완"/>
    <s v="김태완"/>
    <s v="v"/>
    <n v="0"/>
    <n v="500502"/>
    <n v="482910"/>
    <n v="496106"/>
    <n v="492526"/>
    <n v="476804"/>
    <n v="510204.14640000003"/>
    <n v="449423"/>
    <n v="439923"/>
    <n v="440244"/>
    <n v="399650"/>
    <n v="440445"/>
    <n v="440445"/>
    <n v="40795"/>
    <n v="0.10207681721506318"/>
    <n v="1000"/>
  </r>
  <r>
    <x v="2"/>
    <x v="12"/>
    <x v="29"/>
    <s v="[N/A]New State Dev Div."/>
    <x v="3"/>
    <n v="101721"/>
    <e v="#N/A"/>
    <s v="xtrm-newstate"/>
    <s v="김태완"/>
    <s v="김태완"/>
    <m/>
    <n v="681483"/>
    <n v="820495"/>
    <n v="791655"/>
    <n v="813289"/>
    <n v="807419"/>
    <n v="781646"/>
    <n v="804231"/>
    <n v="708422"/>
    <n v="693447"/>
    <n v="693954"/>
    <n v="629965"/>
    <n v="694270"/>
    <n v="694270"/>
    <n v="64305"/>
    <n v="0.10207709952140198"/>
    <n v="1000"/>
  </r>
  <r>
    <x v="2"/>
    <x v="0"/>
    <x v="1"/>
    <s v="Service DevOps Team"/>
    <x v="3"/>
    <n v="100092"/>
    <s v="I100099999"/>
    <s v="XTRM-Web"/>
    <s v="엄기성"/>
    <s v="엄기성"/>
    <m/>
    <n v="0"/>
    <n v="0"/>
    <n v="0"/>
    <m/>
    <m/>
    <m/>
    <m/>
    <m/>
    <n v="0"/>
    <n v="0"/>
    <n v="0"/>
    <n v="0"/>
    <m/>
    <n v="0"/>
    <s v=""/>
    <n v="1000"/>
  </r>
  <r>
    <x v="2"/>
    <x v="12"/>
    <x v="29"/>
    <s v="Service DevOps Team"/>
    <x v="3"/>
    <e v="#N/A"/>
    <s v="P100010048"/>
    <s v="XTRM-Web"/>
    <s v="엄기성"/>
    <s v="엄기성"/>
    <m/>
    <n v="0"/>
    <n v="0"/>
    <n v="0"/>
    <m/>
    <m/>
    <m/>
    <m/>
    <m/>
    <n v="0"/>
    <n v="0"/>
    <n v="0"/>
    <n v="0"/>
    <m/>
    <n v="0"/>
    <s v=""/>
    <n v="1000"/>
  </r>
  <r>
    <x v="3"/>
    <x v="0"/>
    <x v="0"/>
    <s v="Service DevOps Team"/>
    <x v="1"/>
    <n v="100033"/>
    <s v="I100099999"/>
    <s v="BLUEHOLE-TechSupport"/>
    <s v="엄기성"/>
    <s v="엄기성"/>
    <m/>
    <n v="47903"/>
    <n v="45641"/>
    <n v="10915"/>
    <n v="11171"/>
    <n v="11218"/>
    <n v="11327"/>
    <n v="11497"/>
    <n v="11833"/>
    <n v="11591"/>
    <n v="11527"/>
    <n v="11507"/>
    <n v="12226"/>
    <n v="12226"/>
    <n v="719"/>
    <n v="6.248370557052229E-2"/>
    <n v="1000"/>
  </r>
  <r>
    <x v="3"/>
    <x v="5"/>
    <x v="9"/>
    <s v="T_Console Service Part"/>
    <x v="35"/>
    <n v="110119"/>
    <s v="P100020001"/>
    <s v="BLUEHOLE-TRCS"/>
    <s v="엄기성"/>
    <s v="엄기성"/>
    <m/>
    <n v="420993"/>
    <n v="409026"/>
    <n v="420399"/>
    <n v="419953"/>
    <n v="413481"/>
    <n v="454461"/>
    <n v="428658"/>
    <n v="473312"/>
    <n v="452056"/>
    <n v="449561"/>
    <n v="460288"/>
    <n v="452347"/>
    <n v="452347"/>
    <n v="-7941"/>
    <n v="-1.7252242074527253E-2"/>
    <n v="1100"/>
  </r>
  <r>
    <x v="3"/>
    <x v="0"/>
    <x v="0"/>
    <s v="Publishing Tech PM Part"/>
    <x v="0"/>
    <n v="101752"/>
    <s v="I100099999"/>
    <s v="Dark&amp;Darker Mobile"/>
    <s v="김정언"/>
    <s v="김정언"/>
    <s v="v"/>
    <n v="2689827"/>
    <n v="3184361"/>
    <n v="5892601"/>
    <n v="4558269"/>
    <n v="4227030"/>
    <n v="3653319"/>
    <n v="4398431"/>
    <n v="3009806"/>
    <n v="2728134"/>
    <n v="2507872"/>
    <n v="136806"/>
    <n v="152575"/>
    <n v="152575"/>
    <n v="15769"/>
    <n v="0.11526541233571627"/>
    <n v="1000"/>
  </r>
  <r>
    <x v="3"/>
    <x v="0"/>
    <x v="0"/>
    <s v="Publishing Tech PM Part"/>
    <x v="37"/>
    <n v="100561"/>
    <s v="P100010013"/>
    <s v="datadog_RW_defensederby"/>
    <s v="김정언"/>
    <s v="Deleted"/>
    <s v="v"/>
    <n v="758771"/>
    <n v="910479"/>
    <n v="937108"/>
    <n v="223368"/>
    <n v="221309"/>
    <n v="242770"/>
    <n v="41446"/>
    <m/>
    <n v="0"/>
    <n v="0"/>
    <n v="0"/>
    <n v="0"/>
    <m/>
    <n v="0"/>
    <s v=""/>
    <n v="1000"/>
  </r>
  <r>
    <x v="3"/>
    <x v="0"/>
    <x v="0"/>
    <s v="System Team"/>
    <x v="1"/>
    <n v="101752"/>
    <s v="I100099999"/>
    <s v="datadog-website"/>
    <s v="김재윤"/>
    <s v="김재윤"/>
    <s v="v"/>
    <m/>
    <m/>
    <m/>
    <m/>
    <m/>
    <m/>
    <n v="46562"/>
    <n v="485012"/>
    <n v="594035"/>
    <n v="536000"/>
    <n v="69043"/>
    <n v="99211"/>
    <n v="99211"/>
    <n v="30168"/>
    <n v="0.43694509218892574"/>
    <n v="1000"/>
  </r>
  <r>
    <x v="3"/>
    <x v="0"/>
    <x v="4"/>
    <s v="Striking Distance Studios"/>
    <x v="7"/>
    <n v="100025"/>
    <s v="P100010012"/>
    <s v="KRAFTON - SDS DevOps"/>
    <s v="Jordan Yerkes"/>
    <s v="Jordan Yerkes"/>
    <m/>
    <n v="2495032"/>
    <n v="2442121"/>
    <n v="1968251"/>
    <n v="2149297"/>
    <n v="1368155"/>
    <n v="868060"/>
    <n v="990737"/>
    <n v="1423811"/>
    <n v="1298214"/>
    <n v="1437874"/>
    <n v="2467877"/>
    <n v="1979875"/>
    <n v="1979875"/>
    <n v="-488002"/>
    <n v="-0.19774162164483886"/>
    <n v="1000"/>
  </r>
  <r>
    <x v="3"/>
    <x v="0"/>
    <x v="4"/>
    <s v="Striking Distance Studios"/>
    <x v="7"/>
    <n v="100036"/>
    <s v="P100010048"/>
    <s v="KRAFTON - SDS ITSEC"/>
    <s v="Jordan Yerkes"/>
    <s v="Jordan Yerkes"/>
    <m/>
    <n v="685580"/>
    <n v="658867"/>
    <n v="585785"/>
    <n v="504366"/>
    <n v="562296"/>
    <n v="606203"/>
    <n v="616200"/>
    <n v="219084"/>
    <n v="215669"/>
    <n v="214478"/>
    <n v="211229"/>
    <n v="227473"/>
    <n v="227473"/>
    <n v="16244"/>
    <n v="7.6902319283810458E-2"/>
    <n v="1000"/>
  </r>
  <r>
    <x v="3"/>
    <x v="0"/>
    <x v="0"/>
    <s v="Publishing Tech PM Part"/>
    <x v="1"/>
    <n v="100368"/>
    <s v="P100030014"/>
    <s v="KRAFTON PUBG eSports"/>
    <s v="김정언"/>
    <s v="김정언"/>
    <s v="v"/>
    <n v="471540"/>
    <n v="624036"/>
    <n v="756337"/>
    <n v="503779"/>
    <n v="1055450"/>
    <n v="606572"/>
    <n v="380602"/>
    <n v="406679"/>
    <n v="422688"/>
    <n v="349678"/>
    <n v="391245"/>
    <n v="726002"/>
    <n v="726002"/>
    <n v="334757"/>
    <n v="0.85561988012626355"/>
    <n v="1000"/>
  </r>
  <r>
    <x v="3"/>
    <x v="0"/>
    <x v="0"/>
    <s v="Data Engineering Dept."/>
    <x v="1"/>
    <e v="#N/A"/>
    <s v="I100099999"/>
    <s v="KRAFTON_DE"/>
    <s v="연화음"/>
    <s v="김시훈"/>
    <s v="v"/>
    <n v="29631218"/>
    <n v="16435660"/>
    <n v="12622100"/>
    <n v="5799012"/>
    <n v="5774792"/>
    <n v="5023995"/>
    <n v="6369213"/>
    <n v="6558196"/>
    <n v="7158754"/>
    <n v="7338662"/>
    <n v="8178742"/>
    <n v="6689879"/>
    <n v="6689879"/>
    <n v="-1488863"/>
    <n v="-0.18204058766005823"/>
    <n v="1000"/>
  </r>
  <r>
    <x v="3"/>
    <x v="0"/>
    <x v="0"/>
    <s v="Publishing Tech PM Part"/>
    <x v="44"/>
    <n v="100368"/>
    <s v="P100030014"/>
    <s v="KRAFTON-cookierun-india"/>
    <s v="김정언"/>
    <s v="김정언"/>
    <s v="v"/>
    <n v="1365568"/>
    <n v="1392626"/>
    <n v="1433357"/>
    <n v="1397615"/>
    <n v="1513198"/>
    <n v="1321573"/>
    <n v="1187979"/>
    <n v="1885335"/>
    <n v="2013913"/>
    <n v="1899827"/>
    <n v="1205408"/>
    <n v="1142620"/>
    <n v="1142620"/>
    <n v="-62788"/>
    <n v="-5.2088587432636918E-2"/>
    <n v="1000"/>
  </r>
  <r>
    <x v="3"/>
    <x v="0"/>
    <x v="0"/>
    <s v="IT Dept."/>
    <x v="1"/>
    <n v="100036"/>
    <s v="I100099999"/>
    <s v="Krafton-infra-platform"/>
    <s v="홍성철"/>
    <s v="홍성철"/>
    <s v="v"/>
    <n v="1355764"/>
    <n v="1633358"/>
    <n v="2079209"/>
    <n v="3191360"/>
    <n v="2789621"/>
    <n v="3043562"/>
    <n v="3299639"/>
    <n v="2948201"/>
    <n v="2661847"/>
    <n v="3198078"/>
    <n v="2791158"/>
    <n v="2924975"/>
    <n v="2924975"/>
    <n v="133817"/>
    <n v="4.7943183438558475E-2"/>
    <n v="1000"/>
  </r>
  <r>
    <x v="3"/>
    <x v="0"/>
    <x v="0"/>
    <s v="KOS Engineering Dept."/>
    <x v="2"/>
    <n v="100033"/>
    <s v="P100030014"/>
    <s v="KRAFTON-KCN"/>
    <s v="신근우"/>
    <s v="신근우"/>
    <m/>
    <n v="1089302"/>
    <n v="1050583"/>
    <n v="1023318"/>
    <n v="1185222"/>
    <n v="1085177"/>
    <n v="1847424"/>
    <n v="3575964"/>
    <n v="1222609"/>
    <n v="1188837"/>
    <n v="2112071"/>
    <n v="2132083"/>
    <n v="2531830"/>
    <n v="2531830"/>
    <n v="399747"/>
    <n v="0.18749129372543188"/>
    <n v="1000"/>
  </r>
  <r>
    <x v="3"/>
    <x v="0"/>
    <x v="0"/>
    <s v="KOS Engineering Dept."/>
    <x v="2"/>
    <n v="100033"/>
    <s v="P100030014"/>
    <s v="KRAFTON-KOS"/>
    <s v="신근우"/>
    <s v="신근우"/>
    <m/>
    <n v="67167275"/>
    <n v="56518098"/>
    <n v="50517732"/>
    <n v="51972765"/>
    <n v="50346257"/>
    <n v="51169607"/>
    <n v="50164562"/>
    <n v="65419558"/>
    <n v="89476602"/>
    <n v="82241572"/>
    <n v="75537936"/>
    <n v="104207874"/>
    <n v="104207874"/>
    <n v="28669938"/>
    <n v="0.37954357132553901"/>
    <n v="1000"/>
  </r>
  <r>
    <x v="3"/>
    <x v="0"/>
    <x v="0"/>
    <s v="IT Dept."/>
    <x v="1"/>
    <n v="100368"/>
    <s v="P100030014"/>
    <s v="krafton-system"/>
    <s v="백용원"/>
    <s v="백용원"/>
    <s v="v"/>
    <n v="14553120"/>
    <n v="15178479"/>
    <n v="15750629"/>
    <n v="16518476"/>
    <n v="16594140"/>
    <n v="16436574"/>
    <n v="20458900"/>
    <n v="17700612"/>
    <n v="16317729"/>
    <n v="16156624"/>
    <n v="15367189"/>
    <n v="16815747"/>
    <n v="16815747"/>
    <n v="1448558"/>
    <n v="9.4263043162936308E-2"/>
    <n v="1000"/>
  </r>
  <r>
    <x v="3"/>
    <x v="5"/>
    <x v="9"/>
    <s v="T_Console Service Part"/>
    <x v="35"/>
    <n v="101269"/>
    <s v="P100030073"/>
    <s v="Krafton-TRCS-AP"/>
    <s v="엄기성"/>
    <s v="엄기성"/>
    <m/>
    <n v="162680"/>
    <n v="156229"/>
    <n v="153395"/>
    <n v="167568"/>
    <n v="168264"/>
    <n v="181235"/>
    <n v="160955"/>
    <n v="153826"/>
    <n v="150686"/>
    <n v="149853"/>
    <n v="172608"/>
    <n v="146707"/>
    <n v="146707"/>
    <n v="-25901"/>
    <n v="-0.15005677604746015"/>
    <n v="1100"/>
  </r>
  <r>
    <x v="3"/>
    <x v="0"/>
    <x v="0"/>
    <s v="Experience Engineering Dept."/>
    <x v="1"/>
    <n v="101269"/>
    <s v="P100030042"/>
    <s v="Krafton-WebService"/>
    <s v="이준호"/>
    <s v="이준호"/>
    <m/>
    <n v="1054820"/>
    <n v="785677"/>
    <n v="503986"/>
    <n v="586879"/>
    <n v="643848"/>
    <n v="852074"/>
    <n v="1097154"/>
    <n v="1083722"/>
    <n v="1050148"/>
    <n v="579127"/>
    <n v="604761"/>
    <n v="741437"/>
    <n v="741437"/>
    <n v="136676"/>
    <n v="0.22600002314964093"/>
    <n v="1000"/>
  </r>
  <r>
    <x v="3"/>
    <x v="0"/>
    <x v="0"/>
    <s v="Experience Engineering Dept."/>
    <x v="4"/>
    <n v="100037"/>
    <s v="I100099999"/>
    <s v="KTAFTON_bgmi_event"/>
    <s v="이준호"/>
    <s v="이준호"/>
    <s v="v"/>
    <n v="517381"/>
    <n v="1342787"/>
    <n v="1038929"/>
    <n v="977410"/>
    <n v="600254"/>
    <m/>
    <n v="1590482"/>
    <n v="1693540"/>
    <n v="609813"/>
    <n v="560510"/>
    <n v="1256241"/>
    <n v="6704916"/>
    <n v="6704916"/>
    <n v="5448675"/>
    <n v="4.3372848044284495"/>
    <n v="1000"/>
  </r>
  <r>
    <x v="3"/>
    <x v="0"/>
    <x v="10"/>
    <s v="Valor Core Tech Team"/>
    <x v="15"/>
    <n v="100368"/>
    <s v="AI Tools"/>
    <s v="MadGlory_Valor"/>
    <s v="송영재"/>
    <s v="송영재"/>
    <s v="v"/>
    <m/>
    <m/>
    <m/>
    <m/>
    <m/>
    <m/>
    <n v="591194"/>
    <n v="651070"/>
    <n v="777813"/>
    <n v="805333"/>
    <n v="892829"/>
    <n v="921321"/>
    <n v="921321"/>
    <n v="28492"/>
    <n v="3.191204586768575E-2"/>
    <n v="1500"/>
  </r>
  <r>
    <x v="3"/>
    <x v="0"/>
    <x v="0"/>
    <s v="PUBG PC&amp;Console Dev Div."/>
    <x v="16"/>
    <n v="100561"/>
    <s v="P100010013"/>
    <s v="PUBG Black Budget"/>
    <s v="김정헌"/>
    <s v="최준석"/>
    <m/>
    <n v="2306643"/>
    <n v="2657940"/>
    <n v="3028643"/>
    <n v="3559382"/>
    <n v="4107254"/>
    <n v="2824890"/>
    <n v="3713495"/>
    <n v="4534300"/>
    <n v="12285441"/>
    <n v="9406051"/>
    <n v="12194870"/>
    <n v="12725276"/>
    <n v="12725276"/>
    <n v="530406"/>
    <n v="4.349419058997759E-2"/>
    <n v="1000"/>
  </r>
  <r>
    <x v="3"/>
    <x v="0"/>
    <x v="2"/>
    <s v="PUBG PC&amp;Console Dev Div."/>
    <x v="5"/>
    <n v="100212"/>
    <s v="I100099999"/>
    <s v="PUBG Corporation"/>
    <s v="김정헌"/>
    <s v="최준석"/>
    <m/>
    <n v="131889003"/>
    <n v="130685365"/>
    <n v="207044614"/>
    <n v="133943638"/>
    <n v="121251557"/>
    <n v="116987123"/>
    <n v="133443688"/>
    <n v="127189745"/>
    <n v="120181299"/>
    <n v="142534492"/>
    <n v="144426998"/>
    <n v="172001439"/>
    <n v="172001439"/>
    <n v="27574441"/>
    <n v="0.19092303642564115"/>
    <n v="1000"/>
  </r>
  <r>
    <x v="3"/>
    <x v="0"/>
    <x v="0"/>
    <s v="PUBG PC&amp;Console Dev Div."/>
    <x v="5"/>
    <n v="101269"/>
    <s v="I100099999"/>
    <s v="PUBG DevOps"/>
    <s v="김정헌"/>
    <s v="최준석"/>
    <m/>
    <n v="2003535"/>
    <n v="2167270"/>
    <n v="1888448"/>
    <n v="2608405"/>
    <n v="3207434"/>
    <n v="11003525"/>
    <n v="9408522"/>
    <n v="9919806"/>
    <n v="28890298"/>
    <n v="11730208"/>
    <n v="11344632"/>
    <n v="11809578"/>
    <n v="11809578"/>
    <n v="464946"/>
    <n v="4.0983788632368151E-2"/>
    <n v="1000"/>
  </r>
  <r>
    <x v="3"/>
    <x v="0"/>
    <x v="2"/>
    <s v="PUBG PC&amp;Console Dev Div."/>
    <x v="5"/>
    <n v="101269"/>
    <s v="P100030099"/>
    <s v="PUBG Intelligent Services"/>
    <s v="김정헌"/>
    <s v="최준석"/>
    <m/>
    <n v="662805"/>
    <n v="657626"/>
    <n v="527725"/>
    <n v="621454"/>
    <n v="624035"/>
    <n v="568909"/>
    <n v="623615"/>
    <n v="628011"/>
    <n v="621752"/>
    <n v="629659"/>
    <n v="583084"/>
    <n v="621014"/>
    <n v="621014"/>
    <n v="37930"/>
    <n v="6.5050661654238492E-2"/>
    <n v="1000"/>
  </r>
  <r>
    <x v="3"/>
    <x v="0"/>
    <x v="1"/>
    <s v="Data Engineering Dept."/>
    <x v="3"/>
    <e v="#N/A"/>
    <s v="I100099999"/>
    <s v="PUBGNS_DE"/>
    <s v="염화음"/>
    <s v="김시훈"/>
    <s v="v"/>
    <n v="111262"/>
    <n v="106849"/>
    <n v="137782"/>
    <n v="140478"/>
    <n v="107409"/>
    <n v="15660"/>
    <n v="6611"/>
    <n v="6804"/>
    <n v="6665"/>
    <n v="6628"/>
    <n v="6617"/>
    <n v="7030"/>
    <n v="7030"/>
    <n v="413"/>
    <n v="6.2414991688076168E-2"/>
    <n v="1000"/>
  </r>
  <r>
    <x v="3"/>
    <x v="11"/>
    <x v="28"/>
    <s v="Unknownworlds"/>
    <x v="32"/>
    <n v="100025"/>
    <s v="P100010012"/>
    <s v="Unknown Worlds"/>
    <s v="Jack Smith"/>
    <s v="Jack Smith"/>
    <m/>
    <n v="497002"/>
    <n v="510045"/>
    <n v="840058"/>
    <n v="823583"/>
    <n v="758885"/>
    <n v="777386"/>
    <n v="856698"/>
    <n v="1009870"/>
    <n v="918936"/>
    <n v="961354"/>
    <n v="1052362"/>
    <n v="1313901"/>
    <n v="1313901"/>
    <n v="261539"/>
    <n v="0.24852569743111211"/>
    <e v="#N/A"/>
  </r>
  <r>
    <x v="3"/>
    <x v="0"/>
    <x v="0"/>
    <s v="[N/A]AI Service Engineering Team"/>
    <x v="1"/>
    <n v="100025"/>
    <s v="P100010012"/>
    <s v="Krafton_AISD"/>
    <s v="임지영"/>
    <s v="임지영"/>
    <m/>
    <m/>
    <m/>
    <m/>
    <m/>
    <m/>
    <m/>
    <m/>
    <m/>
    <m/>
    <m/>
    <n v="0"/>
    <n v="2246"/>
    <n v="2246"/>
    <n v="2246"/>
    <s v=""/>
    <n v="1000"/>
  </r>
  <r>
    <x v="4"/>
    <x v="0"/>
    <x v="2"/>
    <s v="PBB_S Platform Team"/>
    <x v="16"/>
    <n v="100212"/>
    <s v="I100099999"/>
    <s v="agds-462601"/>
    <s v="조원빈"/>
    <s v="조원빈"/>
    <s v="v"/>
    <m/>
    <n v="0"/>
    <n v="1894451"/>
    <n v="2611215"/>
    <n v="1408489"/>
    <n v="2509878"/>
    <n v="228591.48155885801"/>
    <n v="627911"/>
    <n v="388893"/>
    <n v="63317"/>
    <n v="80343"/>
    <n v="67723"/>
    <n v="67723.417598509215"/>
    <n v="-12620"/>
    <n v="-0.15707653435893607"/>
    <n v="1000"/>
  </r>
  <r>
    <x v="4"/>
    <x v="0"/>
    <x v="0"/>
    <s v="AI Transformation Team"/>
    <x v="1"/>
    <n v="100414"/>
    <s v="P100010012"/>
    <s v="ai-transformation-467006"/>
    <s v="김도균"/>
    <s v="김도균"/>
    <s v="v"/>
    <m/>
    <m/>
    <m/>
    <m/>
    <m/>
    <m/>
    <n v="256977.01901900599"/>
    <n v="132833"/>
    <n v="497634"/>
    <n v="803045"/>
    <n v="342429"/>
    <n v="12346"/>
    <n v="12345.783758075235"/>
    <n v="-330083"/>
    <n v="-0.96394581066440055"/>
    <n v="1000"/>
  </r>
  <r>
    <x v="4"/>
    <x v="0"/>
    <x v="0"/>
    <s v="CEO's Office"/>
    <x v="1"/>
    <e v="#N/A"/>
    <s v="I100099999"/>
    <s v="ai-workflow-automation-project"/>
    <s v="양윤상"/>
    <s v="양윤상"/>
    <m/>
    <m/>
    <m/>
    <m/>
    <m/>
    <m/>
    <n v="1458"/>
    <n v="3154.01712890831"/>
    <n v="1297"/>
    <n v="621"/>
    <n v="1797"/>
    <n v="0"/>
    <n v="4389"/>
    <n v="4389.4673383151921"/>
    <n v="4389"/>
    <s v=""/>
    <n v="1000"/>
  </r>
  <r>
    <x v="4"/>
    <x v="0"/>
    <x v="2"/>
    <s v="Platform Management Team"/>
    <x v="1"/>
    <n v="100774"/>
    <s v="I100099999"/>
    <s v="api-6414577526685413251-707161"/>
    <s v="신지호"/>
    <s v="신지호"/>
    <s v="v"/>
    <n v="607300"/>
    <n v="597110"/>
    <n v="577154"/>
    <n v="585781"/>
    <n v="633921"/>
    <n v="675058"/>
    <n v="561954.89277823002"/>
    <n v="377672"/>
    <n v="288672"/>
    <n v="666609"/>
    <n v="24"/>
    <n v="292087"/>
    <n v="292086.77742106427"/>
    <n v="292063"/>
    <n v="12169.291666666666"/>
    <n v="1000"/>
  </r>
  <r>
    <x v="4"/>
    <x v="0"/>
    <x v="0"/>
    <s v="India Publishing Dept._HQ"/>
    <x v="1"/>
    <n v="101316"/>
    <s v="I100099999"/>
    <s v="archeryking"/>
    <s v="신지호"/>
    <s v="신지호"/>
    <s v="v"/>
    <n v="126128"/>
    <n v="115026"/>
    <n v="89031"/>
    <n v="107740"/>
    <n v="138610"/>
    <n v="853144"/>
    <n v="154577.72614118399"/>
    <n v="37216"/>
    <n v="75675"/>
    <n v="28767"/>
    <n v="1"/>
    <n v="19157"/>
    <n v="19156.971615740182"/>
    <n v="19156"/>
    <n v="19156"/>
    <n v="1000"/>
  </r>
  <r>
    <x v="4"/>
    <x v="0"/>
    <x v="0"/>
    <s v="AI Applied Research Dept."/>
    <x v="9"/>
    <n v="101651"/>
    <s v="I100099999"/>
    <s v="atoz-dev-470901"/>
    <s v="김재욱"/>
    <s v="김재욱"/>
    <m/>
    <m/>
    <m/>
    <m/>
    <m/>
    <m/>
    <n v="4455803"/>
    <n v="1593198.4656271101"/>
    <n v="2110719"/>
    <n v="13277874"/>
    <n v="9986820"/>
    <n v="20057738"/>
    <n v="132552275"/>
    <n v="132552274.98137392"/>
    <n v="112494537"/>
    <n v="5.6085355686668157"/>
    <n v="1000"/>
  </r>
  <r>
    <x v="4"/>
    <x v="0"/>
    <x v="21"/>
    <n v="0"/>
    <x v="1"/>
    <n v="110119"/>
    <s v="AI Tools"/>
    <s v="backpackarena"/>
    <n v="0"/>
    <n v="0"/>
    <m/>
    <m/>
    <m/>
    <m/>
    <m/>
    <n v="3601"/>
    <n v="4989"/>
    <n v="8927.6190289999904"/>
    <n v="53039"/>
    <n v="166144"/>
    <n v="115509"/>
    <n v="128823"/>
    <n v="410938"/>
    <n v="410937.6423789995"/>
    <n v="282115"/>
    <n v="2.1899427897192272"/>
    <e v="#N/A"/>
  </r>
  <r>
    <x v="4"/>
    <x v="0"/>
    <x v="0"/>
    <s v="BGMI DevOps Team"/>
    <x v="4"/>
    <n v="101451"/>
    <s v="I100099999"/>
    <s v="bgmi-aiops"/>
    <s v="송창규"/>
    <s v="이준"/>
    <m/>
    <m/>
    <m/>
    <m/>
    <m/>
    <m/>
    <m/>
    <m/>
    <m/>
    <m/>
    <n v="149"/>
    <n v="0"/>
    <n v="5"/>
    <n v="4.7841246186167741"/>
    <n v="5"/>
    <s v=""/>
    <n v="1000"/>
  </r>
  <r>
    <x v="4"/>
    <x v="0"/>
    <x v="0"/>
    <s v="BGMI DevOps Team"/>
    <x v="4"/>
    <e v="#N/A"/>
    <s v="P100010051"/>
    <s v="bgmi-gcp"/>
    <s v="조동현"/>
    <s v="조동현"/>
    <m/>
    <m/>
    <m/>
    <m/>
    <m/>
    <m/>
    <m/>
    <m/>
    <m/>
    <m/>
    <n v="0"/>
    <n v="2684"/>
    <n v="661267602"/>
    <n v="661267600.40665305"/>
    <n v="661264918"/>
    <n v="246372.92026825633"/>
    <n v="1000"/>
  </r>
  <r>
    <x v="4"/>
    <x v="0"/>
    <x v="0"/>
    <s v="Foundation Model Research Team"/>
    <x v="1"/>
    <n v="100953"/>
    <s v="I100099999"/>
    <s v="coding-agent-482006"/>
    <s v="최민석"/>
    <s v="최민석"/>
    <m/>
    <m/>
    <m/>
    <m/>
    <m/>
    <m/>
    <m/>
    <m/>
    <m/>
    <m/>
    <n v="5242"/>
    <n v="0"/>
    <n v="0"/>
    <m/>
    <n v="0"/>
    <s v=""/>
    <e v="#N/A"/>
  </r>
  <r>
    <x v="4"/>
    <x v="0"/>
    <x v="0"/>
    <s v="IT Dept."/>
    <x v="1"/>
    <n v="101216"/>
    <s v="I100099999"/>
    <s v="dataplatform-api"/>
    <s v="백용원"/>
    <s v="백용원"/>
    <s v="v"/>
    <n v="0"/>
    <n v="0"/>
    <n v="0"/>
    <n v="1"/>
    <n v="3"/>
    <n v="5"/>
    <n v="0.89483713234818996"/>
    <n v="1"/>
    <n v="0"/>
    <n v="1"/>
    <n v="0"/>
    <n v="1"/>
    <n v="0.77973429399946659"/>
    <n v="1"/>
    <s v=""/>
    <n v="1000"/>
  </r>
  <r>
    <x v="4"/>
    <x v="0"/>
    <x v="0"/>
    <s v="DevData Engineering Team"/>
    <x v="1"/>
    <n v="100212"/>
    <s v="I100099999"/>
    <s v="diet-357705"/>
    <s v="이동준"/>
    <s v="이동준"/>
    <s v="v"/>
    <n v="34601"/>
    <n v="27793"/>
    <n v="30630"/>
    <n v="34099"/>
    <n v="34149"/>
    <n v="32510"/>
    <n v="33139.061804389799"/>
    <n v="21327"/>
    <n v="34679"/>
    <n v="33942"/>
    <n v="1"/>
    <n v="29173"/>
    <n v="29173.08204649972"/>
    <n v="29172"/>
    <n v="29172"/>
    <n v="1000"/>
  </r>
  <r>
    <x v="4"/>
    <x v="0"/>
    <x v="0"/>
    <s v="Publishing Launchpad Team"/>
    <x v="45"/>
    <n v="100553"/>
    <s v="P100130012"/>
    <s v="dinkum-automation"/>
    <s v="라샛별"/>
    <s v="라샛별"/>
    <m/>
    <m/>
    <m/>
    <m/>
    <m/>
    <m/>
    <m/>
    <m/>
    <n v="276"/>
    <n v="542"/>
    <n v="586"/>
    <n v="0"/>
    <n v="404"/>
    <n v="403.54562206940881"/>
    <n v="404"/>
    <s v=""/>
    <n v="1000"/>
  </r>
  <r>
    <x v="4"/>
    <x v="0"/>
    <x v="0"/>
    <s v="AI Agent Research Team"/>
    <x v="1"/>
    <e v="#N/A"/>
    <s v="I100099999"/>
    <s v="dl-service-dev"/>
    <s v="정기영"/>
    <s v="정기영"/>
    <m/>
    <n v="0"/>
    <n v="0"/>
    <n v="590995"/>
    <n v="1252175"/>
    <n v="323491"/>
    <n v="1089308"/>
    <n v="11158017.7894341"/>
    <n v="33938240"/>
    <n v="25843796"/>
    <n v="25271242"/>
    <n v="140820309"/>
    <n v="104997164"/>
    <n v="104997164.23007324"/>
    <n v="-35823145"/>
    <n v="-0.25438905264722861"/>
    <n v="1000"/>
  </r>
  <r>
    <x v="4"/>
    <x v="0"/>
    <x v="0"/>
    <s v="AI Applied Research Dept."/>
    <x v="9"/>
    <n v="100203"/>
    <s v="P100130012"/>
    <s v="dld-anticheat"/>
    <s v="이혁"/>
    <s v="이혁"/>
    <s v="v"/>
    <m/>
    <m/>
    <m/>
    <m/>
    <n v="254078"/>
    <n v="1223654"/>
    <n v="86725.247026520898"/>
    <n v="3809775"/>
    <n v="13264435"/>
    <n v="19018304"/>
    <n v="580238"/>
    <n v="11747021"/>
    <n v="11747021.04860826"/>
    <n v="11166783"/>
    <n v="19.245176979101679"/>
    <n v="1000"/>
  </r>
  <r>
    <x v="4"/>
    <x v="0"/>
    <x v="0"/>
    <s v="Robot Learning Team"/>
    <x v="9"/>
    <n v="100092"/>
    <s v="I100099999"/>
    <s v="dld-physical-ai"/>
    <s v="이영도"/>
    <s v="이영도"/>
    <m/>
    <m/>
    <m/>
    <m/>
    <m/>
    <m/>
    <m/>
    <n v="880.76671506899697"/>
    <n v="7"/>
    <n v="1403"/>
    <n v="18724"/>
    <n v="2"/>
    <n v="42239"/>
    <n v="42239.197083674248"/>
    <n v="42237"/>
    <n v="21118.5"/>
    <n v="1000"/>
  </r>
  <r>
    <x v="4"/>
    <x v="0"/>
    <x v="0"/>
    <s v="ML Sys &amp; Ops Team"/>
    <x v="1"/>
    <n v="100414"/>
    <s v="P100010012"/>
    <s v="dld-tpu-llm-training"/>
    <s v="김동원"/>
    <s v="김동원"/>
    <s v="v"/>
    <m/>
    <m/>
    <m/>
    <m/>
    <n v="3834504"/>
    <n v="898636"/>
    <n v="713354.59964023496"/>
    <n v="693356"/>
    <n v="1673187"/>
    <n v="9840181"/>
    <n v="8828663"/>
    <n v="32381"/>
    <n v="32380.934198444738"/>
    <n v="-8796282"/>
    <n v="-0.99633228723307254"/>
    <n v="1000"/>
  </r>
  <r>
    <x v="4"/>
    <x v="0"/>
    <x v="0"/>
    <s v="India Publishing Dept._HQ"/>
    <x v="1"/>
    <n v="100085"/>
    <s v="I100099999"/>
    <s v="dm-rtv-empires"/>
    <s v="신지호"/>
    <s v="신지호"/>
    <s v="v"/>
    <n v="8"/>
    <n v="0"/>
    <n v="7"/>
    <n v="0"/>
    <n v="18"/>
    <n v="62"/>
    <n v="59.340001743129903"/>
    <n v="8"/>
    <n v="0"/>
    <n v="0"/>
    <n v="0"/>
    <n v="0"/>
    <n v="0"/>
    <n v="0"/>
    <s v=""/>
    <n v="1000"/>
  </r>
  <r>
    <x v="4"/>
    <x v="0"/>
    <x v="0"/>
    <s v="Risk Management Team"/>
    <x v="1"/>
    <n v="101083"/>
    <s v="I100099999"/>
    <s v="erm-for-n8n"/>
    <s v="최솔지"/>
    <s v="최솔지"/>
    <m/>
    <m/>
    <m/>
    <m/>
    <m/>
    <m/>
    <m/>
    <m/>
    <n v="333"/>
    <n v="0"/>
    <n v="0"/>
    <n v="0"/>
    <n v="0"/>
    <n v="0"/>
    <n v="0"/>
    <s v=""/>
    <n v="1000"/>
  </r>
  <r>
    <x v="4"/>
    <x v="0"/>
    <x v="0"/>
    <s v="Financial Planning Team"/>
    <x v="1"/>
    <n v="100009"/>
    <s v="I100099999"/>
    <s v="finance-hq"/>
    <s v="신현미"/>
    <s v="신현미"/>
    <m/>
    <m/>
    <m/>
    <m/>
    <m/>
    <m/>
    <m/>
    <m/>
    <n v="1"/>
    <n v="28"/>
    <n v="7"/>
    <n v="0"/>
    <n v="108"/>
    <n v="108.23347258374794"/>
    <n v="108"/>
    <s v=""/>
    <n v="1000"/>
  </r>
  <r>
    <x v="4"/>
    <x v="0"/>
    <x v="0"/>
    <s v="AI Model Research Dept."/>
    <x v="1"/>
    <n v="100036"/>
    <s v="I100099999"/>
    <s v="gamebench-456108"/>
    <s v="박동민"/>
    <s v="박동민"/>
    <m/>
    <n v="390685"/>
    <n v="2907699"/>
    <n v="584876"/>
    <n v="85482"/>
    <n v="527489"/>
    <n v="1284729"/>
    <n v="222180.384419571"/>
    <n v="1552534"/>
    <n v="917512"/>
    <n v="718592"/>
    <n v="3"/>
    <n v="2053"/>
    <n v="2053.2793031393394"/>
    <n v="2050"/>
    <n v="683.33333333333337"/>
    <n v="1000"/>
  </r>
  <r>
    <x v="4"/>
    <x v="0"/>
    <x v="0"/>
    <s v="India Publishing Dept._HQ"/>
    <x v="1"/>
    <n v="100522"/>
    <s v="I100099999"/>
    <s v="garuda-saga-india"/>
    <s v="신지호"/>
    <s v="신지호"/>
    <s v="v"/>
    <n v="400617"/>
    <n v="327988"/>
    <n v="354012"/>
    <n v="404616"/>
    <n v="400684"/>
    <n v="376377"/>
    <n v="391111.87868487299"/>
    <n v="247273"/>
    <n v="409143"/>
    <n v="402782"/>
    <n v="16"/>
    <n v="285679"/>
    <n v="285678.87207815307"/>
    <n v="285663"/>
    <n v="17853.9375"/>
    <n v="1000"/>
  </r>
  <r>
    <x v="4"/>
    <x v="0"/>
    <x v="0"/>
    <s v="IT Dept."/>
    <x v="1"/>
    <n v="100009"/>
    <s v="I100099999"/>
    <s v="GCP Support Fee"/>
    <s v="백용원"/>
    <s v="Deleted"/>
    <m/>
    <m/>
    <m/>
    <m/>
    <m/>
    <m/>
    <m/>
    <m/>
    <m/>
    <n v="0"/>
    <n v="0"/>
    <n v="0"/>
    <n v="0"/>
    <m/>
    <n v="0"/>
    <s v=""/>
    <n v="1000"/>
  </r>
  <r>
    <x v="4"/>
    <x v="0"/>
    <x v="0"/>
    <s v="KDC Team"/>
    <x v="1"/>
    <n v="101323"/>
    <s v="P100130012"/>
    <s v="gcp-kdc-hackathon-project"/>
    <s v="황영욱"/>
    <s v="황영욱"/>
    <m/>
    <m/>
    <m/>
    <m/>
    <m/>
    <m/>
    <m/>
    <m/>
    <m/>
    <m/>
    <n v="146882"/>
    <n v="2"/>
    <n v="3705"/>
    <n v="3705.3140487324849"/>
    <n v="3703"/>
    <n v="1851.5"/>
    <n v="1000"/>
  </r>
  <r>
    <x v="4"/>
    <x v="0"/>
    <x v="2"/>
    <s v="MS DevOps Team"/>
    <x v="1"/>
    <n v="105027"/>
    <s v="P100010105"/>
    <s v="gcp-msu-devops"/>
    <s v="천궁원"/>
    <s v="배시은"/>
    <m/>
    <m/>
    <m/>
    <m/>
    <m/>
    <m/>
    <m/>
    <n v="178521.32227758801"/>
    <n v="543362"/>
    <n v="0"/>
    <n v="0"/>
    <n v="0"/>
    <n v="0"/>
    <m/>
    <n v="0"/>
    <s v=""/>
    <n v="1000"/>
  </r>
  <r>
    <x v="4"/>
    <x v="0"/>
    <x v="0"/>
    <s v="KRAFTON HQ"/>
    <x v="1"/>
    <n v="100203"/>
    <s v="I100099999"/>
    <s v="gemini-enterprise-488410"/>
    <n v="0"/>
    <n v="0"/>
    <m/>
    <m/>
    <m/>
    <m/>
    <m/>
    <m/>
    <m/>
    <m/>
    <m/>
    <m/>
    <m/>
    <n v="1119"/>
    <n v="8661502"/>
    <n v="8661502.3536573816"/>
    <n v="8660383"/>
    <n v="7739.3949955317248"/>
    <n v="1000"/>
  </r>
  <r>
    <x v="4"/>
    <x v="0"/>
    <x v="0"/>
    <s v="AI Transformation Team"/>
    <x v="1"/>
    <s v="KRAFTON HQ"/>
    <s v="KRAFTON HQ"/>
    <s v="Gemini enterprise"/>
    <s v="OVERHEAD/OTHERS"/>
    <s v="김도균"/>
    <m/>
    <m/>
    <m/>
    <m/>
    <m/>
    <m/>
    <m/>
    <m/>
    <m/>
    <m/>
    <m/>
    <n v="0"/>
    <n v="4761924"/>
    <n v="4761924"/>
    <n v="4761924"/>
    <s v=""/>
    <n v="1000"/>
  </r>
  <r>
    <x v="4"/>
    <x v="0"/>
    <x v="0"/>
    <s v="KRAFTON HQ"/>
    <x v="1"/>
    <n v="100810"/>
    <s v="I100099999"/>
    <s v="GitLab"/>
    <s v="정채원"/>
    <s v="사용완료"/>
    <m/>
    <n v="585433760"/>
    <m/>
    <m/>
    <m/>
    <m/>
    <m/>
    <m/>
    <m/>
    <n v="102601463"/>
    <n v="0"/>
    <n v="0"/>
    <n v="0"/>
    <m/>
    <n v="0"/>
    <s v=""/>
    <n v="1000"/>
  </r>
  <r>
    <x v="4"/>
    <x v="0"/>
    <x v="0"/>
    <s v="Recruiting Operations Part"/>
    <x v="1"/>
    <n v="101145"/>
    <s v="I100090820"/>
    <s v="greenhouse-recruiting-data"/>
    <s v="이태민"/>
    <s v="이태민"/>
    <m/>
    <m/>
    <m/>
    <m/>
    <m/>
    <m/>
    <m/>
    <m/>
    <m/>
    <m/>
    <n v="4884"/>
    <n v="1"/>
    <n v="26867"/>
    <n v="26867.395302340174"/>
    <n v="26866"/>
    <n v="26866"/>
    <n v="1000"/>
  </r>
  <r>
    <x v="4"/>
    <x v="0"/>
    <x v="0"/>
    <s v="KRAFTON HQ"/>
    <x v="1"/>
    <n v="150107"/>
    <s v="P100020081"/>
    <s v="hc-coupon"/>
    <n v="0"/>
    <n v="0"/>
    <m/>
    <m/>
    <m/>
    <m/>
    <m/>
    <m/>
    <m/>
    <m/>
    <m/>
    <m/>
    <n v="1"/>
    <n v="5"/>
    <n v="0"/>
    <n v="0"/>
    <n v="-5"/>
    <n v="-1"/>
    <n v="1000"/>
  </r>
  <r>
    <x v="4"/>
    <x v="0"/>
    <x v="19"/>
    <n v="0"/>
    <x v="1"/>
    <n v="100414"/>
    <s v="P100010012"/>
    <s v="in-qa-team"/>
    <s v="Abhishek Chavan"/>
    <s v="Abhishek Chavan"/>
    <m/>
    <m/>
    <m/>
    <m/>
    <m/>
    <m/>
    <m/>
    <m/>
    <m/>
    <m/>
    <n v="881"/>
    <n v="0"/>
    <n v="68"/>
    <n v="67.67989544591066"/>
    <n v="68"/>
    <s v=""/>
    <e v="#N/A"/>
  </r>
  <r>
    <x v="4"/>
    <x v="0"/>
    <x v="5"/>
    <s v="inZOI Server Team"/>
    <x v="8"/>
    <n v="101758"/>
    <s v="P100010048"/>
    <s v="inzoi-canvas"/>
    <s v="조재욱"/>
    <s v="조재욱"/>
    <m/>
    <m/>
    <m/>
    <m/>
    <m/>
    <m/>
    <m/>
    <m/>
    <n v="21"/>
    <n v="574"/>
    <n v="1267"/>
    <n v="0"/>
    <n v="2051"/>
    <n v="2051.0597804858244"/>
    <n v="2051"/>
    <s v=""/>
    <e v="#N/A"/>
  </r>
  <r>
    <x v="4"/>
    <x v="0"/>
    <x v="5"/>
    <s v="inZOI Dev R&amp;D Team"/>
    <x v="8"/>
    <n v="102159"/>
    <s v="P100010012"/>
    <s v="inzoi-dev-rnd"/>
    <s v="이상문"/>
    <s v="이상문"/>
    <m/>
    <m/>
    <n v="0"/>
    <n v="210375"/>
    <n v="323715"/>
    <n v="319654"/>
    <n v="305018"/>
    <n v="327145.55034830398"/>
    <n v="211489"/>
    <n v="344421"/>
    <n v="199054"/>
    <n v="0"/>
    <n v="25215"/>
    <n v="25214.591194007229"/>
    <n v="25215"/>
    <s v=""/>
    <n v="5000"/>
  </r>
  <r>
    <x v="4"/>
    <x v="0"/>
    <x v="0"/>
    <s v="IT Service &amp; Mgmt Part"/>
    <x v="1"/>
    <e v="#N/A"/>
    <s v="P100010066"/>
    <s v="it-cost-summary"/>
    <s v="김승태"/>
    <s v="김승태"/>
    <m/>
    <m/>
    <m/>
    <m/>
    <m/>
    <m/>
    <m/>
    <m/>
    <m/>
    <m/>
    <n v="0"/>
    <n v="0"/>
    <n v="13"/>
    <n v="13.105704648494248"/>
    <n v="13"/>
    <s v=""/>
    <n v="1000"/>
  </r>
  <r>
    <x v="4"/>
    <x v="0"/>
    <x v="0"/>
    <s v="KRAFTON HQ"/>
    <x v="1"/>
    <n v="101315"/>
    <s v="I100090817"/>
    <s v="Kissflow"/>
    <s v="송은석"/>
    <s v="사용완료"/>
    <m/>
    <n v="0"/>
    <m/>
    <m/>
    <m/>
    <m/>
    <m/>
    <m/>
    <n v="333340053"/>
    <n v="0"/>
    <n v="0"/>
    <n v="0"/>
    <n v="0"/>
    <m/>
    <n v="0"/>
    <s v=""/>
    <n v="1000"/>
  </r>
  <r>
    <x v="4"/>
    <x v="0"/>
    <x v="0"/>
    <s v="KOS Engineering Dept."/>
    <x v="1"/>
    <n v="100212"/>
    <s v="I100099999"/>
    <s v="krafton-creator-network"/>
    <s v="이동호"/>
    <s v="이동호"/>
    <m/>
    <n v="11733"/>
    <n v="9369"/>
    <n v="9045"/>
    <n v="9834"/>
    <n v="9907"/>
    <n v="9663"/>
    <n v="9861.9023866261505"/>
    <n v="6434"/>
    <n v="10311"/>
    <n v="10150"/>
    <n v="0"/>
    <n v="8704"/>
    <n v="8703.9407553771107"/>
    <n v="8704"/>
    <s v=""/>
    <n v="1000"/>
  </r>
  <r>
    <x v="4"/>
    <x v="0"/>
    <x v="0"/>
    <s v="Data Engineering Dept."/>
    <x v="1"/>
    <e v="#N/A"/>
    <s v="I100099999"/>
    <s v="krafton-ded-ai"/>
    <s v="염화음"/>
    <s v="문중현"/>
    <m/>
    <n v="32216750"/>
    <n v="24733486"/>
    <n v="29149119"/>
    <n v="5952482"/>
    <n v="6976333"/>
    <n v="6614497"/>
    <n v="6047131.0123658199"/>
    <n v="5896039"/>
    <n v="6569267"/>
    <n v="10132977"/>
    <n v="3789167"/>
    <n v="14184776"/>
    <n v="14184776.12397752"/>
    <n v="10395609"/>
    <n v="2.7435077419390592"/>
    <n v="1000"/>
  </r>
  <r>
    <x v="4"/>
    <x v="0"/>
    <x v="0"/>
    <s v="Data Engineering Dept."/>
    <x v="1"/>
    <n v="101056"/>
    <s v="P100010048"/>
    <s v="krafton-ded-infra"/>
    <s v="염화음"/>
    <s v="김시훈"/>
    <s v="v"/>
    <n v="901"/>
    <n v="599"/>
    <n v="1299"/>
    <n v="1997"/>
    <n v="2590"/>
    <n v="2943"/>
    <n v="4534.8052599422999"/>
    <n v="4189"/>
    <n v="5712"/>
    <n v="5331"/>
    <n v="0"/>
    <n v="1814"/>
    <n v="1814.4703925375566"/>
    <n v="1814"/>
    <s v=""/>
    <n v="1000"/>
  </r>
  <r>
    <x v="4"/>
    <x v="0"/>
    <x v="0"/>
    <s v="AI Product Dev Chapter Dept."/>
    <x v="9"/>
    <n v="100212"/>
    <s v="I100099999"/>
    <s v="krafton-dld-ai"/>
    <s v="이에나"/>
    <s v="이에나"/>
    <s v="v"/>
    <n v="341797"/>
    <n v="210979"/>
    <n v="2328869"/>
    <n v="2499826"/>
    <n v="2031655"/>
    <n v="1300190"/>
    <n v="1787961.0715483599"/>
    <n v="625376"/>
    <n v="2249474"/>
    <n v="699985"/>
    <n v="0"/>
    <n v="45474370"/>
    <n v="45474369.990570359"/>
    <n v="45474370"/>
    <s v=""/>
    <n v="1000"/>
  </r>
  <r>
    <x v="4"/>
    <x v="0"/>
    <x v="0"/>
    <s v="AI Product Dev Chapter Dept."/>
    <x v="1"/>
    <n v="101315"/>
    <s v="I100090817"/>
    <s v="krafton-dld-tgw"/>
    <s v="나민주"/>
    <s v="나민주"/>
    <m/>
    <m/>
    <m/>
    <m/>
    <m/>
    <m/>
    <m/>
    <m/>
    <m/>
    <m/>
    <n v="613287"/>
    <n v="1"/>
    <n v="6564"/>
    <n v="6564.2481137970271"/>
    <n v="6563"/>
    <n v="6563"/>
    <n v="1000"/>
  </r>
  <r>
    <x v="4"/>
    <x v="0"/>
    <x v="0"/>
    <s v="L10N Team"/>
    <x v="1"/>
    <n v="101265"/>
    <s v="I100099999"/>
    <s v="krafton-l10n"/>
    <s v="김재헌"/>
    <s v="전평준"/>
    <s v="v"/>
    <n v="1960"/>
    <n v="12"/>
    <n v="109"/>
    <n v="2178"/>
    <n v="14"/>
    <n v="14"/>
    <n v="14.2590177364624"/>
    <n v="260"/>
    <n v="15"/>
    <n v="15"/>
    <n v="0"/>
    <n v="118542"/>
    <n v="118542.24813707393"/>
    <n v="118542"/>
    <s v=""/>
    <n v="1000"/>
  </r>
  <r>
    <x v="4"/>
    <x v="0"/>
    <x v="0"/>
    <s v="AI Research Design Team"/>
    <x v="1"/>
    <n v="102159"/>
    <s v="I100099999"/>
    <s v="krafton-nlp-eng"/>
    <s v="이에나"/>
    <s v="이에나"/>
    <m/>
    <m/>
    <n v="0"/>
    <n v="0"/>
    <m/>
    <m/>
    <m/>
    <m/>
    <m/>
    <n v="0"/>
    <n v="0"/>
    <n v="0"/>
    <n v="0"/>
    <m/>
    <n v="0"/>
    <s v=""/>
    <n v="1000"/>
  </r>
  <r>
    <x v="4"/>
    <x v="0"/>
    <x v="0"/>
    <s v="KOS Engineering Dept."/>
    <x v="2"/>
    <e v="#N/A"/>
    <s v="I100099999"/>
    <s v="krafton-online-services"/>
    <s v="조국환"/>
    <s v="조국환"/>
    <m/>
    <m/>
    <m/>
    <m/>
    <m/>
    <m/>
    <n v="124975"/>
    <n v="3521019.7342272601"/>
    <n v="5072145"/>
    <n v="7578282"/>
    <n v="9586962"/>
    <n v="11393808"/>
    <n v="14002368"/>
    <n v="14002368.012031887"/>
    <n v="2608560"/>
    <n v="0.22894540613638567"/>
    <n v="1000"/>
  </r>
  <r>
    <x v="4"/>
    <x v="0"/>
    <x v="0"/>
    <s v="Security Dept."/>
    <x v="1"/>
    <n v="101323"/>
    <s v="P100030092"/>
    <s v="krafton-security"/>
    <s v="홍준화"/>
    <s v="홍준화"/>
    <s v="v"/>
    <m/>
    <m/>
    <m/>
    <m/>
    <m/>
    <m/>
    <m/>
    <n v="6336"/>
    <n v="274392"/>
    <n v="297422"/>
    <n v="31"/>
    <n v="1967700"/>
    <n v="1967700.1232843997"/>
    <n v="1967669"/>
    <n v="63473.193548387098"/>
    <n v="1000"/>
  </r>
  <r>
    <x v="4"/>
    <x v="0"/>
    <x v="0"/>
    <s v="Security Dept."/>
    <x v="1"/>
    <n v="480027"/>
    <e v="#N/A"/>
    <s v="krafton-security-policy"/>
    <s v="홍준화"/>
    <s v="홍준화"/>
    <s v="v"/>
    <m/>
    <m/>
    <m/>
    <m/>
    <m/>
    <m/>
    <m/>
    <n v="11519"/>
    <n v="267992"/>
    <n v="1558"/>
    <n v="0"/>
    <n v="0"/>
    <n v="0"/>
    <n v="0"/>
    <s v=""/>
    <n v="1000"/>
  </r>
  <r>
    <x v="4"/>
    <x v="0"/>
    <x v="0"/>
    <s v="Jungle Coaching Dept."/>
    <x v="22"/>
    <n v="100522"/>
    <s v="I100099999"/>
    <s v="kraftonjungle"/>
    <s v="김현수"/>
    <s v="김현수"/>
    <m/>
    <n v="79635"/>
    <n v="55454"/>
    <n v="27196"/>
    <n v="31442"/>
    <n v="31917"/>
    <n v="30756"/>
    <n v="31847.9496317054"/>
    <n v="20477"/>
    <n v="33337"/>
    <n v="32771"/>
    <n v="1"/>
    <n v="28118"/>
    <n v="28117.991798736093"/>
    <n v="28117"/>
    <n v="28117"/>
    <n v="1000"/>
  </r>
  <r>
    <x v="4"/>
    <x v="0"/>
    <x v="0"/>
    <s v="KRAFTON JUNGLE"/>
    <x v="22"/>
    <n v="100212"/>
    <s v="P100030014"/>
    <s v="kraftonjunglelms"/>
    <s v="김성민"/>
    <s v="김성민"/>
    <m/>
    <m/>
    <m/>
    <m/>
    <m/>
    <m/>
    <m/>
    <m/>
    <m/>
    <n v="16445"/>
    <n v="0"/>
    <n v="0"/>
    <n v="0"/>
    <m/>
    <n v="0"/>
    <s v=""/>
    <n v="1000"/>
  </r>
  <r>
    <x v="4"/>
    <x v="0"/>
    <x v="0"/>
    <s v="Data Analytics Dept."/>
    <x v="4"/>
    <n v="100013"/>
    <s v="I100099999"/>
    <s v="logdescriptor"/>
    <s v="김준형"/>
    <s v="김준형"/>
    <m/>
    <n v="49474"/>
    <m/>
    <m/>
    <n v="52279"/>
    <m/>
    <m/>
    <m/>
    <m/>
    <n v="0"/>
    <n v="0"/>
    <n v="0"/>
    <n v="0"/>
    <n v="0"/>
    <n v="0"/>
    <s v=""/>
    <n v="1000"/>
  </r>
  <r>
    <x v="4"/>
    <x v="0"/>
    <x v="0"/>
    <s v="Data Engineering Dept."/>
    <x v="1"/>
    <n v="101968"/>
    <s v="I100090817"/>
    <s v="Looker"/>
    <s v="송은석"/>
    <s v="사용완료"/>
    <m/>
    <n v="18571999"/>
    <m/>
    <m/>
    <m/>
    <m/>
    <m/>
    <m/>
    <m/>
    <n v="0"/>
    <n v="0"/>
    <n v="0"/>
    <n v="0"/>
    <m/>
    <n v="0"/>
    <s v=""/>
    <n v="1000"/>
  </r>
  <r>
    <x v="4"/>
    <x v="0"/>
    <x v="0"/>
    <s v="Camp Dept."/>
    <x v="1"/>
    <n v="100987"/>
    <s v="I100090820"/>
    <s v="loon-camp"/>
    <s v="이태형"/>
    <s v="이태형"/>
    <s v="v"/>
    <m/>
    <m/>
    <m/>
    <m/>
    <m/>
    <n v="787234"/>
    <n v="410963.84037322499"/>
    <n v="765195"/>
    <n v="415712"/>
    <n v="311843"/>
    <n v="2"/>
    <n v="227596"/>
    <n v="227595.67889564444"/>
    <n v="227594"/>
    <n v="113797"/>
    <n v="1000"/>
  </r>
  <r>
    <x v="4"/>
    <x v="0"/>
    <x v="0"/>
    <s v="Service Policy Team"/>
    <x v="1"/>
    <n v="101942"/>
    <s v="I100099999"/>
    <s v="lootbox-item-ad-post-oversight"/>
    <s v="구민찬"/>
    <s v="황민지"/>
    <m/>
    <m/>
    <m/>
    <m/>
    <m/>
    <m/>
    <n v="39"/>
    <n v="600.54640926033198"/>
    <n v="1861"/>
    <n v="11155"/>
    <n v="13603"/>
    <n v="0"/>
    <n v="9206"/>
    <n v="9205.9676832412952"/>
    <n v="9206"/>
    <s v=""/>
    <n v="1000"/>
  </r>
  <r>
    <x v="4"/>
    <x v="0"/>
    <x v="12"/>
    <s v="OVDR Web 3.0 Product Team"/>
    <x v="1"/>
    <e v="#N/A"/>
    <s v="P100010048"/>
    <s v="migaloo-web3"/>
    <s v="당정현"/>
    <s v="당정현"/>
    <m/>
    <m/>
    <m/>
    <m/>
    <m/>
    <m/>
    <m/>
    <m/>
    <m/>
    <n v="0"/>
    <n v="0"/>
    <n v="0"/>
    <n v="0"/>
    <m/>
    <n v="0"/>
    <s v=""/>
    <e v="#N/A"/>
  </r>
  <r>
    <x v="4"/>
    <x v="0"/>
    <x v="12"/>
    <n v="0"/>
    <x v="1"/>
    <n v="100553"/>
    <e v="#N/A"/>
    <s v="migaloo-web3-369008"/>
    <s v="당정현"/>
    <s v="당정현"/>
    <m/>
    <m/>
    <m/>
    <m/>
    <n v="15458"/>
    <n v="56760"/>
    <n v="35549"/>
    <n v="211502.07494605999"/>
    <n v="221353"/>
    <n v="1257249"/>
    <n v="642356"/>
    <n v="18"/>
    <n v="227687"/>
    <n v="227686.92440183208"/>
    <n v="227669"/>
    <n v="12648.277777777777"/>
    <e v="#N/A"/>
  </r>
  <r>
    <x v="4"/>
    <x v="11"/>
    <x v="28"/>
    <s v="Unknownworlds"/>
    <x v="46"/>
    <n v="102022"/>
    <s v="P100010048"/>
    <s v="moonbreaker-production"/>
    <s v="Jack Smith"/>
    <s v="Jack Smith"/>
    <m/>
    <n v="830622"/>
    <n v="812555"/>
    <n v="773524"/>
    <n v="761371"/>
    <n v="786240"/>
    <n v="789091"/>
    <n v="794682.27159000002"/>
    <n v="696248"/>
    <n v="829618"/>
    <n v="808328"/>
    <n v="805815"/>
    <n v="804763"/>
    <n v="804762.72983799991"/>
    <n v="-1052"/>
    <n v="-1.3055105700439927E-3"/>
    <e v="#N/A"/>
  </r>
  <r>
    <x v="4"/>
    <x v="0"/>
    <x v="0"/>
    <s v="AI Model Research Dept."/>
    <x v="1"/>
    <n v="101721"/>
    <s v="I100099999"/>
    <s v="nonverbal-tagging"/>
    <s v="박선영"/>
    <s v="박선영"/>
    <m/>
    <m/>
    <m/>
    <m/>
    <m/>
    <m/>
    <m/>
    <m/>
    <m/>
    <m/>
    <n v="756015"/>
    <n v="6"/>
    <n v="408"/>
    <n v="408.33067626478265"/>
    <n v="402"/>
    <n v="67"/>
    <n v="1000"/>
  </r>
  <r>
    <x v="4"/>
    <x v="0"/>
    <x v="0"/>
    <s v="Data Engineering Dept."/>
    <x v="1"/>
    <n v="100079"/>
    <s v="I100099999"/>
    <s v="oge-scraper"/>
    <s v="염화음"/>
    <s v="신수연"/>
    <m/>
    <m/>
    <m/>
    <m/>
    <m/>
    <m/>
    <m/>
    <m/>
    <m/>
    <n v="0"/>
    <n v="0"/>
    <n v="0"/>
    <n v="0"/>
    <n v="0"/>
    <n v="0"/>
    <s v=""/>
    <n v="1000"/>
  </r>
  <r>
    <x v="4"/>
    <x v="0"/>
    <x v="0"/>
    <s v="PalM Unit"/>
    <x v="29"/>
    <n v="100009"/>
    <s v="I100099999"/>
    <s v="palworld-m"/>
    <s v="양병성"/>
    <s v="양병성"/>
    <m/>
    <m/>
    <m/>
    <m/>
    <n v="498381"/>
    <n v="280370"/>
    <n v="29853"/>
    <n v="1972.6771002754699"/>
    <n v="5090"/>
    <n v="70283"/>
    <n v="211224"/>
    <n v="3"/>
    <n v="35228"/>
    <n v="35227.648882998845"/>
    <n v="35225"/>
    <n v="11741.666666666666"/>
    <n v="1000"/>
  </r>
  <r>
    <x v="4"/>
    <x v="0"/>
    <x v="12"/>
    <s v="OVDR Platform Engineering Dept."/>
    <x v="1"/>
    <n v="102081"/>
    <s v="P100010048"/>
    <s v="pc-api-7226728469668669189-510"/>
    <s v="나윤호"/>
    <s v="이제우"/>
    <m/>
    <n v="29785612"/>
    <n v="18023639"/>
    <n v="24304360"/>
    <n v="31543413"/>
    <n v="32084883"/>
    <n v="40536900"/>
    <n v="46259920.0767451"/>
    <n v="33695355"/>
    <n v="53645497"/>
    <n v="58648964"/>
    <n v="2475"/>
    <n v="39951447"/>
    <n v="39951446.533170611"/>
    <n v="39948972"/>
    <n v="16140.998787878787"/>
    <n v="1000"/>
  </r>
  <r>
    <x v="4"/>
    <x v="0"/>
    <x v="0"/>
    <s v="Design Creative Part"/>
    <x v="1"/>
    <n v="100076"/>
    <s v="I100099999"/>
    <s v="playbook-488307"/>
    <s v="권순철"/>
    <s v="권순철"/>
    <m/>
    <m/>
    <m/>
    <m/>
    <m/>
    <m/>
    <m/>
    <m/>
    <m/>
    <m/>
    <m/>
    <n v="0"/>
    <n v="793"/>
    <n v="792.9670538722811"/>
    <n v="793"/>
    <s v=""/>
    <n v="1000"/>
  </r>
  <r>
    <x v="4"/>
    <x v="0"/>
    <x v="0"/>
    <s v="Platform Management Team"/>
    <x v="0"/>
    <n v="100036"/>
    <s v="I100099999"/>
    <s v="project-ddm-405802"/>
    <s v="신지호"/>
    <s v="신지호"/>
    <s v="v"/>
    <n v="702"/>
    <n v="335"/>
    <n v="305"/>
    <n v="335"/>
    <n v="355"/>
    <n v="344"/>
    <n v="340.91250228800499"/>
    <n v="254"/>
    <n v="409"/>
    <n v="410"/>
    <n v="0"/>
    <n v="347"/>
    <n v="346.76473675591114"/>
    <n v="347"/>
    <s v=""/>
    <n v="1000"/>
  </r>
  <r>
    <x v="4"/>
    <x v="0"/>
    <x v="2"/>
    <s v="Platform Management Team"/>
    <x v="28"/>
    <n v="100009"/>
    <s v="I100099999"/>
    <s v="project-uropa"/>
    <s v="신지호"/>
    <s v="신지호"/>
    <s v="v"/>
    <m/>
    <m/>
    <m/>
    <m/>
    <m/>
    <m/>
    <m/>
    <m/>
    <m/>
    <n v="0"/>
    <n v="0"/>
    <n v="0"/>
    <n v="1.5959049369861398E-2"/>
    <n v="0"/>
    <s v=""/>
    <n v="1000"/>
  </r>
  <r>
    <x v="4"/>
    <x v="0"/>
    <x v="18"/>
    <s v="FWG T Team"/>
    <x v="6"/>
    <n v="100414"/>
    <s v="P100010012"/>
    <s v="prototype-485602"/>
    <s v="김무갑"/>
    <s v="김무갑"/>
    <m/>
    <m/>
    <m/>
    <m/>
    <m/>
    <m/>
    <m/>
    <m/>
    <m/>
    <m/>
    <n v="149904"/>
    <n v="0"/>
    <n v="0"/>
    <m/>
    <n v="0"/>
    <s v=""/>
    <n v="4800"/>
  </r>
  <r>
    <x v="4"/>
    <x v="0"/>
    <x v="0"/>
    <s v="PUBG Ally DL TF Team"/>
    <x v="1"/>
    <n v="105019"/>
    <s v="I100099999"/>
    <s v="pubg-ally"/>
    <s v="임효정"/>
    <s v="임효정"/>
    <s v="v"/>
    <m/>
    <n v="0"/>
    <n v="54694"/>
    <n v="205493"/>
    <n v="1531737"/>
    <n v="5707599"/>
    <n v="22994793.520909399"/>
    <n v="8807613"/>
    <n v="57769289"/>
    <n v="4439745"/>
    <n v="176"/>
    <n v="4281909"/>
    <n v="4281908.7552201254"/>
    <n v="4281733"/>
    <n v="24328.028409090908"/>
    <n v="1000"/>
  </r>
  <r>
    <x v="4"/>
    <x v="0"/>
    <x v="0"/>
    <s v="Platform Management Team"/>
    <x v="4"/>
    <n v="101050"/>
    <s v="I100099999"/>
    <s v="pubg-mobile-fit-29242572"/>
    <s v="신지호"/>
    <s v="신지호"/>
    <s v="v"/>
    <n v="634011"/>
    <n v="504939"/>
    <n v="564021"/>
    <n v="625597"/>
    <n v="595881"/>
    <n v="664709"/>
    <n v="530501.09327413305"/>
    <n v="385591"/>
    <n v="246345"/>
    <n v="689903"/>
    <n v="23"/>
    <n v="311167"/>
    <n v="311167.09851377754"/>
    <n v="311144"/>
    <n v="13528"/>
    <n v="1000"/>
  </r>
  <r>
    <x v="4"/>
    <x v="0"/>
    <x v="2"/>
    <s v="PUBG PC&amp;Console Dev Div."/>
    <x v="5"/>
    <n v="101323"/>
    <s v="P100030073"/>
    <s v="pubg-platform-ai"/>
    <s v="김정헌"/>
    <s v="최준석"/>
    <m/>
    <m/>
    <n v="0"/>
    <n v="733359"/>
    <n v="959829"/>
    <n v="1478752"/>
    <n v="1627186"/>
    <n v="3284536.6306779301"/>
    <n v="8594593"/>
    <n v="13854425"/>
    <n v="17044059"/>
    <n v="35039556"/>
    <n v="39754571"/>
    <n v="39754571.41206333"/>
    <n v="4715015"/>
    <n v="0.13456263543978697"/>
    <n v="1000"/>
  </r>
  <r>
    <x v="4"/>
    <x v="0"/>
    <x v="0"/>
    <s v="KRAFTON HQ"/>
    <x v="1"/>
    <n v="100414"/>
    <s v="P100010048"/>
    <s v="pubg-primer"/>
    <n v="0"/>
    <n v="0"/>
    <m/>
    <m/>
    <m/>
    <m/>
    <m/>
    <m/>
    <m/>
    <m/>
    <m/>
    <n v="0"/>
    <n v="1"/>
    <n v="0"/>
    <n v="1"/>
    <n v="0.69571855020947271"/>
    <n v="1"/>
    <s v=""/>
    <n v="1000"/>
  </r>
  <r>
    <x v="4"/>
    <x v="0"/>
    <x v="0"/>
    <s v="Publishing Growth Marketing &amp; BD Team"/>
    <x v="1"/>
    <n v="100033"/>
    <s v="I100099999"/>
    <s v="publishing-growth-marketing"/>
    <s v="정여원"/>
    <s v="정여원"/>
    <m/>
    <m/>
    <m/>
    <m/>
    <m/>
    <m/>
    <m/>
    <m/>
    <m/>
    <m/>
    <m/>
    <n v="0"/>
    <n v="0"/>
    <m/>
    <n v="0"/>
    <s v=""/>
    <n v="1000"/>
  </r>
  <r>
    <x v="4"/>
    <x v="7"/>
    <x v="13"/>
    <s v="ReLU Dev Dept."/>
    <x v="1"/>
    <n v="101883"/>
    <s v="P100010048"/>
    <s v="ReLU Games"/>
    <s v="오준석"/>
    <s v="오준석"/>
    <m/>
    <m/>
    <m/>
    <m/>
    <m/>
    <m/>
    <m/>
    <m/>
    <m/>
    <n v="0"/>
    <n v="0"/>
    <n v="0"/>
    <n v="0"/>
    <m/>
    <n v="0"/>
    <s v=""/>
    <e v="#N/A"/>
  </r>
  <r>
    <x v="4"/>
    <x v="0"/>
    <x v="13"/>
    <n v="0"/>
    <x v="1"/>
    <n v="100009"/>
    <s v="P100010048"/>
    <s v="relugames"/>
    <s v="오준석"/>
    <s v="오준석"/>
    <m/>
    <m/>
    <m/>
    <m/>
    <m/>
    <n v="42"/>
    <n v="23"/>
    <n v="406.20200048818901"/>
    <n v="8243"/>
    <n v="11205"/>
    <n v="4009"/>
    <n v="0"/>
    <n v="14680"/>
    <n v="14680.210057925344"/>
    <n v="14680"/>
    <s v=""/>
    <e v="#N/A"/>
  </r>
  <r>
    <x v="4"/>
    <x v="0"/>
    <x v="0"/>
    <s v="General Operations Dept."/>
    <x v="1"/>
    <n v="100025"/>
    <s v="I100099999"/>
    <s v="resort-booking-system-484805"/>
    <s v="윤지애"/>
    <s v="윤지애"/>
    <m/>
    <m/>
    <m/>
    <m/>
    <m/>
    <m/>
    <m/>
    <m/>
    <m/>
    <m/>
    <n v="11"/>
    <n v="0"/>
    <n v="3"/>
    <n v="3.2307142306387333"/>
    <n v="3"/>
    <s v=""/>
    <n v="1000"/>
  </r>
  <r>
    <x v="4"/>
    <x v="0"/>
    <x v="0"/>
    <s v="Culture Team"/>
    <x v="1"/>
    <e v="#N/A"/>
    <s v="I100099999"/>
    <s v="rosy-cache-487200-j0"/>
    <s v="임경빈"/>
    <s v="임경빈"/>
    <m/>
    <m/>
    <m/>
    <m/>
    <m/>
    <m/>
    <m/>
    <m/>
    <m/>
    <m/>
    <m/>
    <n v="0"/>
    <n v="759"/>
    <n v="758.76564516202313"/>
    <n v="759"/>
    <s v=""/>
    <n v="1000"/>
  </r>
  <r>
    <x v="4"/>
    <x v="0"/>
    <x v="0"/>
    <s v="Service DevOps Team"/>
    <x v="1"/>
    <n v="500034"/>
    <s v="P100010055"/>
    <s v="serviceinfratest"/>
    <s v="엄기성"/>
    <s v="엄기성"/>
    <m/>
    <n v="592365"/>
    <n v="482888"/>
    <n v="644476"/>
    <n v="599319"/>
    <n v="588545"/>
    <n v="555717"/>
    <n v="575270.53306360496"/>
    <n v="366948"/>
    <n v="601721"/>
    <n v="592517"/>
    <n v="25"/>
    <n v="435668"/>
    <n v="435667.71724717139"/>
    <n v="435643"/>
    <n v="17425.72"/>
    <n v="1000"/>
  </r>
  <r>
    <x v="4"/>
    <x v="0"/>
    <x v="21"/>
    <n v="0"/>
    <x v="1"/>
    <n v="101752"/>
    <s v="P100010048"/>
    <s v="smash-dungeon"/>
    <n v="0"/>
    <n v="0"/>
    <m/>
    <m/>
    <m/>
    <m/>
    <m/>
    <n v="1043"/>
    <n v="1014"/>
    <n v="989.49082299999998"/>
    <n v="870"/>
    <n v="2064"/>
    <n v="1092"/>
    <n v="1091"/>
    <n v="1092"/>
    <n v="1091.5404799999999"/>
    <n v="1"/>
    <n v="9.1659028414298811E-4"/>
    <e v="#N/A"/>
  </r>
  <r>
    <x v="4"/>
    <x v="0"/>
    <x v="21"/>
    <n v="0"/>
    <x v="1"/>
    <n v="101752"/>
    <e v="#N/A"/>
    <s v="sys-63523688918007462271555783"/>
    <n v="0"/>
    <n v="0"/>
    <m/>
    <m/>
    <m/>
    <m/>
    <m/>
    <m/>
    <m/>
    <m/>
    <m/>
    <n v="17821"/>
    <n v="152110"/>
    <n v="0"/>
    <n v="411853"/>
    <n v="411853.464148"/>
    <n v="411853"/>
    <s v=""/>
    <e v="#N/A"/>
  </r>
  <r>
    <x v="4"/>
    <x v="0"/>
    <x v="0"/>
    <s v="Data Analytics Dept."/>
    <x v="1"/>
    <n v="101323"/>
    <s v="I100099999"/>
    <s v="tableau-tf"/>
    <s v="김태혁"/>
    <s v="김태혁"/>
    <m/>
    <m/>
    <m/>
    <m/>
    <m/>
    <m/>
    <n v="24"/>
    <n v="0"/>
    <n v="2"/>
    <n v="0"/>
    <n v="0"/>
    <n v="0"/>
    <n v="0"/>
    <m/>
    <n v="0"/>
    <s v=""/>
    <n v="1000"/>
  </r>
  <r>
    <x v="4"/>
    <x v="0"/>
    <x v="27"/>
    <s v="Service DevOps Team"/>
    <x v="46"/>
    <e v="#N/A"/>
    <s v="P100010012"/>
    <s v="uw-mb-prod"/>
    <s v="엄기성"/>
    <s v="엄기성"/>
    <m/>
    <n v="4617164"/>
    <n v="3751157"/>
    <n v="4614580"/>
    <n v="4657575"/>
    <n v="4624259"/>
    <n v="4360346"/>
    <n v="4535924.9897238901"/>
    <n v="2905468"/>
    <n v="4747557"/>
    <n v="4697332"/>
    <n v="189"/>
    <n v="3322610"/>
    <n v="3322609.9479207862"/>
    <n v="3322421"/>
    <n v="17578.947089947091"/>
    <n v="1000"/>
  </r>
  <r>
    <x v="4"/>
    <x v="0"/>
    <x v="0"/>
    <s v="AI Applied Research Dept."/>
    <x v="1"/>
    <n v="100522"/>
    <s v="I100099999"/>
    <s v="veo3-461205"/>
    <s v="선주형"/>
    <s v="선주형"/>
    <m/>
    <m/>
    <n v="0"/>
    <n v="247576"/>
    <n v="547075"/>
    <n v="46917"/>
    <n v="6850"/>
    <n v="373952.14690898301"/>
    <n v="5366"/>
    <n v="539725"/>
    <n v="3408"/>
    <n v="0"/>
    <n v="0"/>
    <m/>
    <n v="0"/>
    <s v=""/>
    <n v="1000"/>
  </r>
  <r>
    <x v="4"/>
    <x v="0"/>
    <x v="2"/>
    <s v="Infra Div."/>
    <x v="1"/>
    <n v="101802"/>
    <s v="I100099999"/>
    <s v="vital-axiom-238107"/>
    <s v="심재한"/>
    <s v="심재한"/>
    <m/>
    <n v="618098"/>
    <n v="607799"/>
    <n v="579289"/>
    <n v="570883"/>
    <n v="565793"/>
    <n v="675446"/>
    <n v="463957.726986742"/>
    <n v="13609"/>
    <n v="13256"/>
    <n v="13387"/>
    <n v="1"/>
    <n v="11165"/>
    <n v="11165.295021858288"/>
    <n v="11164"/>
    <n v="11164"/>
    <n v="1000"/>
  </r>
  <r>
    <x v="4"/>
    <x v="0"/>
    <x v="15"/>
    <s v="Vector North Unit"/>
    <x v="1"/>
    <n v="101090"/>
    <s v="P100010048"/>
    <s v="vn-holmlands-dev"/>
    <s v="Petr Matoušek"/>
    <s v="Petr Matoušek"/>
    <m/>
    <n v="2578"/>
    <n v="2051"/>
    <n v="2334"/>
    <n v="2631"/>
    <n v="733"/>
    <n v="47"/>
    <n v="40.5986965857821"/>
    <n v="21"/>
    <n v="0"/>
    <n v="0"/>
    <n v="0"/>
    <n v="0"/>
    <m/>
    <n v="0"/>
    <s v=""/>
    <n v="1000"/>
  </r>
  <r>
    <x v="4"/>
    <x v="0"/>
    <x v="0"/>
    <s v="Visual R&amp;D Team"/>
    <x v="1"/>
    <n v="100025"/>
    <s v="I100090813"/>
    <s v="vrd-gcp-proj"/>
    <s v="이주영"/>
    <s v="이주영"/>
    <m/>
    <m/>
    <m/>
    <m/>
    <m/>
    <m/>
    <m/>
    <m/>
    <m/>
    <m/>
    <n v="8909"/>
    <n v="0"/>
    <n v="27075"/>
    <n v="27075.161647381323"/>
    <n v="27075"/>
    <s v=""/>
    <n v="1000"/>
  </r>
  <r>
    <x v="4"/>
    <x v="11"/>
    <x v="28"/>
    <s v="Unknownworlds"/>
    <x v="1"/>
    <e v="#N/A"/>
    <s v="P100010048"/>
    <s v="warpaint-backend"/>
    <s v="Jack Smith"/>
    <s v="Jack Smith"/>
    <m/>
    <n v="928459"/>
    <n v="925201"/>
    <n v="862354"/>
    <n v="865337"/>
    <n v="900306"/>
    <n v="891520"/>
    <n v="948865.172217999"/>
    <n v="833157"/>
    <n v="1079425"/>
    <n v="1045497"/>
    <n v="956301"/>
    <n v="1017028"/>
    <n v="1017028.0026149988"/>
    <n v="60727"/>
    <n v="6.3501972705246573E-2"/>
    <e v="#N/A"/>
  </r>
  <r>
    <x v="4"/>
    <x v="11"/>
    <x v="28"/>
    <s v="Unknownworlds"/>
    <x v="1"/>
    <e v="#N/A"/>
    <s v="P100010048"/>
    <s v="warpaint-developer-280614"/>
    <s v="Jack Smith"/>
    <s v="Jack Smith"/>
    <m/>
    <n v="27"/>
    <n v="27"/>
    <n v="25"/>
    <n v="25"/>
    <n v="26"/>
    <n v="26"/>
    <n v="26.081230000000001"/>
    <n v="23"/>
    <n v="27"/>
    <n v="27"/>
    <n v="26"/>
    <n v="26"/>
    <n v="26.482267"/>
    <n v="0"/>
    <n v="0"/>
    <e v="#N/A"/>
  </r>
  <r>
    <x v="4"/>
    <x v="0"/>
    <x v="0"/>
    <s v="S2 Team"/>
    <x v="1"/>
    <n v="101316"/>
    <s v="I100099999"/>
    <s v="workautomation-472302"/>
    <s v="조승석"/>
    <s v="조승석"/>
    <m/>
    <m/>
    <m/>
    <m/>
    <m/>
    <m/>
    <n v="190473"/>
    <n v="43249.400149206602"/>
    <n v="901430"/>
    <n v="260231"/>
    <n v="33181"/>
    <n v="38284"/>
    <n v="651"/>
    <n v="651.29146383832995"/>
    <n v="-37633"/>
    <n v="-0.98299550726151919"/>
    <n v="1000"/>
  </r>
  <r>
    <x v="4"/>
    <x v="0"/>
    <x v="2"/>
    <s v="Core VFX Team"/>
    <x v="1"/>
    <e v="#N/A"/>
    <s v="I100099999"/>
    <s v="xchange-486910"/>
    <s v="서승욱"/>
    <s v="서승욱"/>
    <m/>
    <m/>
    <m/>
    <m/>
    <m/>
    <m/>
    <m/>
    <m/>
    <m/>
    <m/>
    <m/>
    <n v="5"/>
    <n v="3191976"/>
    <n v="3191976.4945698269"/>
    <n v="3191971"/>
    <n v="638394.19999999995"/>
    <n v="1000"/>
  </r>
  <r>
    <x v="4"/>
    <x v="0"/>
    <x v="0"/>
    <s v="Experience Engineering Dept."/>
    <x v="2"/>
    <n v="101451"/>
    <s v="I100099999"/>
    <s v="xe-dept"/>
    <s v="이준호"/>
    <s v="이준호"/>
    <m/>
    <m/>
    <m/>
    <m/>
    <m/>
    <m/>
    <n v="2211517"/>
    <n v="5406803.1189418798"/>
    <n v="3675563"/>
    <n v="8601692"/>
    <n v="16247145"/>
    <n v="41601593"/>
    <n v="33015560"/>
    <n v="33015560.436395276"/>
    <n v="-8586033"/>
    <n v="-0.20638712080087895"/>
    <n v="1000"/>
  </r>
  <r>
    <x v="4"/>
    <x v="0"/>
    <x v="0"/>
    <s v="BAO Team 1"/>
    <x v="1"/>
    <m/>
    <m/>
    <s v="bao-monitoring"/>
    <m/>
    <s v="권창현"/>
    <m/>
    <m/>
    <m/>
    <m/>
    <m/>
    <m/>
    <m/>
    <m/>
    <m/>
    <m/>
    <m/>
    <m/>
    <n v="7853"/>
    <n v="7852.8130963367448"/>
    <n v="7853"/>
    <s v=""/>
    <n v="1000"/>
  </r>
  <r>
    <x v="4"/>
    <x v="0"/>
    <x v="19"/>
    <n v="0"/>
    <x v="1"/>
    <m/>
    <m/>
    <s v="bgmi-brain"/>
    <m/>
    <s v="Srinjoy Das"/>
    <m/>
    <m/>
    <m/>
    <m/>
    <m/>
    <m/>
    <m/>
    <m/>
    <m/>
    <m/>
    <m/>
    <m/>
    <n v="57"/>
    <n v="56.744017105312849"/>
    <n v="57"/>
    <s v=""/>
    <e v="#N/A"/>
  </r>
  <r>
    <x v="4"/>
    <x v="0"/>
    <x v="0"/>
    <s v="Brand Creative Dept."/>
    <x v="1"/>
    <m/>
    <m/>
    <s v="brand-creative-dept"/>
    <m/>
    <s v="전지민"/>
    <m/>
    <m/>
    <m/>
    <m/>
    <m/>
    <m/>
    <m/>
    <m/>
    <m/>
    <m/>
    <m/>
    <m/>
    <n v="2577"/>
    <n v="2577.422381865546"/>
    <n v="2577"/>
    <s v=""/>
    <n v="1000"/>
  </r>
  <r>
    <x v="4"/>
    <x v="0"/>
    <x v="0"/>
    <s v="D2 Project Management Dept."/>
    <x v="1"/>
    <m/>
    <m/>
    <s v="pd2-automation"/>
    <m/>
    <s v="정길환"/>
    <m/>
    <m/>
    <m/>
    <m/>
    <m/>
    <m/>
    <m/>
    <m/>
    <m/>
    <m/>
    <m/>
    <m/>
    <n v="17049"/>
    <n v="17048.751931786639"/>
    <n v="17049"/>
    <s v=""/>
    <e v="#N/A"/>
  </r>
  <r>
    <x v="5"/>
    <x v="0"/>
    <x v="0"/>
    <s v="AI Transformation Team"/>
    <x v="1"/>
    <n v="100033"/>
    <s v="P100010051"/>
    <s v="Gemini"/>
    <s v="김도균"/>
    <s v="김도균"/>
    <s v="v"/>
    <m/>
    <n v="1593316"/>
    <n v="14159266"/>
    <n v="15798965"/>
    <n v="16672481"/>
    <n v="23830001"/>
    <n v="35729363"/>
    <n v="47719191"/>
    <n v="442843891"/>
    <n v="45605573"/>
    <n v="46183254"/>
    <n v="47260551"/>
    <n v="47260551"/>
    <n v="1077297"/>
    <n v="2.332657200811359E-2"/>
    <n v="1000"/>
  </r>
  <r>
    <x v="5"/>
    <x v="0"/>
    <x v="0"/>
    <s v="IT Dept."/>
    <x v="1"/>
    <n v="101315"/>
    <s v="I100099999"/>
    <s v="GWS"/>
    <s v="이윤슬"/>
    <s v="이윤슬"/>
    <s v="v"/>
    <n v="6111369"/>
    <n v="5901364"/>
    <n v="6127160"/>
    <n v="6235907"/>
    <n v="6250737"/>
    <n v="6954588"/>
    <n v="11281589"/>
    <n v="11485143"/>
    <n v="11344221"/>
    <n v="11434255"/>
    <n v="11579091"/>
    <n v="11849192"/>
    <n v="11849192"/>
    <n v="270101"/>
    <n v="2.3326615189396129E-2"/>
    <n v="1000"/>
  </r>
  <r>
    <x v="6"/>
    <x v="0"/>
    <x v="0"/>
    <s v="IT Dept."/>
    <x v="1"/>
    <e v="#N/A"/>
    <s v="I100099999"/>
    <s v="TC_PERFDOG@krafton.com(100009236773)"/>
    <s v="이윤슬"/>
    <s v="이윤슬"/>
    <m/>
    <n v="0"/>
    <n v="4842600"/>
    <n v="0"/>
    <n v="0"/>
    <n v="0"/>
    <n v="0"/>
    <n v="0"/>
    <n v="0"/>
    <n v="40516000"/>
    <n v="5082000"/>
    <n v="0"/>
    <n v="0"/>
    <n v="0"/>
    <n v="0"/>
    <s v=""/>
    <n v="1000"/>
  </r>
  <r>
    <x v="6"/>
    <x v="0"/>
    <x v="2"/>
    <s v="PUBG PC&amp;Console Dev Div."/>
    <x v="5"/>
    <n v="101450"/>
    <s v="I100099999"/>
    <s v="TC_PUBG@krafton.com(100013364605)"/>
    <s v="김정헌"/>
    <s v="최준석"/>
    <s v="v"/>
    <n v="8300386"/>
    <n v="7523529"/>
    <n v="7116610"/>
    <n v="8361159"/>
    <n v="6908323"/>
    <n v="6114282"/>
    <n v="5716882"/>
    <n v="6278480"/>
    <n v="6290612"/>
    <n v="6737954"/>
    <n v="4620637"/>
    <n v="19546187"/>
    <n v="19546187"/>
    <n v="14925550"/>
    <n v="3.230193153021975"/>
    <n v="1000"/>
  </r>
  <r>
    <x v="6"/>
    <x v="0"/>
    <x v="0"/>
    <s v="PUBGM Product Management Dept."/>
    <x v="17"/>
    <n v="101437"/>
    <s v="I100099999"/>
    <s v="TC_PUBGM@krafton.com(100006855235)"/>
    <s v="김연"/>
    <s v="최윤채"/>
    <s v="v"/>
    <n v="413169168"/>
    <n v="425020115"/>
    <n v="385454092"/>
    <n v="442653019"/>
    <n v="432224651"/>
    <n v="416853278"/>
    <n v="421105324"/>
    <n v="471569081"/>
    <n v="442092836"/>
    <n v="492137181"/>
    <n v="459437153"/>
    <n v="518645332"/>
    <n v="518645332"/>
    <n v="59208179"/>
    <n v="0.12887111678580335"/>
    <n v="1000"/>
  </r>
  <r>
    <x v="6"/>
    <x v="0"/>
    <x v="0"/>
    <s v="Service DevOps Team"/>
    <x v="5"/>
    <n v="101214"/>
    <s v="I100099999"/>
    <s v="TC_RU-CDN@krafton.com(200022872415)"/>
    <s v="신근우"/>
    <s v="신근우"/>
    <s v="v"/>
    <n v="486745"/>
    <n v="482310"/>
    <n v="456741"/>
    <n v="682864"/>
    <n v="484847"/>
    <n v="473804"/>
    <n v="499777"/>
    <n v="494789"/>
    <n v="506091"/>
    <n v="505432"/>
    <n v="461350"/>
    <n v="533795"/>
    <n v="533795"/>
    <n v="72445"/>
    <n v="0.1570282865503414"/>
    <n v="1000"/>
  </r>
  <r>
    <x v="6"/>
    <x v="0"/>
    <x v="33"/>
    <s v="CN Service Ops Team_HQ"/>
    <x v="5"/>
    <n v="101752"/>
    <s v="P100010012"/>
    <s v="TC_service_sh@krafton.com(200037618761)"/>
    <s v="Pei Jun Xue"/>
    <s v="Yan Ru Xu"/>
    <m/>
    <n v="0"/>
    <n v="0"/>
    <n v="7987883"/>
    <n v="0"/>
    <n v="0"/>
    <n v="0"/>
    <n v="0"/>
    <n v="0"/>
    <n v="0"/>
    <n v="0"/>
    <n v="0"/>
    <n v="0"/>
    <n v="0"/>
    <n v="0"/>
    <s v=""/>
    <n v="1000"/>
  </r>
  <r>
    <x v="6"/>
    <x v="0"/>
    <x v="0"/>
    <s v="Experience Engineering Dept."/>
    <x v="1"/>
    <e v="#N/A"/>
    <s v="I100099999"/>
    <s v="TC_xe@krafton.com(200041394676)"/>
    <s v="이준호"/>
    <s v="이준호"/>
    <m/>
    <n v="7223174"/>
    <n v="5407310"/>
    <n v="4371506"/>
    <n v="13574246"/>
    <n v="4883935"/>
    <n v="5083977"/>
    <n v="3687551"/>
    <n v="7459074"/>
    <n v="9104308"/>
    <n v="3363551"/>
    <n v="4561910"/>
    <n v="8275257"/>
    <n v="8275257"/>
    <n v="3713347"/>
    <n v="0.81398953508508498"/>
    <n v="1000"/>
  </r>
  <r>
    <x v="6"/>
    <x v="0"/>
    <x v="0"/>
    <s v="Service DevOps Team"/>
    <x v="3"/>
    <n v="100641"/>
    <s v="I100099999"/>
    <s v="TC_XTRM-Prod@pubg.com(200022166258)"/>
    <s v="엄기성"/>
    <s v="엄기성"/>
    <m/>
    <n v="45404"/>
    <n v="44962"/>
    <n v="42556"/>
    <n v="45200"/>
    <n v="45365"/>
    <n v="44913"/>
    <n v="46527"/>
    <n v="48491"/>
    <n v="47509"/>
    <n v="47181"/>
    <n v="43048"/>
    <n v="49728"/>
    <n v="49728"/>
    <n v="6680"/>
    <n v="0.15517561791488571"/>
    <n v="1000"/>
  </r>
  <r>
    <x v="6"/>
    <x v="0"/>
    <x v="0"/>
    <s v="IT Dept."/>
    <x v="1"/>
    <n v="100022"/>
    <s v="I100099999"/>
    <s v="tencent_systemT@krafton.com(200030930341)"/>
    <s v="김재윤"/>
    <s v="김재윤"/>
    <m/>
    <n v="173399"/>
    <n v="152326"/>
    <n v="163241"/>
    <n v="173268"/>
    <n v="172973"/>
    <n v="169264"/>
    <n v="178396"/>
    <n v="176827"/>
    <n v="180366"/>
    <n v="180989"/>
    <n v="165107"/>
    <n v="218802"/>
    <n v="218802"/>
    <n v="53695"/>
    <n v="0.3252133464965144"/>
    <n v="1000"/>
  </r>
  <r>
    <x v="7"/>
    <x v="0"/>
    <x v="2"/>
    <s v="PUBG PC&amp;Console Dev Div."/>
    <x v="5"/>
    <n v="101651"/>
    <s v="I100099999"/>
    <s v="cloud-pubgdevops"/>
    <s v="김정헌"/>
    <s v="최준석"/>
    <s v="v"/>
    <n v="64164937"/>
    <n v="74234092"/>
    <n v="71498209"/>
    <n v="68361343"/>
    <n v="68754163"/>
    <n v="68401747"/>
    <n v="81891769.049999997"/>
    <n v="80894199.75"/>
    <n v="83662050"/>
    <n v="89156709"/>
    <n v="87099504"/>
    <n v="116006257"/>
    <n v="116006257.00000001"/>
    <n v="28906753"/>
    <n v="0.33188194734151416"/>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748936-002D-4405-96A7-57B8B50E1B4E}" name="피벗 테이블3"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26">
    <pivotField axis="axisRow" showAll="0">
      <items count="11">
        <item x="0"/>
        <item x="1"/>
        <item x="2"/>
        <item x="3"/>
        <item x="4"/>
        <item x="5"/>
        <item m="1" x="7"/>
        <item m="1" x="8"/>
        <item h="1" m="1" x="6"/>
        <item m="1" x="9"/>
        <item t="default"/>
      </items>
    </pivotField>
    <pivotField axis="axisRow" showAll="0">
      <items count="18">
        <item x="5"/>
        <item h="1" x="9"/>
        <item h="1" x="13"/>
        <item x="0"/>
        <item h="1" x="6"/>
        <item h="1" x="7"/>
        <item h="1" x="15"/>
        <item x="2"/>
        <item h="1" x="11"/>
        <item h="1" x="12"/>
        <item h="1" x="3"/>
        <item h="1" x="4"/>
        <item h="1" x="10"/>
        <item h="1" x="1"/>
        <item h="1" x="14"/>
        <item x="8"/>
        <item h="1" m="1" x="16"/>
        <item t="default"/>
      </items>
    </pivotField>
    <pivotField showAll="0">
      <items count="34">
        <item sd="0" x="9"/>
        <item h="1" sd="0" x="18"/>
        <item sd="0" x="27"/>
        <item sd="0" x="0"/>
        <item sd="0" x="10"/>
        <item sd="0" x="14"/>
        <item h="1" x="12"/>
        <item sd="0" x="1"/>
        <item sd="0" x="2"/>
        <item h="1" x="13"/>
        <item sd="0" x="6"/>
        <item sd="0" x="4"/>
        <item h="1" x="28"/>
        <item h="1" x="32"/>
        <item h="1" x="30"/>
        <item h="1" x="29"/>
        <item h="1" x="5"/>
        <item h="1" x="7"/>
        <item h="1" x="8"/>
        <item h="1" x="21"/>
        <item h="1" x="26"/>
        <item h="1" x="3"/>
        <item h="1" x="25"/>
        <item h="1" x="15"/>
        <item h="1" x="23"/>
        <item h="1" x="19"/>
        <item h="1" x="17"/>
        <item h="1" x="31"/>
        <item h="1" x="20"/>
        <item h="1" x="24"/>
        <item h="1" x="11"/>
        <item h="1" x="22"/>
        <item h="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76" showAll="0"/>
    <pivotField numFmtId="176" showAll="0"/>
    <pivotField showAll="0"/>
    <pivotField showAll="0"/>
    <pivotField showAll="0"/>
    <pivotField showAll="0"/>
    <pivotField showAll="0"/>
    <pivotField dataField="1" numFmtId="176" showAll="0"/>
    <pivotField showAll="0"/>
    <pivotField showAll="0"/>
    <pivotField showAll="0"/>
  </pivotFields>
  <rowFields count="2">
    <field x="0"/>
    <field x="1"/>
  </rowFields>
  <rowItems count="19">
    <i>
      <x/>
    </i>
    <i r="1">
      <x v="3"/>
    </i>
    <i>
      <x v="1"/>
    </i>
    <i r="1">
      <x/>
    </i>
    <i r="1">
      <x v="3"/>
    </i>
    <i r="1">
      <x v="7"/>
    </i>
    <i r="1">
      <x v="15"/>
    </i>
    <i>
      <x v="2"/>
    </i>
    <i r="1">
      <x/>
    </i>
    <i r="1">
      <x v="3"/>
    </i>
    <i r="1">
      <x v="7"/>
    </i>
    <i>
      <x v="3"/>
    </i>
    <i r="1">
      <x/>
    </i>
    <i r="1">
      <x v="3"/>
    </i>
    <i>
      <x v="4"/>
    </i>
    <i r="1">
      <x v="3"/>
    </i>
    <i>
      <x v="5"/>
    </i>
    <i r="1">
      <x v="3"/>
    </i>
    <i t="grand">
      <x/>
    </i>
  </rowItems>
  <colItems count="1">
    <i/>
  </colItems>
  <dataFields count="1">
    <dataField name="합계 : Mar 2026(KRW)" fld="22" baseField="0" baseItem="0" numFmtId="176"/>
  </dataFields>
  <formats count="4">
    <format dxfId="91">
      <pivotArea type="all" dataOnly="0" outline="0" fieldPosition="0"/>
    </format>
    <format dxfId="90">
      <pivotArea outline="0" collapsedLevelsAreSubtotals="1" fieldPosition="0"/>
    </format>
    <format dxfId="89">
      <pivotArea field="2" type="button" dataOnly="0" labelOnly="1" outline="0"/>
    </format>
    <format dxfId="8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E3240-6BDE-4694-9065-BE06B2EBFA30}" name="PivotTable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J62" firstHeaderRow="0" firstDataRow="1" firstDataCol="1" rowPageCount="1" colPageCount="1"/>
  <pivotFields count="26">
    <pivotField showAll="0"/>
    <pivotField axis="axisPage" multipleItemSelectionAllowed="1" showAll="0">
      <items count="21">
        <item h="1" x="6"/>
        <item x="3"/>
        <item h="1" x="4"/>
        <item h="1" x="9"/>
        <item h="1" x="14"/>
        <item x="0"/>
        <item h="1" x="8"/>
        <item h="1" x="12"/>
        <item h="1" x="5"/>
        <item h="1" x="13"/>
        <item x="2"/>
        <item h="1" x="10"/>
        <item h="1" x="11"/>
        <item h="1" x="1"/>
        <item h="1" x="15"/>
        <item h="1" m="1" x="16"/>
        <item m="1" x="18"/>
        <item m="1" x="19"/>
        <item m="1" x="17"/>
        <item x="7"/>
        <item t="default"/>
      </items>
    </pivotField>
    <pivotField axis="axisRow" showAll="0">
      <items count="34">
        <item sd="0" x="6"/>
        <item sd="0" x="19"/>
        <item sd="0" x="22"/>
        <item sd="0" x="0"/>
        <item sd="0" x="11"/>
        <item sd="0" x="16"/>
        <item sd="0" x="25"/>
        <item sd="0" x="1"/>
        <item sd="0" x="7"/>
        <item sd="0" x="13"/>
        <item sd="0" x="5"/>
        <item sd="0" x="26"/>
        <item h="1" x="24"/>
        <item h="1" x="29"/>
        <item sd="0" x="32"/>
        <item h="1" x="3"/>
        <item sd="0" x="30"/>
        <item h="1" x="28"/>
        <item sd="0" x="9"/>
        <item h="1" x="20"/>
        <item h="1" x="10"/>
        <item sd="0" x="14"/>
        <item sd="0" x="12"/>
        <item h="1" x="2"/>
        <item sd="0" x="21"/>
        <item sd="0" x="27"/>
        <item x="4"/>
        <item sd="0" x="23"/>
        <item sd="0" x="15"/>
        <item sd="0" x="31"/>
        <item sd="0" x="17"/>
        <item sd="0" x="8"/>
        <item sd="0"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sd="0" x="6"/>
        <item x="97"/>
        <item x="51"/>
        <item x="105"/>
        <item x="76"/>
        <item x="26"/>
        <item x="60"/>
        <item x="45"/>
        <item x="95"/>
        <item x="35"/>
        <item x="29"/>
        <item x="4"/>
        <item x="22"/>
        <item x="56"/>
        <item x="39"/>
        <item x="123"/>
        <item x="73"/>
        <item x="116"/>
        <item x="8"/>
        <item x="121"/>
        <item x="99"/>
        <item x="74"/>
        <item x="77"/>
        <item x="37"/>
        <item x="9"/>
        <item x="14"/>
        <item x="32"/>
        <item sd="0" x="48"/>
        <item x="114"/>
        <item x="19"/>
        <item x="120"/>
        <item x="64"/>
        <item x="125"/>
        <item x="122"/>
        <item sd="0" x="83"/>
        <item x="68"/>
        <item x="113"/>
        <item x="1"/>
        <item x="53"/>
        <item x="30"/>
        <item x="41"/>
        <item x="93"/>
        <item x="71"/>
        <item x="124"/>
        <item x="57"/>
        <item x="79"/>
        <item x="87"/>
        <item sd="0"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176" showAll="0"/>
    <pivotField dataField="1" numFmtId="176" showAll="0"/>
    <pivotField dataField="1" showAll="0"/>
    <pivotField dataField="1" showAll="0"/>
    <pivotField dataField="1" showAll="0"/>
    <pivotField dataField="1" showAll="0"/>
    <pivotField dataField="1" showAll="0"/>
    <pivotField dataField="1" numFmtId="176" showAll="0"/>
    <pivotField showAll="0"/>
    <pivotField showAll="0"/>
    <pivotField showAll="0"/>
  </pivotFields>
  <rowFields count="3">
    <field x="2"/>
    <field x="3"/>
    <field x="4"/>
  </rowFields>
  <rowItems count="29">
    <i>
      <x/>
    </i>
    <i>
      <x v="1"/>
    </i>
    <i>
      <x v="2"/>
    </i>
    <i>
      <x v="3"/>
    </i>
    <i>
      <x v="4"/>
    </i>
    <i>
      <x v="5"/>
    </i>
    <i>
      <x v="6"/>
    </i>
    <i>
      <x v="7"/>
    </i>
    <i>
      <x v="8"/>
    </i>
    <i>
      <x v="9"/>
    </i>
    <i>
      <x v="10"/>
    </i>
    <i>
      <x v="11"/>
    </i>
    <i>
      <x v="14"/>
    </i>
    <i>
      <x v="16"/>
    </i>
    <i>
      <x v="18"/>
    </i>
    <i>
      <x v="21"/>
    </i>
    <i>
      <x v="22"/>
    </i>
    <i>
      <x v="24"/>
    </i>
    <i>
      <x v="25"/>
    </i>
    <i>
      <x v="26"/>
    </i>
    <i r="1">
      <x v="117"/>
    </i>
    <i r="2">
      <x v="37"/>
    </i>
    <i>
      <x v="27"/>
    </i>
    <i>
      <x v="28"/>
    </i>
    <i>
      <x v="29"/>
    </i>
    <i>
      <x v="30"/>
    </i>
    <i>
      <x v="31"/>
    </i>
    <i>
      <x v="32"/>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176"/>
    <dataField name="합계 : Sep 2025(KRW)" fld="16" baseField="0" baseItem="0" numFmtId="176"/>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5">
    <format dxfId="96">
      <pivotArea type="all" dataOnly="0" outline="0" fieldPosition="0"/>
    </format>
    <format dxfId="95">
      <pivotArea outline="0" collapsedLevelsAreSubtotals="1" fieldPosition="0"/>
    </format>
    <format dxfId="94">
      <pivotArea field="2" type="button" dataOnly="0" labelOnly="1" outline="0" axis="axisRow" fieldPosition="0"/>
    </format>
    <format dxfId="93">
      <pivotArea dataOnly="0" labelOnly="1" fieldPosition="0">
        <references count="1">
          <reference field="2" count="0"/>
        </references>
      </pivotArea>
    </format>
    <format dxfId="9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09B135-B081-47A7-8AE7-0263AB8C0C63}" name="피벗 테이블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0:J633" firstHeaderRow="0" firstDataRow="1" firstDataCol="1" rowPageCount="1" colPageCount="1"/>
  <pivotFields count="26">
    <pivotField axis="axisRow" showAll="0">
      <items count="10">
        <item x="0"/>
        <item x="1"/>
        <item x="2"/>
        <item x="3"/>
        <item x="4"/>
        <item x="5"/>
        <item x="6"/>
        <item x="7"/>
        <item m="1" x="8"/>
        <item t="default"/>
      </items>
    </pivotField>
    <pivotField axis="axisPage" multipleItemSelectionAllowed="1" showAll="0">
      <items count="21">
        <item h="1" x="6"/>
        <item x="3"/>
        <item h="1" x="4"/>
        <item h="1" x="9"/>
        <item h="1" x="14"/>
        <item x="0"/>
        <item h="1" x="8"/>
        <item h="1" x="12"/>
        <item h="1" x="5"/>
        <item h="1" x="13"/>
        <item x="2"/>
        <item h="1" x="10"/>
        <item h="1" x="11"/>
        <item h="1" x="1"/>
        <item x="15"/>
        <item h="1" m="1" x="16"/>
        <item h="1" m="1" x="18"/>
        <item h="1" m="1" x="19"/>
        <item h="1" m="1" x="17"/>
        <item x="7"/>
        <item t="default"/>
      </items>
    </pivotField>
    <pivotField axis="axisRow" showAll="0">
      <items count="34">
        <item x="6"/>
        <item h="1" x="19"/>
        <item x="22"/>
        <item x="0"/>
        <item x="11"/>
        <item x="25"/>
        <item x="16"/>
        <item x="1"/>
        <item x="7"/>
        <item h="1" x="13"/>
        <item x="5"/>
        <item x="26"/>
        <item h="1" x="24"/>
        <item h="1" x="29"/>
        <item x="32"/>
        <item h="1" x="3"/>
        <item x="30"/>
        <item h="1" x="28"/>
        <item x="9"/>
        <item h="1" x="20"/>
        <item h="1" x="10"/>
        <item h="1" x="14"/>
        <item x="12"/>
        <item h="1" x="2"/>
        <item x="21"/>
        <item x="27"/>
        <item x="4"/>
        <item x="23"/>
        <item x="15"/>
        <item x="31"/>
        <item x="17"/>
        <item x="8"/>
        <item h="1" x="18"/>
        <item t="default"/>
      </items>
    </pivotField>
    <pivotField axis="axisRow" showAll="0">
      <items count="133">
        <item x="50"/>
        <item x="11"/>
        <item x="49"/>
        <item x="3"/>
        <item x="70"/>
        <item x="43"/>
        <item x="96"/>
        <item x="2"/>
        <item x="34"/>
        <item x="15"/>
        <item x="90"/>
        <item x="59"/>
        <item x="107"/>
        <item x="23"/>
        <item x="13"/>
        <item x="44"/>
        <item x="58"/>
        <item x="85"/>
        <item x="33"/>
        <item x="101"/>
        <item x="72"/>
        <item x="86"/>
        <item x="47"/>
        <item x="117"/>
        <item x="5"/>
        <item x="112"/>
        <item x="130"/>
        <item x="25"/>
        <item x="81"/>
        <item x="55"/>
        <item x="84"/>
        <item x="66"/>
        <item x="78"/>
        <item x="21"/>
        <item x="52"/>
        <item x="18"/>
        <item x="40"/>
        <item x="131"/>
        <item x="61"/>
        <item x="6"/>
        <item x="97"/>
        <item x="51"/>
        <item x="105"/>
        <item x="76"/>
        <item x="26"/>
        <item x="60"/>
        <item x="45"/>
        <item x="95"/>
        <item x="35"/>
        <item x="29"/>
        <item x="4"/>
        <item x="22"/>
        <item x="56"/>
        <item x="39"/>
        <item x="123"/>
        <item x="73"/>
        <item x="116"/>
        <item x="8"/>
        <item x="121"/>
        <item x="99"/>
        <item x="74"/>
        <item x="77"/>
        <item x="37"/>
        <item x="9"/>
        <item x="14"/>
        <item x="32"/>
        <item x="48"/>
        <item x="114"/>
        <item x="19"/>
        <item x="120"/>
        <item x="64"/>
        <item x="125"/>
        <item x="122"/>
        <item x="83"/>
        <item x="68"/>
        <item x="113"/>
        <item x="1"/>
        <item x="53"/>
        <item x="30"/>
        <item x="41"/>
        <item x="93"/>
        <item x="71"/>
        <item x="124"/>
        <item x="57"/>
        <item x="79"/>
        <item x="87"/>
        <item x="100"/>
        <item x="10"/>
        <item x="24"/>
        <item x="28"/>
        <item x="38"/>
        <item x="42"/>
        <item x="46"/>
        <item x="62"/>
        <item x="65"/>
        <item x="67"/>
        <item x="69"/>
        <item x="109"/>
        <item x="111"/>
        <item x="88"/>
        <item x="0"/>
        <item x="92"/>
        <item x="108"/>
        <item x="27"/>
        <item x="16"/>
        <item x="63"/>
        <item x="91"/>
        <item x="94"/>
        <item x="102"/>
        <item x="118"/>
        <item x="106"/>
        <item x="110"/>
        <item x="119"/>
        <item x="104"/>
        <item x="115"/>
        <item x="31"/>
        <item x="98"/>
        <item x="7"/>
        <item x="12"/>
        <item x="17"/>
        <item x="20"/>
        <item x="36"/>
        <item x="54"/>
        <item x="75"/>
        <item x="80"/>
        <item x="82"/>
        <item x="126"/>
        <item x="127"/>
        <item x="128"/>
        <item x="129"/>
        <item x="103"/>
        <item x="89"/>
        <item t="default"/>
      </items>
    </pivotField>
    <pivotField axis="axisRow" showAll="0">
      <items count="48">
        <item x="21"/>
        <item x="5"/>
        <item x="26"/>
        <item x="8"/>
        <item x="11"/>
        <item x="42"/>
        <item x="4"/>
        <item x="1"/>
        <item x="19"/>
        <item x="40"/>
        <item x="25"/>
        <item x="2"/>
        <item x="41"/>
        <item x="36"/>
        <item x="22"/>
        <item x="18"/>
        <item x="37"/>
        <item x="46"/>
        <item x="0"/>
        <item x="6"/>
        <item x="16"/>
        <item x="20"/>
        <item x="44"/>
        <item x="24"/>
        <item x="32"/>
        <item x="12"/>
        <item x="13"/>
        <item x="14"/>
        <item x="33"/>
        <item x="15"/>
        <item x="28"/>
        <item x="17"/>
        <item x="23"/>
        <item x="30"/>
        <item x="43"/>
        <item x="10"/>
        <item x="34"/>
        <item x="7"/>
        <item x="31"/>
        <item x="27"/>
        <item x="45"/>
        <item x="38"/>
        <item x="3"/>
        <item x="29"/>
        <item x="9"/>
        <item x="39"/>
        <item x="35"/>
        <item t="default"/>
      </items>
    </pivotField>
    <pivotField showAll="0"/>
    <pivotField showAll="0"/>
    <pivotField showAll="0"/>
    <pivotField showAll="0"/>
    <pivotField showAll="0"/>
    <pivotField showAll="0"/>
    <pivotField showAll="0"/>
    <pivotField showAll="0"/>
    <pivotField showAll="0"/>
    <pivotField dataField="1" showAll="0"/>
    <pivotField dataField="1" numFmtId="176" showAll="0"/>
    <pivotField dataField="1" numFmtId="176" showAll="0"/>
    <pivotField dataField="1" showAll="0"/>
    <pivotField dataField="1" showAll="0"/>
    <pivotField dataField="1" showAll="0"/>
    <pivotField dataField="1" showAll="0"/>
    <pivotField dataField="1" showAll="0"/>
    <pivotField dataField="1" numFmtId="176" showAll="0"/>
    <pivotField showAll="0"/>
    <pivotField showAll="0"/>
    <pivotField showAll="0"/>
  </pivotFields>
  <rowFields count="4">
    <field x="0"/>
    <field x="2"/>
    <field x="3"/>
    <field x="4"/>
  </rowFields>
  <rowItems count="503">
    <i>
      <x/>
    </i>
    <i r="1">
      <x v="3"/>
    </i>
    <i r="2">
      <x v="3"/>
    </i>
    <i r="3">
      <x v="42"/>
    </i>
    <i r="2">
      <x v="7"/>
    </i>
    <i r="3">
      <x v="7"/>
    </i>
    <i r="2">
      <x v="24"/>
    </i>
    <i r="3">
      <x v="1"/>
    </i>
    <i r="2">
      <x v="50"/>
    </i>
    <i r="3">
      <x v="6"/>
    </i>
    <i r="2">
      <x v="100"/>
    </i>
    <i r="3">
      <x v="7"/>
    </i>
    <i r="3">
      <x v="18"/>
    </i>
    <i r="1">
      <x v="7"/>
    </i>
    <i r="2">
      <x v="76"/>
    </i>
    <i r="3">
      <x v="11"/>
    </i>
    <i>
      <x v="1"/>
    </i>
    <i r="1">
      <x/>
    </i>
    <i r="2">
      <x v="18"/>
    </i>
    <i r="3">
      <x v="15"/>
    </i>
    <i r="2">
      <x v="64"/>
    </i>
    <i r="3">
      <x v="7"/>
    </i>
    <i r="2">
      <x v="65"/>
    </i>
    <i r="3">
      <x v="15"/>
    </i>
    <i r="2">
      <x v="77"/>
    </i>
    <i r="3">
      <x v="18"/>
    </i>
    <i r="2">
      <x v="123"/>
    </i>
    <i r="3">
      <x v="38"/>
    </i>
    <i r="1">
      <x v="2"/>
    </i>
    <i r="2">
      <x v="125"/>
    </i>
    <i r="3">
      <x v="7"/>
    </i>
    <i r="1">
      <x v="3"/>
    </i>
    <i r="2">
      <x v="3"/>
    </i>
    <i r="3">
      <x v="42"/>
    </i>
    <i r="2">
      <x v="5"/>
    </i>
    <i r="3">
      <x v="7"/>
    </i>
    <i r="2">
      <x v="7"/>
    </i>
    <i r="3">
      <x v="7"/>
    </i>
    <i r="2">
      <x v="8"/>
    </i>
    <i r="3">
      <x v="8"/>
    </i>
    <i r="2">
      <x v="9"/>
    </i>
    <i r="3">
      <x v="7"/>
    </i>
    <i r="2">
      <x v="13"/>
    </i>
    <i r="3">
      <x v="1"/>
    </i>
    <i r="2">
      <x v="14"/>
    </i>
    <i r="3">
      <x v="7"/>
    </i>
    <i r="2">
      <x v="27"/>
    </i>
    <i r="3">
      <x v="7"/>
    </i>
    <i r="2">
      <x v="29"/>
    </i>
    <i r="3">
      <x v="7"/>
    </i>
    <i r="2">
      <x v="32"/>
    </i>
    <i r="3">
      <x v="7"/>
    </i>
    <i r="2">
      <x v="33"/>
    </i>
    <i r="3">
      <x v="7"/>
    </i>
    <i r="2">
      <x v="34"/>
    </i>
    <i r="3">
      <x v="7"/>
    </i>
    <i r="2">
      <x v="35"/>
    </i>
    <i r="3">
      <x v="1"/>
    </i>
    <i r="3">
      <x v="7"/>
    </i>
    <i r="3">
      <x v="14"/>
    </i>
    <i r="3">
      <x v="23"/>
    </i>
    <i r="3">
      <x v="32"/>
    </i>
    <i r="2">
      <x v="36"/>
    </i>
    <i r="3">
      <x/>
    </i>
    <i r="3">
      <x v="1"/>
    </i>
    <i r="3">
      <x v="7"/>
    </i>
    <i r="3">
      <x v="10"/>
    </i>
    <i r="3">
      <x v="11"/>
    </i>
    <i r="3">
      <x v="23"/>
    </i>
    <i r="2">
      <x v="38"/>
    </i>
    <i r="3">
      <x v="7"/>
    </i>
    <i r="2">
      <x v="48"/>
    </i>
    <i r="3">
      <x v="7"/>
    </i>
    <i r="2">
      <x v="49"/>
    </i>
    <i r="3">
      <x v="1"/>
    </i>
    <i r="3">
      <x v="2"/>
    </i>
    <i r="3">
      <x v="7"/>
    </i>
    <i r="3">
      <x v="46"/>
    </i>
    <i r="2">
      <x v="50"/>
    </i>
    <i r="3">
      <x v="6"/>
    </i>
    <i r="3">
      <x v="7"/>
    </i>
    <i r="2">
      <x v="51"/>
    </i>
    <i r="3">
      <x v="7"/>
    </i>
    <i r="2">
      <x v="52"/>
    </i>
    <i r="3">
      <x v="7"/>
    </i>
    <i r="2">
      <x v="55"/>
    </i>
    <i r="3">
      <x v="7"/>
    </i>
    <i r="2">
      <x v="57"/>
    </i>
    <i r="3">
      <x v="3"/>
    </i>
    <i r="2">
      <x v="60"/>
    </i>
    <i r="3">
      <x v="7"/>
    </i>
    <i r="2">
      <x v="63"/>
    </i>
    <i r="3">
      <x v="3"/>
    </i>
    <i r="2">
      <x v="68"/>
    </i>
    <i r="3">
      <x v="3"/>
    </i>
    <i r="2">
      <x v="70"/>
    </i>
    <i r="3">
      <x v="7"/>
    </i>
    <i r="2">
      <x v="74"/>
    </i>
    <i r="3">
      <x v="7"/>
    </i>
    <i r="2">
      <x v="78"/>
    </i>
    <i r="3">
      <x v="7"/>
    </i>
    <i r="2">
      <x v="79"/>
    </i>
    <i r="3">
      <x v="7"/>
    </i>
    <i r="2">
      <x v="84"/>
    </i>
    <i r="3">
      <x v="7"/>
    </i>
    <i r="2">
      <x v="87"/>
    </i>
    <i r="3">
      <x v="7"/>
    </i>
    <i r="2">
      <x v="88"/>
    </i>
    <i r="3">
      <x v="7"/>
    </i>
    <i r="2">
      <x v="89"/>
    </i>
    <i r="3">
      <x v="7"/>
    </i>
    <i r="2">
      <x v="91"/>
    </i>
    <i r="3">
      <x v="7"/>
    </i>
    <i r="2">
      <x v="94"/>
    </i>
    <i r="3">
      <x v="3"/>
    </i>
    <i r="2">
      <x v="95"/>
    </i>
    <i r="3">
      <x v="33"/>
    </i>
    <i r="2">
      <x v="96"/>
    </i>
    <i r="3">
      <x v="7"/>
    </i>
    <i r="2">
      <x v="100"/>
    </i>
    <i r="3">
      <x v="4"/>
    </i>
    <i r="3">
      <x v="7"/>
    </i>
    <i r="3">
      <x v="18"/>
    </i>
    <i r="3">
      <x v="35"/>
    </i>
    <i r="2">
      <x v="103"/>
    </i>
    <i r="3">
      <x v="7"/>
    </i>
    <i r="2">
      <x v="104"/>
    </i>
    <i r="3">
      <x v="6"/>
    </i>
    <i r="2">
      <x v="105"/>
    </i>
    <i r="3">
      <x v="7"/>
    </i>
    <i r="2">
      <x v="118"/>
    </i>
    <i r="3">
      <x v="7"/>
    </i>
    <i r="2">
      <x v="121"/>
    </i>
    <i r="3">
      <x v="6"/>
    </i>
    <i r="1">
      <x v="4"/>
    </i>
    <i r="2">
      <x v="28"/>
    </i>
    <i r="3">
      <x v="21"/>
    </i>
    <i r="2">
      <x v="62"/>
    </i>
    <i r="3">
      <x v="21"/>
    </i>
    <i r="1">
      <x v="5"/>
    </i>
    <i r="2">
      <x v="30"/>
    </i>
    <i r="3">
      <x v="13"/>
    </i>
    <i r="1">
      <x v="7"/>
    </i>
    <i r="2">
      <x v="5"/>
    </i>
    <i r="3">
      <x v="11"/>
    </i>
    <i r="2">
      <x v="24"/>
    </i>
    <i r="3">
      <x v="11"/>
    </i>
    <i r="2">
      <x v="49"/>
    </i>
    <i r="3">
      <x v="11"/>
    </i>
    <i r="2">
      <x v="76"/>
    </i>
    <i r="3">
      <x v="11"/>
    </i>
    <i r="1">
      <x v="8"/>
    </i>
    <i r="2">
      <x/>
    </i>
    <i r="3">
      <x v="7"/>
    </i>
    <i r="2">
      <x v="2"/>
    </i>
    <i r="3">
      <x v="7"/>
    </i>
    <i r="2">
      <x v="4"/>
    </i>
    <i r="3">
      <x v="2"/>
    </i>
    <i r="2">
      <x v="5"/>
    </i>
    <i r="3">
      <x v="1"/>
    </i>
    <i r="2">
      <x v="7"/>
    </i>
    <i r="3">
      <x v="2"/>
    </i>
    <i r="2">
      <x v="9"/>
    </i>
    <i r="3">
      <x v="7"/>
    </i>
    <i r="2">
      <x v="13"/>
    </i>
    <i r="3">
      <x v="1"/>
    </i>
    <i r="2">
      <x v="20"/>
    </i>
    <i r="3">
      <x v="7"/>
    </i>
    <i r="2">
      <x v="22"/>
    </i>
    <i r="3">
      <x v="7"/>
    </i>
    <i r="2">
      <x v="24"/>
    </i>
    <i r="3">
      <x v="1"/>
    </i>
    <i r="2">
      <x v="34"/>
    </i>
    <i r="3">
      <x v="7"/>
    </i>
    <i r="3">
      <x v="30"/>
    </i>
    <i r="3">
      <x v="43"/>
    </i>
    <i r="2">
      <x v="41"/>
    </i>
    <i r="3">
      <x v="7"/>
    </i>
    <i r="2">
      <x v="49"/>
    </i>
    <i r="3">
      <x v="18"/>
    </i>
    <i r="3">
      <x v="20"/>
    </i>
    <i r="3">
      <x v="30"/>
    </i>
    <i r="2">
      <x v="90"/>
    </i>
    <i r="3">
      <x/>
    </i>
    <i r="2">
      <x v="92"/>
    </i>
    <i r="3">
      <x v="2"/>
    </i>
    <i r="2">
      <x v="115"/>
    </i>
    <i r="3">
      <x v="31"/>
    </i>
    <i r="1">
      <x v="10"/>
    </i>
    <i r="2">
      <x v="1"/>
    </i>
    <i r="3">
      <x v="3"/>
    </i>
    <i r="3">
      <x v="7"/>
    </i>
    <i r="2">
      <x v="57"/>
    </i>
    <i r="3">
      <x v="3"/>
    </i>
    <i r="2">
      <x v="87"/>
    </i>
    <i r="3">
      <x v="3"/>
    </i>
    <i r="1">
      <x v="11"/>
    </i>
    <i r="2">
      <x v="17"/>
    </i>
    <i r="3">
      <x v="16"/>
    </i>
    <i r="1">
      <x v="18"/>
    </i>
    <i r="2">
      <x v="81"/>
    </i>
    <i r="3">
      <x v="23"/>
    </i>
    <i r="2">
      <x v="120"/>
    </i>
    <i r="3">
      <x v="7"/>
    </i>
    <i r="1">
      <x v="22"/>
    </i>
    <i r="2">
      <x v="53"/>
    </i>
    <i r="3">
      <x v="7"/>
    </i>
    <i r="1">
      <x v="24"/>
    </i>
    <i r="2">
      <x v="124"/>
    </i>
    <i r="3">
      <x v="7"/>
    </i>
    <i r="1">
      <x v="25"/>
    </i>
    <i r="2">
      <x v="21"/>
    </i>
    <i r="3">
      <x v="7"/>
    </i>
    <i r="1">
      <x v="26"/>
    </i>
    <i r="2">
      <x v="117"/>
    </i>
    <i r="3">
      <x v="37"/>
    </i>
    <i r="1">
      <x v="27"/>
    </i>
    <i r="2">
      <x v="73"/>
    </i>
    <i r="3">
      <x v="7"/>
    </i>
    <i r="2">
      <x v="85"/>
    </i>
    <i r="3">
      <x v="7"/>
    </i>
    <i r="3">
      <x v="41"/>
    </i>
    <i r="1">
      <x v="28"/>
    </i>
    <i r="2">
      <x v="66"/>
    </i>
    <i r="3">
      <x v="39"/>
    </i>
    <i r="1">
      <x v="30"/>
    </i>
    <i r="2">
      <x v="83"/>
    </i>
    <i r="3">
      <x v="7"/>
    </i>
    <i r="1">
      <x v="31"/>
    </i>
    <i r="2">
      <x v="119"/>
    </i>
    <i r="3">
      <x v="44"/>
    </i>
    <i>
      <x v="2"/>
    </i>
    <i r="1">
      <x/>
    </i>
    <i r="2">
      <x v="18"/>
    </i>
    <i r="3">
      <x v="15"/>
    </i>
    <i r="1">
      <x v="3"/>
    </i>
    <i r="2">
      <x v="3"/>
    </i>
    <i r="3">
      <x v="42"/>
    </i>
    <i r="2">
      <x v="5"/>
    </i>
    <i r="3">
      <x v="7"/>
    </i>
    <i r="3">
      <x v="42"/>
    </i>
    <i r="2">
      <x v="7"/>
    </i>
    <i r="3">
      <x v="7"/>
    </i>
    <i r="2">
      <x v="27"/>
    </i>
    <i r="3">
      <x v="7"/>
    </i>
    <i r="2">
      <x v="32"/>
    </i>
    <i r="3">
      <x v="7"/>
    </i>
    <i r="2">
      <x v="33"/>
    </i>
    <i r="3">
      <x v="7"/>
    </i>
    <i r="2">
      <x v="35"/>
    </i>
    <i r="3">
      <x v="7"/>
    </i>
    <i r="3">
      <x v="42"/>
    </i>
    <i r="2">
      <x v="36"/>
    </i>
    <i r="3">
      <x v="7"/>
    </i>
    <i r="2">
      <x v="38"/>
    </i>
    <i r="3">
      <x v="7"/>
    </i>
    <i r="2">
      <x v="47"/>
    </i>
    <i r="3">
      <x v="18"/>
    </i>
    <i r="3">
      <x v="23"/>
    </i>
    <i r="2">
      <x v="50"/>
    </i>
    <i r="3">
      <x v="7"/>
    </i>
    <i r="2">
      <x v="52"/>
    </i>
    <i r="3">
      <x v="7"/>
    </i>
    <i r="2">
      <x v="96"/>
    </i>
    <i r="3">
      <x v="7"/>
    </i>
    <i r="2">
      <x v="99"/>
    </i>
    <i r="3">
      <x v="23"/>
    </i>
    <i r="2">
      <x v="100"/>
    </i>
    <i r="3">
      <x v="7"/>
    </i>
    <i r="2">
      <x v="101"/>
    </i>
    <i r="3">
      <x v="7"/>
    </i>
    <i r="2">
      <x v="106"/>
    </i>
    <i r="3">
      <x v="7"/>
    </i>
    <i r="2">
      <x v="107"/>
    </i>
    <i r="3">
      <x v="7"/>
    </i>
    <i r="2">
      <x v="131"/>
    </i>
    <i r="3">
      <x v="7"/>
    </i>
    <i r="3">
      <x v="45"/>
    </i>
    <i r="1">
      <x v="7"/>
    </i>
    <i r="2">
      <x v="36"/>
    </i>
    <i r="3">
      <x v="11"/>
    </i>
    <i r="2">
      <x v="76"/>
    </i>
    <i r="3">
      <x v="11"/>
    </i>
    <i r="1">
      <x v="8"/>
    </i>
    <i r="2">
      <x v="4"/>
    </i>
    <i r="3">
      <x v="2"/>
    </i>
    <i r="2">
      <x v="24"/>
    </i>
    <i r="3">
      <x v="1"/>
    </i>
    <i r="2">
      <x v="34"/>
    </i>
    <i r="3">
      <x v="7"/>
    </i>
    <i r="2">
      <x v="80"/>
    </i>
    <i r="3">
      <x v="21"/>
    </i>
    <i r="1">
      <x v="10"/>
    </i>
    <i r="2">
      <x v="1"/>
    </i>
    <i r="3">
      <x v="7"/>
    </i>
    <i r="2">
      <x v="87"/>
    </i>
    <i r="3">
      <x v="3"/>
    </i>
    <i r="1">
      <x v="11"/>
    </i>
    <i r="2">
      <x v="17"/>
    </i>
    <i r="3">
      <x v="16"/>
    </i>
    <i r="1">
      <x v="16"/>
    </i>
    <i r="2">
      <x v="116"/>
    </i>
    <i r="3">
      <x v="7"/>
    </i>
    <i r="1">
      <x v="24"/>
    </i>
    <i r="2">
      <x v="59"/>
    </i>
    <i r="3">
      <x v="34"/>
    </i>
    <i r="1">
      <x v="29"/>
    </i>
    <i r="2">
      <x v="86"/>
    </i>
    <i r="3">
      <x v="7"/>
    </i>
    <i>
      <x v="3"/>
    </i>
    <i r="1">
      <x/>
    </i>
    <i r="2">
      <x v="18"/>
    </i>
    <i r="3">
      <x v="15"/>
    </i>
    <i r="1">
      <x v="3"/>
    </i>
    <i r="2">
      <x v="5"/>
    </i>
    <i r="3">
      <x v="7"/>
    </i>
    <i r="2">
      <x v="7"/>
    </i>
    <i r="3">
      <x v="7"/>
    </i>
    <i r="2">
      <x v="24"/>
    </i>
    <i r="3">
      <x v="1"/>
    </i>
    <i r="3">
      <x v="2"/>
    </i>
    <i r="2">
      <x v="33"/>
    </i>
    <i r="3">
      <x v="7"/>
    </i>
    <i r="2">
      <x v="36"/>
    </i>
    <i r="3">
      <x v="7"/>
    </i>
    <i r="2">
      <x v="38"/>
    </i>
    <i r="3">
      <x v="7"/>
    </i>
    <i r="3">
      <x v="42"/>
    </i>
    <i r="2">
      <x v="50"/>
    </i>
    <i r="3">
      <x v="6"/>
    </i>
    <i r="2">
      <x v="100"/>
    </i>
    <i r="3">
      <x v="4"/>
    </i>
    <i r="3">
      <x v="7"/>
    </i>
    <i r="3">
      <x v="18"/>
    </i>
    <i r="3">
      <x v="22"/>
    </i>
    <i r="1">
      <x v="4"/>
    </i>
    <i r="2">
      <x v="62"/>
    </i>
    <i r="3">
      <x v="21"/>
    </i>
    <i r="1">
      <x v="7"/>
    </i>
    <i r="2">
      <x v="5"/>
    </i>
    <i r="3">
      <x v="11"/>
    </i>
    <i r="1">
      <x v="8"/>
    </i>
    <i r="2">
      <x v="24"/>
    </i>
    <i r="3">
      <x v="1"/>
    </i>
    <i r="1">
      <x v="11"/>
    </i>
    <i r="2">
      <x v="17"/>
    </i>
    <i r="3">
      <x v="16"/>
    </i>
    <i>
      <x v="4"/>
    </i>
    <i r="1">
      <x v="2"/>
    </i>
    <i r="2">
      <x v="36"/>
    </i>
    <i r="3">
      <x v="17"/>
    </i>
    <i r="1">
      <x v="3"/>
    </i>
    <i r="2">
      <x v="3"/>
    </i>
    <i r="3">
      <x v="42"/>
    </i>
    <i r="2">
      <x v="5"/>
    </i>
    <i r="3">
      <x v="7"/>
    </i>
    <i r="2">
      <x v="7"/>
    </i>
    <i r="3">
      <x v="7"/>
    </i>
    <i r="2">
      <x v="8"/>
    </i>
    <i r="3">
      <x v="8"/>
    </i>
    <i r="2">
      <x v="9"/>
    </i>
    <i r="3">
      <x v="7"/>
    </i>
    <i r="2">
      <x v="14"/>
    </i>
    <i r="3">
      <x v="18"/>
    </i>
    <i r="3">
      <x v="42"/>
    </i>
    <i r="2">
      <x v="25"/>
    </i>
    <i r="3">
      <x v="7"/>
    </i>
    <i r="2">
      <x v="27"/>
    </i>
    <i r="3">
      <x v="7"/>
    </i>
    <i r="2">
      <x v="32"/>
    </i>
    <i r="3">
      <x v="7"/>
    </i>
    <i r="2">
      <x v="35"/>
    </i>
    <i r="3">
      <x v="7"/>
    </i>
    <i r="2">
      <x v="36"/>
    </i>
    <i r="3">
      <x v="7"/>
    </i>
    <i r="2">
      <x v="38"/>
    </i>
    <i r="3">
      <x v="6"/>
    </i>
    <i r="2">
      <x v="41"/>
    </i>
    <i r="3">
      <x v="35"/>
    </i>
    <i r="2">
      <x v="42"/>
    </i>
    <i r="3">
      <x v="7"/>
    </i>
    <i r="3">
      <x v="42"/>
    </i>
    <i r="2">
      <x v="50"/>
    </i>
    <i r="3">
      <x v="6"/>
    </i>
    <i r="3">
      <x v="7"/>
    </i>
    <i r="2">
      <x v="52"/>
    </i>
    <i r="3">
      <x v="7"/>
    </i>
    <i r="2">
      <x v="57"/>
    </i>
    <i r="3">
      <x v="7"/>
    </i>
    <i r="2">
      <x v="58"/>
    </i>
    <i r="3">
      <x v="7"/>
    </i>
    <i r="2">
      <x v="67"/>
    </i>
    <i r="3">
      <x v="7"/>
    </i>
    <i r="2">
      <x v="68"/>
    </i>
    <i r="3">
      <x v="3"/>
    </i>
    <i r="2">
      <x v="69"/>
    </i>
    <i r="3">
      <x v="3"/>
    </i>
    <i r="2">
      <x v="70"/>
    </i>
    <i r="3">
      <x v="7"/>
    </i>
    <i r="2">
      <x v="71"/>
    </i>
    <i r="3">
      <x v="7"/>
    </i>
    <i r="2">
      <x v="72"/>
    </i>
    <i r="3">
      <x v="7"/>
    </i>
    <i r="2">
      <x v="74"/>
    </i>
    <i r="3">
      <x v="3"/>
    </i>
    <i r="2">
      <x v="75"/>
    </i>
    <i r="3">
      <x v="7"/>
    </i>
    <i r="2">
      <x v="82"/>
    </i>
    <i r="3">
      <x v="7"/>
    </i>
    <i r="2">
      <x v="84"/>
    </i>
    <i r="3">
      <x v="7"/>
    </i>
    <i r="2">
      <x v="87"/>
    </i>
    <i r="3">
      <x v="7"/>
    </i>
    <i r="2">
      <x v="94"/>
    </i>
    <i r="3">
      <x v="7"/>
    </i>
    <i r="2">
      <x v="97"/>
    </i>
    <i r="3">
      <x v="7"/>
    </i>
    <i r="2">
      <x v="98"/>
    </i>
    <i r="3">
      <x v="7"/>
    </i>
    <i r="2">
      <x v="99"/>
    </i>
    <i r="3">
      <x v="3"/>
    </i>
    <i r="2">
      <x v="102"/>
    </i>
    <i r="3">
      <x v="40"/>
    </i>
    <i r="2">
      <x v="109"/>
    </i>
    <i r="3">
      <x v="7"/>
    </i>
    <i r="2">
      <x v="110"/>
    </i>
    <i r="3">
      <x v="7"/>
    </i>
    <i r="2">
      <x v="111"/>
    </i>
    <i r="3">
      <x v="7"/>
    </i>
    <i r="2">
      <x v="112"/>
    </i>
    <i r="3">
      <x v="7"/>
    </i>
    <i r="2">
      <x v="113"/>
    </i>
    <i r="3">
      <x v="7"/>
    </i>
    <i r="2">
      <x v="114"/>
    </i>
    <i r="3">
      <x v="7"/>
    </i>
    <i r="2">
      <x v="126"/>
    </i>
    <i r="3">
      <x v="7"/>
    </i>
    <i r="2">
      <x v="127"/>
    </i>
    <i r="3">
      <x v="7"/>
    </i>
    <i r="2">
      <x v="128"/>
    </i>
    <i r="3">
      <x v="7"/>
    </i>
    <i r="2">
      <x v="130"/>
    </i>
    <i r="3">
      <x v="8"/>
    </i>
    <i r="1">
      <x v="6"/>
    </i>
    <i r="2">
      <x v="12"/>
    </i>
    <i r="3">
      <x v="7"/>
    </i>
    <i r="2">
      <x v="23"/>
    </i>
    <i r="3">
      <x v="7"/>
    </i>
    <i r="2">
      <x v="39"/>
    </i>
    <i r="3">
      <x v="7"/>
    </i>
    <i r="1">
      <x v="8"/>
    </i>
    <i r="2">
      <x v="14"/>
    </i>
    <i r="3">
      <x v="7"/>
    </i>
    <i r="3">
      <x v="30"/>
    </i>
    <i r="2">
      <x v="24"/>
    </i>
    <i r="3">
      <x v="1"/>
    </i>
    <i r="2">
      <x v="29"/>
    </i>
    <i r="3">
      <x v="7"/>
    </i>
    <i r="2">
      <x v="34"/>
    </i>
    <i r="3">
      <x v="7"/>
    </i>
    <i r="2">
      <x v="54"/>
    </i>
    <i r="3">
      <x v="2"/>
    </i>
    <i r="2">
      <x v="129"/>
    </i>
    <i r="3">
      <x v="7"/>
    </i>
    <i r="1">
      <x v="18"/>
    </i>
    <i r="2">
      <x v="56"/>
    </i>
    <i r="3">
      <x v="23"/>
    </i>
    <i r="2">
      <x v="81"/>
    </i>
    <i r="3">
      <x v="23"/>
    </i>
    <i r="1">
      <x v="25"/>
    </i>
    <i r="2">
      <x v="21"/>
    </i>
    <i r="3">
      <x v="7"/>
    </i>
    <i r="1">
      <x v="27"/>
    </i>
    <i r="2">
      <x v="39"/>
    </i>
    <i r="3">
      <x v="7"/>
    </i>
    <i>
      <x v="5"/>
    </i>
    <i r="1">
      <x v="3"/>
    </i>
    <i r="2">
      <x v="7"/>
    </i>
    <i r="3">
      <x v="7"/>
    </i>
    <i r="2">
      <x v="52"/>
    </i>
    <i r="3">
      <x v="7"/>
    </i>
    <i>
      <x v="6"/>
    </i>
    <i r="1">
      <x v="3"/>
    </i>
    <i r="2">
      <x v="7"/>
    </i>
    <i r="3">
      <x v="7"/>
    </i>
    <i r="2">
      <x v="26"/>
    </i>
    <i r="3">
      <x/>
    </i>
    <i r="2">
      <x v="36"/>
    </i>
    <i r="3">
      <x v="1"/>
    </i>
    <i r="3">
      <x v="11"/>
    </i>
    <i r="2">
      <x v="38"/>
    </i>
    <i r="3">
      <x v="7"/>
    </i>
    <i r="1">
      <x v="8"/>
    </i>
    <i r="2">
      <x v="24"/>
    </i>
    <i r="3">
      <x v="1"/>
    </i>
    <i r="1">
      <x v="14"/>
    </i>
    <i r="2">
      <x v="37"/>
    </i>
    <i r="3">
      <x v="1"/>
    </i>
    <i>
      <x v="7"/>
    </i>
    <i r="1">
      <x v="8"/>
    </i>
    <i r="2">
      <x v="24"/>
    </i>
    <i r="3">
      <x v="1"/>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176"/>
    <dataField name="합계 : Sep 2025(KRW)" fld="16" baseField="0" baseItem="0" numFmtId="176"/>
    <dataField name="합계 : Oct 2025(KRW)" fld="17" baseField="0" baseItem="0"/>
    <dataField name="합계 :  Nov 2025(KRW) " fld="18" baseField="0" baseItem="0"/>
    <dataField name="합계 : Dec 2025(KRW) " fld="19" baseField="0" baseItem="0"/>
    <dataField name="합계 : Jan 2026(KRW)" fld="20" baseField="0" baseItem="0"/>
    <dataField name="개수 : Feb 2026(KRW)" fld="21" subtotal="count" baseField="0" baseItem="0"/>
    <dataField name="합계 : Mar 2026(KRW)" fld="22" baseField="0" baseItem="0" numFmtId="176"/>
  </dataFields>
  <formats count="109">
    <format dxfId="205">
      <pivotArea type="all" dataOnly="0" outline="0" fieldPosition="0"/>
    </format>
    <format dxfId="204">
      <pivotArea outline="0" collapsedLevelsAreSubtotals="1" fieldPosition="0"/>
    </format>
    <format dxfId="203">
      <pivotArea field="2" type="button" dataOnly="0" labelOnly="1" outline="0" axis="axisRow" fieldPosition="1"/>
    </format>
    <format dxfId="202">
      <pivotArea dataOnly="0" labelOnly="1" grandRow="1" outline="0" fieldPosition="0"/>
    </format>
    <format dxfId="201">
      <pivotArea dataOnly="0" labelOnly="1" fieldPosition="0">
        <references count="1">
          <reference field="0" count="2">
            <x v="1"/>
            <x v="2"/>
          </reference>
        </references>
      </pivotArea>
    </format>
    <format dxfId="200">
      <pivotArea dataOnly="0" labelOnly="1" fieldPosition="0">
        <references count="2">
          <reference field="0" count="1" selected="0">
            <x v="0"/>
          </reference>
          <reference field="2" count="1">
            <x v="7"/>
          </reference>
        </references>
      </pivotArea>
    </format>
    <format dxfId="199">
      <pivotArea dataOnly="0" labelOnly="1" fieldPosition="0">
        <references count="2">
          <reference field="0" count="1" selected="0">
            <x v="1"/>
          </reference>
          <reference field="2" count="18">
            <x v="0"/>
            <x v="2"/>
            <x v="3"/>
            <x v="4"/>
            <x v="5"/>
            <x v="7"/>
            <x v="8"/>
            <x v="10"/>
            <x v="11"/>
            <x v="18"/>
            <x v="22"/>
            <x v="24"/>
            <x v="25"/>
            <x v="26"/>
            <x v="27"/>
            <x v="28"/>
            <x v="30"/>
            <x v="31"/>
          </reference>
        </references>
      </pivotArea>
    </format>
    <format dxfId="198">
      <pivotArea dataOnly="0" labelOnly="1" fieldPosition="0">
        <references count="3">
          <reference field="0" count="1" selected="0">
            <x v="0"/>
          </reference>
          <reference field="2" count="1" selected="0">
            <x v="3"/>
          </reference>
          <reference field="3" count="4">
            <x v="7"/>
            <x v="24"/>
            <x v="50"/>
            <x v="100"/>
          </reference>
        </references>
      </pivotArea>
    </format>
    <format dxfId="197">
      <pivotArea dataOnly="0" labelOnly="1" fieldPosition="0">
        <references count="3">
          <reference field="0" count="1" selected="0">
            <x v="0"/>
          </reference>
          <reference field="2" count="1" selected="0">
            <x v="7"/>
          </reference>
          <reference field="3" count="1">
            <x v="76"/>
          </reference>
        </references>
      </pivotArea>
    </format>
    <format dxfId="196">
      <pivotArea dataOnly="0" labelOnly="1" fieldPosition="0">
        <references count="3">
          <reference field="0" count="1" selected="0">
            <x v="1"/>
          </reference>
          <reference field="2" count="1" selected="0">
            <x v="0"/>
          </reference>
          <reference field="3" count="4">
            <x v="18"/>
            <x v="64"/>
            <x v="65"/>
            <x v="77"/>
          </reference>
        </references>
      </pivotArea>
    </format>
    <format dxfId="195">
      <pivotArea dataOnly="0" labelOnly="1" fieldPosition="0">
        <references count="3">
          <reference field="0" count="1" selected="0">
            <x v="1"/>
          </reference>
          <reference field="2" count="1" selected="0">
            <x v="3"/>
          </reference>
          <reference field="3" count="41">
            <x v="3"/>
            <x v="5"/>
            <x v="7"/>
            <x v="8"/>
            <x v="9"/>
            <x v="13"/>
            <x v="14"/>
            <x v="27"/>
            <x v="29"/>
            <x v="32"/>
            <x v="33"/>
            <x v="34"/>
            <x v="35"/>
            <x v="36"/>
            <x v="38"/>
            <x v="48"/>
            <x v="49"/>
            <x v="50"/>
            <x v="51"/>
            <x v="52"/>
            <x v="55"/>
            <x v="57"/>
            <x v="60"/>
            <x v="63"/>
            <x v="68"/>
            <x v="70"/>
            <x v="78"/>
            <x v="79"/>
            <x v="84"/>
            <x v="87"/>
            <x v="88"/>
            <x v="89"/>
            <x v="91"/>
            <x v="93"/>
            <x v="94"/>
            <x v="95"/>
            <x v="96"/>
            <x v="100"/>
            <x v="103"/>
            <x v="104"/>
            <x v="105"/>
          </reference>
        </references>
      </pivotArea>
    </format>
    <format dxfId="194">
      <pivotArea dataOnly="0" labelOnly="1" fieldPosition="0">
        <references count="3">
          <reference field="0" count="1" selected="0">
            <x v="1"/>
          </reference>
          <reference field="2" count="1" selected="0">
            <x v="4"/>
          </reference>
          <reference field="3" count="2">
            <x v="28"/>
            <x v="62"/>
          </reference>
        </references>
      </pivotArea>
    </format>
    <format dxfId="193">
      <pivotArea dataOnly="0" labelOnly="1" fieldPosition="0">
        <references count="3">
          <reference field="0" count="1" selected="0">
            <x v="1"/>
          </reference>
          <reference field="2" count="1" selected="0">
            <x v="5"/>
          </reference>
          <reference field="3" count="1">
            <x v="30"/>
          </reference>
        </references>
      </pivotArea>
    </format>
    <format dxfId="192">
      <pivotArea dataOnly="0" labelOnly="1" fieldPosition="0">
        <references count="3">
          <reference field="0" count="1" selected="0">
            <x v="1"/>
          </reference>
          <reference field="2" count="1" selected="0">
            <x v="7"/>
          </reference>
          <reference field="3" count="4">
            <x v="5"/>
            <x v="24"/>
            <x v="49"/>
            <x v="76"/>
          </reference>
        </references>
      </pivotArea>
    </format>
    <format dxfId="191">
      <pivotArea dataOnly="0" labelOnly="1" fieldPosition="0">
        <references count="3">
          <reference field="0" count="1" selected="0">
            <x v="1"/>
          </reference>
          <reference field="2" count="1" selected="0">
            <x v="8"/>
          </reference>
          <reference field="3" count="16">
            <x v="0"/>
            <x v="2"/>
            <x v="4"/>
            <x v="5"/>
            <x v="7"/>
            <x v="9"/>
            <x v="13"/>
            <x v="20"/>
            <x v="22"/>
            <x v="24"/>
            <x v="34"/>
            <x v="41"/>
            <x v="49"/>
            <x v="90"/>
            <x v="92"/>
            <x v="115"/>
          </reference>
        </references>
      </pivotArea>
    </format>
    <format dxfId="190">
      <pivotArea dataOnly="0" labelOnly="1" fieldPosition="0">
        <references count="3">
          <reference field="0" count="1" selected="0">
            <x v="1"/>
          </reference>
          <reference field="2" count="1" selected="0">
            <x v="10"/>
          </reference>
          <reference field="3" count="3">
            <x v="1"/>
            <x v="57"/>
            <x v="87"/>
          </reference>
        </references>
      </pivotArea>
    </format>
    <format dxfId="189">
      <pivotArea dataOnly="0" labelOnly="1" fieldPosition="0">
        <references count="3">
          <reference field="0" count="1" selected="0">
            <x v="1"/>
          </reference>
          <reference field="2" count="1" selected="0">
            <x v="11"/>
          </reference>
          <reference field="3" count="1">
            <x v="17"/>
          </reference>
        </references>
      </pivotArea>
    </format>
    <format dxfId="188">
      <pivotArea dataOnly="0" labelOnly="1" fieldPosition="0">
        <references count="3">
          <reference field="0" count="1" selected="0">
            <x v="1"/>
          </reference>
          <reference field="2" count="1" selected="0">
            <x v="18"/>
          </reference>
          <reference field="3" count="1">
            <x v="39"/>
          </reference>
        </references>
      </pivotArea>
    </format>
    <format dxfId="187">
      <pivotArea dataOnly="0" labelOnly="1" fieldPosition="0">
        <references count="3">
          <reference field="0" count="1" selected="0">
            <x v="1"/>
          </reference>
          <reference field="2" count="1" selected="0">
            <x v="22"/>
          </reference>
          <reference field="3" count="1">
            <x v="53"/>
          </reference>
        </references>
      </pivotArea>
    </format>
    <format dxfId="186">
      <pivotArea dataOnly="0" labelOnly="1" fieldPosition="0">
        <references count="3">
          <reference field="0" count="1" selected="0">
            <x v="1"/>
          </reference>
          <reference field="2" count="1" selected="0">
            <x v="24"/>
          </reference>
          <reference field="3" count="1">
            <x v="39"/>
          </reference>
        </references>
      </pivotArea>
    </format>
    <format dxfId="185">
      <pivotArea dataOnly="0" labelOnly="1" fieldPosition="0">
        <references count="3">
          <reference field="0" count="1" selected="0">
            <x v="1"/>
          </reference>
          <reference field="2" count="1" selected="0">
            <x v="25"/>
          </reference>
          <reference field="3" count="1">
            <x v="21"/>
          </reference>
        </references>
      </pivotArea>
    </format>
    <format dxfId="184">
      <pivotArea dataOnly="0" labelOnly="1" fieldPosition="0">
        <references count="3">
          <reference field="0" count="1" selected="0">
            <x v="1"/>
          </reference>
          <reference field="2" count="1" selected="0">
            <x v="27"/>
          </reference>
          <reference field="3" count="2">
            <x v="73"/>
            <x v="85"/>
          </reference>
        </references>
      </pivotArea>
    </format>
    <format dxfId="183">
      <pivotArea dataOnly="0" labelOnly="1" fieldPosition="0">
        <references count="3">
          <reference field="0" count="1" selected="0">
            <x v="1"/>
          </reference>
          <reference field="2" count="1" selected="0">
            <x v="28"/>
          </reference>
          <reference field="3" count="1">
            <x v="66"/>
          </reference>
        </references>
      </pivotArea>
    </format>
    <format dxfId="182">
      <pivotArea dataOnly="0" labelOnly="1" fieldPosition="0">
        <references count="3">
          <reference field="0" count="1" selected="0">
            <x v="1"/>
          </reference>
          <reference field="2" count="1" selected="0">
            <x v="30"/>
          </reference>
          <reference field="3" count="1">
            <x v="83"/>
          </reference>
        </references>
      </pivotArea>
    </format>
    <format dxfId="181">
      <pivotArea dataOnly="0" labelOnly="1" fieldPosition="0">
        <references count="4">
          <reference field="0" count="1" selected="0">
            <x v="0"/>
          </reference>
          <reference field="2" count="1" selected="0">
            <x v="3"/>
          </reference>
          <reference field="3" count="1" selected="0">
            <x v="3"/>
          </reference>
          <reference field="4" count="1">
            <x v="42"/>
          </reference>
        </references>
      </pivotArea>
    </format>
    <format dxfId="180">
      <pivotArea dataOnly="0" labelOnly="1" fieldPosition="0">
        <references count="4">
          <reference field="0" count="1" selected="0">
            <x v="0"/>
          </reference>
          <reference field="2" count="1" selected="0">
            <x v="3"/>
          </reference>
          <reference field="3" count="1" selected="0">
            <x v="7"/>
          </reference>
          <reference field="4" count="1">
            <x v="7"/>
          </reference>
        </references>
      </pivotArea>
    </format>
    <format dxfId="179">
      <pivotArea dataOnly="0" labelOnly="1" fieldPosition="0">
        <references count="4">
          <reference field="0" count="1" selected="0">
            <x v="0"/>
          </reference>
          <reference field="2" count="1" selected="0">
            <x v="3"/>
          </reference>
          <reference field="3" count="1" selected="0">
            <x v="24"/>
          </reference>
          <reference field="4" count="1">
            <x v="1"/>
          </reference>
        </references>
      </pivotArea>
    </format>
    <format dxfId="178">
      <pivotArea dataOnly="0" labelOnly="1" fieldPosition="0">
        <references count="4">
          <reference field="0" count="1" selected="0">
            <x v="0"/>
          </reference>
          <reference field="2" count="1" selected="0">
            <x v="3"/>
          </reference>
          <reference field="3" count="1" selected="0">
            <x v="50"/>
          </reference>
          <reference field="4" count="1">
            <x v="6"/>
          </reference>
        </references>
      </pivotArea>
    </format>
    <format dxfId="177">
      <pivotArea dataOnly="0" labelOnly="1" fieldPosition="0">
        <references count="4">
          <reference field="0" count="1" selected="0">
            <x v="0"/>
          </reference>
          <reference field="2" count="1" selected="0">
            <x v="3"/>
          </reference>
          <reference field="3" count="1" selected="0">
            <x v="100"/>
          </reference>
          <reference field="4" count="2">
            <x v="7"/>
            <x v="18"/>
          </reference>
        </references>
      </pivotArea>
    </format>
    <format dxfId="176">
      <pivotArea dataOnly="0" labelOnly="1" fieldPosition="0">
        <references count="4">
          <reference field="0" count="1" selected="0">
            <x v="0"/>
          </reference>
          <reference field="2" count="1" selected="0">
            <x v="7"/>
          </reference>
          <reference field="3" count="1" selected="0">
            <x v="76"/>
          </reference>
          <reference field="4" count="1">
            <x v="11"/>
          </reference>
        </references>
      </pivotArea>
    </format>
    <format dxfId="175">
      <pivotArea dataOnly="0" labelOnly="1" fieldPosition="0">
        <references count="4">
          <reference field="0" count="1" selected="0">
            <x v="1"/>
          </reference>
          <reference field="2" count="1" selected="0">
            <x v="0"/>
          </reference>
          <reference field="3" count="1" selected="0">
            <x v="18"/>
          </reference>
          <reference field="4" count="1">
            <x v="15"/>
          </reference>
        </references>
      </pivotArea>
    </format>
    <format dxfId="174">
      <pivotArea dataOnly="0" labelOnly="1" fieldPosition="0">
        <references count="4">
          <reference field="0" count="1" selected="0">
            <x v="1"/>
          </reference>
          <reference field="2" count="1" selected="0">
            <x v="0"/>
          </reference>
          <reference field="3" count="1" selected="0">
            <x v="64"/>
          </reference>
          <reference field="4" count="1">
            <x v="7"/>
          </reference>
        </references>
      </pivotArea>
    </format>
    <format dxfId="173">
      <pivotArea dataOnly="0" labelOnly="1" fieldPosition="0">
        <references count="4">
          <reference field="0" count="1" selected="0">
            <x v="1"/>
          </reference>
          <reference field="2" count="1" selected="0">
            <x v="0"/>
          </reference>
          <reference field="3" count="1" selected="0">
            <x v="65"/>
          </reference>
          <reference field="4" count="1">
            <x v="15"/>
          </reference>
        </references>
      </pivotArea>
    </format>
    <format dxfId="172">
      <pivotArea dataOnly="0" labelOnly="1" fieldPosition="0">
        <references count="4">
          <reference field="0" count="1" selected="0">
            <x v="1"/>
          </reference>
          <reference field="2" count="1" selected="0">
            <x v="0"/>
          </reference>
          <reference field="3" count="1" selected="0">
            <x v="77"/>
          </reference>
          <reference field="4" count="1">
            <x v="18"/>
          </reference>
        </references>
      </pivotArea>
    </format>
    <format dxfId="171">
      <pivotArea dataOnly="0" labelOnly="1" fieldPosition="0">
        <references count="4">
          <reference field="0" count="1" selected="0">
            <x v="1"/>
          </reference>
          <reference field="2" count="1" selected="0">
            <x v="3"/>
          </reference>
          <reference field="3" count="1" selected="0">
            <x v="3"/>
          </reference>
          <reference field="4" count="1">
            <x v="42"/>
          </reference>
        </references>
      </pivotArea>
    </format>
    <format dxfId="170">
      <pivotArea dataOnly="0" labelOnly="1" fieldPosition="0">
        <references count="4">
          <reference field="0" count="1" selected="0">
            <x v="1"/>
          </reference>
          <reference field="2" count="1" selected="0">
            <x v="3"/>
          </reference>
          <reference field="3" count="1" selected="0">
            <x v="5"/>
          </reference>
          <reference field="4" count="1">
            <x v="7"/>
          </reference>
        </references>
      </pivotArea>
    </format>
    <format dxfId="169">
      <pivotArea dataOnly="0" labelOnly="1" fieldPosition="0">
        <references count="4">
          <reference field="0" count="1" selected="0">
            <x v="1"/>
          </reference>
          <reference field="2" count="1" selected="0">
            <x v="3"/>
          </reference>
          <reference field="3" count="1" selected="0">
            <x v="7"/>
          </reference>
          <reference field="4" count="1">
            <x v="7"/>
          </reference>
        </references>
      </pivotArea>
    </format>
    <format dxfId="168">
      <pivotArea dataOnly="0" labelOnly="1" fieldPosition="0">
        <references count="4">
          <reference field="0" count="1" selected="0">
            <x v="1"/>
          </reference>
          <reference field="2" count="1" selected="0">
            <x v="3"/>
          </reference>
          <reference field="3" count="1" selected="0">
            <x v="8"/>
          </reference>
          <reference field="4" count="1">
            <x v="8"/>
          </reference>
        </references>
      </pivotArea>
    </format>
    <format dxfId="167">
      <pivotArea dataOnly="0" labelOnly="1" fieldPosition="0">
        <references count="4">
          <reference field="0" count="1" selected="0">
            <x v="1"/>
          </reference>
          <reference field="2" count="1" selected="0">
            <x v="3"/>
          </reference>
          <reference field="3" count="1" selected="0">
            <x v="9"/>
          </reference>
          <reference field="4" count="1">
            <x v="7"/>
          </reference>
        </references>
      </pivotArea>
    </format>
    <format dxfId="166">
      <pivotArea dataOnly="0" labelOnly="1" fieldPosition="0">
        <references count="4">
          <reference field="0" count="1" selected="0">
            <x v="1"/>
          </reference>
          <reference field="2" count="1" selected="0">
            <x v="3"/>
          </reference>
          <reference field="3" count="1" selected="0">
            <x v="13"/>
          </reference>
          <reference field="4" count="1">
            <x v="1"/>
          </reference>
        </references>
      </pivotArea>
    </format>
    <format dxfId="165">
      <pivotArea dataOnly="0" labelOnly="1" fieldPosition="0">
        <references count="4">
          <reference field="0" count="1" selected="0">
            <x v="1"/>
          </reference>
          <reference field="2" count="1" selected="0">
            <x v="3"/>
          </reference>
          <reference field="3" count="1" selected="0">
            <x v="14"/>
          </reference>
          <reference field="4" count="1">
            <x v="7"/>
          </reference>
        </references>
      </pivotArea>
    </format>
    <format dxfId="164">
      <pivotArea dataOnly="0" labelOnly="1" fieldPosition="0">
        <references count="4">
          <reference field="0" count="1" selected="0">
            <x v="1"/>
          </reference>
          <reference field="2" count="1" selected="0">
            <x v="3"/>
          </reference>
          <reference field="3" count="1" selected="0">
            <x v="27"/>
          </reference>
          <reference field="4" count="1">
            <x v="7"/>
          </reference>
        </references>
      </pivotArea>
    </format>
    <format dxfId="163">
      <pivotArea dataOnly="0" labelOnly="1" fieldPosition="0">
        <references count="4">
          <reference field="0" count="1" selected="0">
            <x v="1"/>
          </reference>
          <reference field="2" count="1" selected="0">
            <x v="3"/>
          </reference>
          <reference field="3" count="1" selected="0">
            <x v="29"/>
          </reference>
          <reference field="4" count="1">
            <x v="7"/>
          </reference>
        </references>
      </pivotArea>
    </format>
    <format dxfId="162">
      <pivotArea dataOnly="0" labelOnly="1" fieldPosition="0">
        <references count="4">
          <reference field="0" count="1" selected="0">
            <x v="1"/>
          </reference>
          <reference field="2" count="1" selected="0">
            <x v="3"/>
          </reference>
          <reference field="3" count="1" selected="0">
            <x v="32"/>
          </reference>
          <reference field="4" count="1">
            <x v="7"/>
          </reference>
        </references>
      </pivotArea>
    </format>
    <format dxfId="161">
      <pivotArea dataOnly="0" labelOnly="1" fieldPosition="0">
        <references count="4">
          <reference field="0" count="1" selected="0">
            <x v="1"/>
          </reference>
          <reference field="2" count="1" selected="0">
            <x v="3"/>
          </reference>
          <reference field="3" count="1" selected="0">
            <x v="33"/>
          </reference>
          <reference field="4" count="1">
            <x v="7"/>
          </reference>
        </references>
      </pivotArea>
    </format>
    <format dxfId="160">
      <pivotArea dataOnly="0" labelOnly="1" fieldPosition="0">
        <references count="4">
          <reference field="0" count="1" selected="0">
            <x v="1"/>
          </reference>
          <reference field="2" count="1" selected="0">
            <x v="3"/>
          </reference>
          <reference field="3" count="1" selected="0">
            <x v="34"/>
          </reference>
          <reference field="4" count="1">
            <x v="7"/>
          </reference>
        </references>
      </pivotArea>
    </format>
    <format dxfId="159">
      <pivotArea dataOnly="0" labelOnly="1" fieldPosition="0">
        <references count="4">
          <reference field="0" count="1" selected="0">
            <x v="1"/>
          </reference>
          <reference field="2" count="1" selected="0">
            <x v="3"/>
          </reference>
          <reference field="3" count="1" selected="0">
            <x v="35"/>
          </reference>
          <reference field="4" count="5">
            <x v="1"/>
            <x v="7"/>
            <x v="14"/>
            <x v="23"/>
            <x v="32"/>
          </reference>
        </references>
      </pivotArea>
    </format>
    <format dxfId="158">
      <pivotArea dataOnly="0" labelOnly="1" fieldPosition="0">
        <references count="4">
          <reference field="0" count="1" selected="0">
            <x v="1"/>
          </reference>
          <reference field="2" count="1" selected="0">
            <x v="3"/>
          </reference>
          <reference field="3" count="1" selected="0">
            <x v="36"/>
          </reference>
          <reference field="4" count="6">
            <x v="0"/>
            <x v="1"/>
            <x v="7"/>
            <x v="10"/>
            <x v="11"/>
            <x v="23"/>
          </reference>
        </references>
      </pivotArea>
    </format>
    <format dxfId="157">
      <pivotArea dataOnly="0" labelOnly="1" fieldPosition="0">
        <references count="4">
          <reference field="0" count="1" selected="0">
            <x v="1"/>
          </reference>
          <reference field="2" count="1" selected="0">
            <x v="3"/>
          </reference>
          <reference field="3" count="1" selected="0">
            <x v="38"/>
          </reference>
          <reference field="4" count="1">
            <x v="7"/>
          </reference>
        </references>
      </pivotArea>
    </format>
    <format dxfId="156">
      <pivotArea dataOnly="0" labelOnly="1" fieldPosition="0">
        <references count="4">
          <reference field="0" count="1" selected="0">
            <x v="1"/>
          </reference>
          <reference field="2" count="1" selected="0">
            <x v="3"/>
          </reference>
          <reference field="3" count="1" selected="0">
            <x v="48"/>
          </reference>
          <reference field="4" count="1">
            <x v="7"/>
          </reference>
        </references>
      </pivotArea>
    </format>
    <format dxfId="155">
      <pivotArea dataOnly="0" labelOnly="1" fieldPosition="0">
        <references count="4">
          <reference field="0" count="1" selected="0">
            <x v="1"/>
          </reference>
          <reference field="2" count="1" selected="0">
            <x v="3"/>
          </reference>
          <reference field="3" count="1" selected="0">
            <x v="49"/>
          </reference>
          <reference field="4" count="3">
            <x v="1"/>
            <x v="2"/>
            <x v="7"/>
          </reference>
        </references>
      </pivotArea>
    </format>
    <format dxfId="154">
      <pivotArea dataOnly="0" labelOnly="1" fieldPosition="0">
        <references count="4">
          <reference field="0" count="1" selected="0">
            <x v="1"/>
          </reference>
          <reference field="2" count="1" selected="0">
            <x v="3"/>
          </reference>
          <reference field="3" count="1" selected="0">
            <x v="50"/>
          </reference>
          <reference field="4" count="2">
            <x v="6"/>
            <x v="7"/>
          </reference>
        </references>
      </pivotArea>
    </format>
    <format dxfId="153">
      <pivotArea dataOnly="0" labelOnly="1" fieldPosition="0">
        <references count="4">
          <reference field="0" count="1" selected="0">
            <x v="1"/>
          </reference>
          <reference field="2" count="1" selected="0">
            <x v="3"/>
          </reference>
          <reference field="3" count="1" selected="0">
            <x v="51"/>
          </reference>
          <reference field="4" count="1">
            <x v="7"/>
          </reference>
        </references>
      </pivotArea>
    </format>
    <format dxfId="152">
      <pivotArea dataOnly="0" labelOnly="1" fieldPosition="0">
        <references count="4">
          <reference field="0" count="1" selected="0">
            <x v="1"/>
          </reference>
          <reference field="2" count="1" selected="0">
            <x v="3"/>
          </reference>
          <reference field="3" count="1" selected="0">
            <x v="52"/>
          </reference>
          <reference field="4" count="1">
            <x v="7"/>
          </reference>
        </references>
      </pivotArea>
    </format>
    <format dxfId="151">
      <pivotArea dataOnly="0" labelOnly="1" fieldPosition="0">
        <references count="4">
          <reference field="0" count="1" selected="0">
            <x v="1"/>
          </reference>
          <reference field="2" count="1" selected="0">
            <x v="3"/>
          </reference>
          <reference field="3" count="1" selected="0">
            <x v="55"/>
          </reference>
          <reference field="4" count="1">
            <x v="7"/>
          </reference>
        </references>
      </pivotArea>
    </format>
    <format dxfId="150">
      <pivotArea dataOnly="0" labelOnly="1" fieldPosition="0">
        <references count="4">
          <reference field="0" count="1" selected="0">
            <x v="1"/>
          </reference>
          <reference field="2" count="1" selected="0">
            <x v="3"/>
          </reference>
          <reference field="3" count="1" selected="0">
            <x v="57"/>
          </reference>
          <reference field="4" count="1">
            <x v="3"/>
          </reference>
        </references>
      </pivotArea>
    </format>
    <format dxfId="149">
      <pivotArea dataOnly="0" labelOnly="1" fieldPosition="0">
        <references count="4">
          <reference field="0" count="1" selected="0">
            <x v="1"/>
          </reference>
          <reference field="2" count="1" selected="0">
            <x v="3"/>
          </reference>
          <reference field="3" count="1" selected="0">
            <x v="60"/>
          </reference>
          <reference field="4" count="1">
            <x v="7"/>
          </reference>
        </references>
      </pivotArea>
    </format>
    <format dxfId="148">
      <pivotArea dataOnly="0" labelOnly="1" fieldPosition="0">
        <references count="4">
          <reference field="0" count="1" selected="0">
            <x v="1"/>
          </reference>
          <reference field="2" count="1" selected="0">
            <x v="3"/>
          </reference>
          <reference field="3" count="1" selected="0">
            <x v="63"/>
          </reference>
          <reference field="4" count="1">
            <x v="3"/>
          </reference>
        </references>
      </pivotArea>
    </format>
    <format dxfId="147">
      <pivotArea dataOnly="0" labelOnly="1" fieldPosition="0">
        <references count="4">
          <reference field="0" count="1" selected="0">
            <x v="1"/>
          </reference>
          <reference field="2" count="1" selected="0">
            <x v="3"/>
          </reference>
          <reference field="3" count="1" selected="0">
            <x v="68"/>
          </reference>
          <reference field="4" count="1">
            <x v="3"/>
          </reference>
        </references>
      </pivotArea>
    </format>
    <format dxfId="146">
      <pivotArea dataOnly="0" labelOnly="1" fieldPosition="0">
        <references count="4">
          <reference field="0" count="1" selected="0">
            <x v="1"/>
          </reference>
          <reference field="2" count="1" selected="0">
            <x v="3"/>
          </reference>
          <reference field="3" count="1" selected="0">
            <x v="70"/>
          </reference>
          <reference field="4" count="1">
            <x v="7"/>
          </reference>
        </references>
      </pivotArea>
    </format>
    <format dxfId="145">
      <pivotArea dataOnly="0" labelOnly="1" fieldPosition="0">
        <references count="4">
          <reference field="0" count="1" selected="0">
            <x v="1"/>
          </reference>
          <reference field="2" count="1" selected="0">
            <x v="3"/>
          </reference>
          <reference field="3" count="1" selected="0">
            <x v="78"/>
          </reference>
          <reference field="4" count="1">
            <x v="7"/>
          </reference>
        </references>
      </pivotArea>
    </format>
    <format dxfId="144">
      <pivotArea dataOnly="0" labelOnly="1" fieldPosition="0">
        <references count="4">
          <reference field="0" count="1" selected="0">
            <x v="1"/>
          </reference>
          <reference field="2" count="1" selected="0">
            <x v="3"/>
          </reference>
          <reference field="3" count="1" selected="0">
            <x v="79"/>
          </reference>
          <reference field="4" count="1">
            <x v="7"/>
          </reference>
        </references>
      </pivotArea>
    </format>
    <format dxfId="143">
      <pivotArea dataOnly="0" labelOnly="1" fieldPosition="0">
        <references count="4">
          <reference field="0" count="1" selected="0">
            <x v="1"/>
          </reference>
          <reference field="2" count="1" selected="0">
            <x v="3"/>
          </reference>
          <reference field="3" count="1" selected="0">
            <x v="84"/>
          </reference>
          <reference field="4" count="1">
            <x v="7"/>
          </reference>
        </references>
      </pivotArea>
    </format>
    <format dxfId="142">
      <pivotArea dataOnly="0" labelOnly="1" fieldPosition="0">
        <references count="4">
          <reference field="0" count="1" selected="0">
            <x v="1"/>
          </reference>
          <reference field="2" count="1" selected="0">
            <x v="3"/>
          </reference>
          <reference field="3" count="1" selected="0">
            <x v="87"/>
          </reference>
          <reference field="4" count="1">
            <x v="7"/>
          </reference>
        </references>
      </pivotArea>
    </format>
    <format dxfId="141">
      <pivotArea dataOnly="0" labelOnly="1" fieldPosition="0">
        <references count="4">
          <reference field="0" count="1" selected="0">
            <x v="1"/>
          </reference>
          <reference field="2" count="1" selected="0">
            <x v="3"/>
          </reference>
          <reference field="3" count="1" selected="0">
            <x v="88"/>
          </reference>
          <reference field="4" count="1">
            <x v="7"/>
          </reference>
        </references>
      </pivotArea>
    </format>
    <format dxfId="140">
      <pivotArea dataOnly="0" labelOnly="1" fieldPosition="0">
        <references count="4">
          <reference field="0" count="1" selected="0">
            <x v="1"/>
          </reference>
          <reference field="2" count="1" selected="0">
            <x v="3"/>
          </reference>
          <reference field="3" count="1" selected="0">
            <x v="89"/>
          </reference>
          <reference field="4" count="1">
            <x v="7"/>
          </reference>
        </references>
      </pivotArea>
    </format>
    <format dxfId="139">
      <pivotArea dataOnly="0" labelOnly="1" fieldPosition="0">
        <references count="4">
          <reference field="0" count="1" selected="0">
            <x v="1"/>
          </reference>
          <reference field="2" count="1" selected="0">
            <x v="3"/>
          </reference>
          <reference field="3" count="1" selected="0">
            <x v="91"/>
          </reference>
          <reference field="4" count="1">
            <x v="18"/>
          </reference>
        </references>
      </pivotArea>
    </format>
    <format dxfId="138">
      <pivotArea dataOnly="0" labelOnly="1" fieldPosition="0">
        <references count="4">
          <reference field="0" count="1" selected="0">
            <x v="1"/>
          </reference>
          <reference field="2" count="1" selected="0">
            <x v="3"/>
          </reference>
          <reference field="3" count="1" selected="0">
            <x v="94"/>
          </reference>
          <reference field="4" count="1">
            <x v="3"/>
          </reference>
        </references>
      </pivotArea>
    </format>
    <format dxfId="137">
      <pivotArea dataOnly="0" labelOnly="1" fieldPosition="0">
        <references count="4">
          <reference field="0" count="1" selected="0">
            <x v="1"/>
          </reference>
          <reference field="2" count="1" selected="0">
            <x v="3"/>
          </reference>
          <reference field="3" count="1" selected="0">
            <x v="95"/>
          </reference>
          <reference field="4" count="1">
            <x v="33"/>
          </reference>
        </references>
      </pivotArea>
    </format>
    <format dxfId="136">
      <pivotArea dataOnly="0" labelOnly="1" fieldPosition="0">
        <references count="4">
          <reference field="0" count="1" selected="0">
            <x v="1"/>
          </reference>
          <reference field="2" count="1" selected="0">
            <x v="3"/>
          </reference>
          <reference field="3" count="1" selected="0">
            <x v="96"/>
          </reference>
          <reference field="4" count="1">
            <x v="7"/>
          </reference>
        </references>
      </pivotArea>
    </format>
    <format dxfId="135">
      <pivotArea dataOnly="0" labelOnly="1" fieldPosition="0">
        <references count="4">
          <reference field="0" count="1" selected="0">
            <x v="1"/>
          </reference>
          <reference field="2" count="1" selected="0">
            <x v="3"/>
          </reference>
          <reference field="3" count="1" selected="0">
            <x v="100"/>
          </reference>
          <reference field="4" count="3">
            <x v="4"/>
            <x v="7"/>
            <x v="18"/>
          </reference>
        </references>
      </pivotArea>
    </format>
    <format dxfId="134">
      <pivotArea dataOnly="0" labelOnly="1" fieldPosition="0">
        <references count="4">
          <reference field="0" count="1" selected="0">
            <x v="1"/>
          </reference>
          <reference field="2" count="1" selected="0">
            <x v="3"/>
          </reference>
          <reference field="3" count="1" selected="0">
            <x v="103"/>
          </reference>
          <reference field="4" count="1">
            <x v="7"/>
          </reference>
        </references>
      </pivotArea>
    </format>
    <format dxfId="133">
      <pivotArea dataOnly="0" labelOnly="1" fieldPosition="0">
        <references count="4">
          <reference field="0" count="1" selected="0">
            <x v="1"/>
          </reference>
          <reference field="2" count="1" selected="0">
            <x v="3"/>
          </reference>
          <reference field="3" count="1" selected="0">
            <x v="104"/>
          </reference>
          <reference field="4" count="1">
            <x v="6"/>
          </reference>
        </references>
      </pivotArea>
    </format>
    <format dxfId="132">
      <pivotArea dataOnly="0" labelOnly="1" fieldPosition="0">
        <references count="4">
          <reference field="0" count="1" selected="0">
            <x v="1"/>
          </reference>
          <reference field="2" count="1" selected="0">
            <x v="3"/>
          </reference>
          <reference field="3" count="1" selected="0">
            <x v="105"/>
          </reference>
          <reference field="4" count="1">
            <x v="7"/>
          </reference>
        </references>
      </pivotArea>
    </format>
    <format dxfId="131">
      <pivotArea dataOnly="0" labelOnly="1" fieldPosition="0">
        <references count="4">
          <reference field="0" count="1" selected="0">
            <x v="1"/>
          </reference>
          <reference field="2" count="1" selected="0">
            <x v="4"/>
          </reference>
          <reference field="3" count="1" selected="0">
            <x v="28"/>
          </reference>
          <reference field="4" count="1">
            <x v="21"/>
          </reference>
        </references>
      </pivotArea>
    </format>
    <format dxfId="130">
      <pivotArea dataOnly="0" labelOnly="1" fieldPosition="0">
        <references count="4">
          <reference field="0" count="1" selected="0">
            <x v="1"/>
          </reference>
          <reference field="2" count="1" selected="0">
            <x v="4"/>
          </reference>
          <reference field="3" count="1" selected="0">
            <x v="62"/>
          </reference>
          <reference field="4" count="1">
            <x v="21"/>
          </reference>
        </references>
      </pivotArea>
    </format>
    <format dxfId="129">
      <pivotArea dataOnly="0" labelOnly="1" fieldPosition="0">
        <references count="4">
          <reference field="0" count="1" selected="0">
            <x v="1"/>
          </reference>
          <reference field="2" count="1" selected="0">
            <x v="5"/>
          </reference>
          <reference field="3" count="1" selected="0">
            <x v="30"/>
          </reference>
          <reference field="4" count="1">
            <x v="13"/>
          </reference>
        </references>
      </pivotArea>
    </format>
    <format dxfId="128">
      <pivotArea dataOnly="0" labelOnly="1" fieldPosition="0">
        <references count="4">
          <reference field="0" count="1" selected="0">
            <x v="1"/>
          </reference>
          <reference field="2" count="1" selected="0">
            <x v="7"/>
          </reference>
          <reference field="3" count="1" selected="0">
            <x v="5"/>
          </reference>
          <reference field="4" count="1">
            <x v="11"/>
          </reference>
        </references>
      </pivotArea>
    </format>
    <format dxfId="127">
      <pivotArea dataOnly="0" labelOnly="1" fieldPosition="0">
        <references count="4">
          <reference field="0" count="1" selected="0">
            <x v="1"/>
          </reference>
          <reference field="2" count="1" selected="0">
            <x v="7"/>
          </reference>
          <reference field="3" count="1" selected="0">
            <x v="24"/>
          </reference>
          <reference field="4" count="1">
            <x v="11"/>
          </reference>
        </references>
      </pivotArea>
    </format>
    <format dxfId="126">
      <pivotArea dataOnly="0" labelOnly="1" fieldPosition="0">
        <references count="4">
          <reference field="0" count="1" selected="0">
            <x v="1"/>
          </reference>
          <reference field="2" count="1" selected="0">
            <x v="7"/>
          </reference>
          <reference field="3" count="1" selected="0">
            <x v="49"/>
          </reference>
          <reference field="4" count="1">
            <x v="11"/>
          </reference>
        </references>
      </pivotArea>
    </format>
    <format dxfId="125">
      <pivotArea dataOnly="0" labelOnly="1" fieldPosition="0">
        <references count="4">
          <reference field="0" count="1" selected="0">
            <x v="1"/>
          </reference>
          <reference field="2" count="1" selected="0">
            <x v="7"/>
          </reference>
          <reference field="3" count="1" selected="0">
            <x v="76"/>
          </reference>
          <reference field="4" count="1">
            <x v="11"/>
          </reference>
        </references>
      </pivotArea>
    </format>
    <format dxfId="124">
      <pivotArea dataOnly="0" labelOnly="1" fieldPosition="0">
        <references count="4">
          <reference field="0" count="1" selected="0">
            <x v="1"/>
          </reference>
          <reference field="2" count="1" selected="0">
            <x v="8"/>
          </reference>
          <reference field="3" count="1" selected="0">
            <x v="0"/>
          </reference>
          <reference field="4" count="1">
            <x v="7"/>
          </reference>
        </references>
      </pivotArea>
    </format>
    <format dxfId="123">
      <pivotArea dataOnly="0" labelOnly="1" fieldPosition="0">
        <references count="4">
          <reference field="0" count="1" selected="0">
            <x v="1"/>
          </reference>
          <reference field="2" count="1" selected="0">
            <x v="8"/>
          </reference>
          <reference field="3" count="1" selected="0">
            <x v="2"/>
          </reference>
          <reference field="4" count="1">
            <x v="7"/>
          </reference>
        </references>
      </pivotArea>
    </format>
    <format dxfId="122">
      <pivotArea dataOnly="0" labelOnly="1" fieldPosition="0">
        <references count="4">
          <reference field="0" count="1" selected="0">
            <x v="1"/>
          </reference>
          <reference field="2" count="1" selected="0">
            <x v="8"/>
          </reference>
          <reference field="3" count="1" selected="0">
            <x v="4"/>
          </reference>
          <reference field="4" count="1">
            <x v="2"/>
          </reference>
        </references>
      </pivotArea>
    </format>
    <format dxfId="121">
      <pivotArea dataOnly="0" labelOnly="1" fieldPosition="0">
        <references count="4">
          <reference field="0" count="1" selected="0">
            <x v="1"/>
          </reference>
          <reference field="2" count="1" selected="0">
            <x v="8"/>
          </reference>
          <reference field="3" count="1" selected="0">
            <x v="5"/>
          </reference>
          <reference field="4" count="1">
            <x v="1"/>
          </reference>
        </references>
      </pivotArea>
    </format>
    <format dxfId="120">
      <pivotArea dataOnly="0" labelOnly="1" fieldPosition="0">
        <references count="4">
          <reference field="0" count="1" selected="0">
            <x v="1"/>
          </reference>
          <reference field="2" count="1" selected="0">
            <x v="8"/>
          </reference>
          <reference field="3" count="1" selected="0">
            <x v="7"/>
          </reference>
          <reference field="4" count="1">
            <x v="2"/>
          </reference>
        </references>
      </pivotArea>
    </format>
    <format dxfId="119">
      <pivotArea dataOnly="0" labelOnly="1" fieldPosition="0">
        <references count="4">
          <reference field="0" count="1" selected="0">
            <x v="1"/>
          </reference>
          <reference field="2" count="1" selected="0">
            <x v="8"/>
          </reference>
          <reference field="3" count="1" selected="0">
            <x v="9"/>
          </reference>
          <reference field="4" count="1">
            <x v="7"/>
          </reference>
        </references>
      </pivotArea>
    </format>
    <format dxfId="118">
      <pivotArea dataOnly="0" labelOnly="1" fieldPosition="0">
        <references count="4">
          <reference field="0" count="1" selected="0">
            <x v="1"/>
          </reference>
          <reference field="2" count="1" selected="0">
            <x v="8"/>
          </reference>
          <reference field="3" count="1" selected="0">
            <x v="13"/>
          </reference>
          <reference field="4" count="1">
            <x v="1"/>
          </reference>
        </references>
      </pivotArea>
    </format>
    <format dxfId="117">
      <pivotArea dataOnly="0" labelOnly="1" fieldPosition="0">
        <references count="4">
          <reference field="0" count="1" selected="0">
            <x v="1"/>
          </reference>
          <reference field="2" count="1" selected="0">
            <x v="8"/>
          </reference>
          <reference field="3" count="1" selected="0">
            <x v="20"/>
          </reference>
          <reference field="4" count="1">
            <x v="7"/>
          </reference>
        </references>
      </pivotArea>
    </format>
    <format dxfId="116">
      <pivotArea dataOnly="0" labelOnly="1" fieldPosition="0">
        <references count="4">
          <reference field="0" count="1" selected="0">
            <x v="1"/>
          </reference>
          <reference field="2" count="1" selected="0">
            <x v="8"/>
          </reference>
          <reference field="3" count="1" selected="0">
            <x v="22"/>
          </reference>
          <reference field="4" count="1">
            <x v="7"/>
          </reference>
        </references>
      </pivotArea>
    </format>
    <format dxfId="115">
      <pivotArea dataOnly="0" labelOnly="1" fieldPosition="0">
        <references count="4">
          <reference field="0" count="1" selected="0">
            <x v="1"/>
          </reference>
          <reference field="2" count="1" selected="0">
            <x v="8"/>
          </reference>
          <reference field="3" count="1" selected="0">
            <x v="24"/>
          </reference>
          <reference field="4" count="1">
            <x v="1"/>
          </reference>
        </references>
      </pivotArea>
    </format>
    <format dxfId="114">
      <pivotArea dataOnly="0" labelOnly="1" fieldPosition="0">
        <references count="4">
          <reference field="0" count="1" selected="0">
            <x v="1"/>
          </reference>
          <reference field="2" count="1" selected="0">
            <x v="8"/>
          </reference>
          <reference field="3" count="1" selected="0">
            <x v="34"/>
          </reference>
          <reference field="4" count="3">
            <x v="7"/>
            <x v="30"/>
            <x v="43"/>
          </reference>
        </references>
      </pivotArea>
    </format>
    <format dxfId="113">
      <pivotArea dataOnly="0" labelOnly="1" fieldPosition="0">
        <references count="4">
          <reference field="0" count="1" selected="0">
            <x v="1"/>
          </reference>
          <reference field="2" count="1" selected="0">
            <x v="8"/>
          </reference>
          <reference field="3" count="1" selected="0">
            <x v="41"/>
          </reference>
          <reference field="4" count="1">
            <x v="7"/>
          </reference>
        </references>
      </pivotArea>
    </format>
    <format dxfId="112">
      <pivotArea dataOnly="0" labelOnly="1" fieldPosition="0">
        <references count="4">
          <reference field="0" count="1" selected="0">
            <x v="1"/>
          </reference>
          <reference field="2" count="1" selected="0">
            <x v="8"/>
          </reference>
          <reference field="3" count="1" selected="0">
            <x v="49"/>
          </reference>
          <reference field="4" count="3">
            <x v="18"/>
            <x v="20"/>
            <x v="30"/>
          </reference>
        </references>
      </pivotArea>
    </format>
    <format dxfId="111">
      <pivotArea dataOnly="0" labelOnly="1" fieldPosition="0">
        <references count="4">
          <reference field="0" count="1" selected="0">
            <x v="1"/>
          </reference>
          <reference field="2" count="1" selected="0">
            <x v="8"/>
          </reference>
          <reference field="3" count="1" selected="0">
            <x v="90"/>
          </reference>
          <reference field="4" count="1">
            <x v="0"/>
          </reference>
        </references>
      </pivotArea>
    </format>
    <format dxfId="110">
      <pivotArea dataOnly="0" labelOnly="1" fieldPosition="0">
        <references count="4">
          <reference field="0" count="1" selected="0">
            <x v="1"/>
          </reference>
          <reference field="2" count="1" selected="0">
            <x v="8"/>
          </reference>
          <reference field="3" count="1" selected="0">
            <x v="92"/>
          </reference>
          <reference field="4" count="1">
            <x v="2"/>
          </reference>
        </references>
      </pivotArea>
    </format>
    <format dxfId="109">
      <pivotArea dataOnly="0" labelOnly="1" fieldPosition="0">
        <references count="4">
          <reference field="0" count="1" selected="0">
            <x v="1"/>
          </reference>
          <reference field="2" count="1" selected="0">
            <x v="8"/>
          </reference>
          <reference field="3" count="1" selected="0">
            <x v="115"/>
          </reference>
          <reference field="4" count="1">
            <x v="31"/>
          </reference>
        </references>
      </pivotArea>
    </format>
    <format dxfId="108">
      <pivotArea dataOnly="0" labelOnly="1" fieldPosition="0">
        <references count="4">
          <reference field="0" count="1" selected="0">
            <x v="1"/>
          </reference>
          <reference field="2" count="1" selected="0">
            <x v="10"/>
          </reference>
          <reference field="3" count="1" selected="0">
            <x v="1"/>
          </reference>
          <reference field="4" count="2">
            <x v="3"/>
            <x v="7"/>
          </reference>
        </references>
      </pivotArea>
    </format>
    <format dxfId="107">
      <pivotArea dataOnly="0" labelOnly="1" fieldPosition="0">
        <references count="4">
          <reference field="0" count="1" selected="0">
            <x v="1"/>
          </reference>
          <reference field="2" count="1" selected="0">
            <x v="10"/>
          </reference>
          <reference field="3" count="1" selected="0">
            <x v="57"/>
          </reference>
          <reference field="4" count="1">
            <x v="3"/>
          </reference>
        </references>
      </pivotArea>
    </format>
    <format dxfId="106">
      <pivotArea dataOnly="0" labelOnly="1" fieldPosition="0">
        <references count="4">
          <reference field="0" count="1" selected="0">
            <x v="1"/>
          </reference>
          <reference field="2" count="1" selected="0">
            <x v="10"/>
          </reference>
          <reference field="3" count="1" selected="0">
            <x v="87"/>
          </reference>
          <reference field="4" count="1">
            <x v="3"/>
          </reference>
        </references>
      </pivotArea>
    </format>
    <format dxfId="105">
      <pivotArea dataOnly="0" labelOnly="1" fieldPosition="0">
        <references count="4">
          <reference field="0" count="1" selected="0">
            <x v="1"/>
          </reference>
          <reference field="2" count="1" selected="0">
            <x v="11"/>
          </reference>
          <reference field="3" count="1" selected="0">
            <x v="17"/>
          </reference>
          <reference field="4" count="1">
            <x v="16"/>
          </reference>
        </references>
      </pivotArea>
    </format>
    <format dxfId="104">
      <pivotArea dataOnly="0" labelOnly="1" fieldPosition="0">
        <references count="4">
          <reference field="0" count="1" selected="0">
            <x v="1"/>
          </reference>
          <reference field="2" count="1" selected="0">
            <x v="18"/>
          </reference>
          <reference field="3" count="1" selected="0">
            <x v="39"/>
          </reference>
          <reference field="4" count="1">
            <x v="7"/>
          </reference>
        </references>
      </pivotArea>
    </format>
    <format dxfId="103">
      <pivotArea dataOnly="0" labelOnly="1" fieldPosition="0">
        <references count="4">
          <reference field="0" count="1" selected="0">
            <x v="1"/>
          </reference>
          <reference field="2" count="1" selected="0">
            <x v="22"/>
          </reference>
          <reference field="3" count="1" selected="0">
            <x v="53"/>
          </reference>
          <reference field="4" count="1">
            <x v="7"/>
          </reference>
        </references>
      </pivotArea>
    </format>
    <format dxfId="102">
      <pivotArea dataOnly="0" labelOnly="1" fieldPosition="0">
        <references count="4">
          <reference field="0" count="1" selected="0">
            <x v="1"/>
          </reference>
          <reference field="2" count="1" selected="0">
            <x v="24"/>
          </reference>
          <reference field="3" count="1" selected="0">
            <x v="39"/>
          </reference>
          <reference field="4" count="1">
            <x v="7"/>
          </reference>
        </references>
      </pivotArea>
    </format>
    <format dxfId="101">
      <pivotArea dataOnly="0" labelOnly="1" fieldPosition="0">
        <references count="4">
          <reference field="0" count="1" selected="0">
            <x v="1"/>
          </reference>
          <reference field="2" count="1" selected="0">
            <x v="25"/>
          </reference>
          <reference field="3" count="1" selected="0">
            <x v="21"/>
          </reference>
          <reference field="4" count="1">
            <x v="7"/>
          </reference>
        </references>
      </pivotArea>
    </format>
    <format dxfId="100">
      <pivotArea dataOnly="0" labelOnly="1" fieldPosition="0">
        <references count="4">
          <reference field="0" count="1" selected="0">
            <x v="1"/>
          </reference>
          <reference field="2" count="1" selected="0">
            <x v="27"/>
          </reference>
          <reference field="3" count="1" selected="0">
            <x v="73"/>
          </reference>
          <reference field="4" count="1">
            <x v="7"/>
          </reference>
        </references>
      </pivotArea>
    </format>
    <format dxfId="99">
      <pivotArea dataOnly="0" labelOnly="1" fieldPosition="0">
        <references count="4">
          <reference field="0" count="1" selected="0">
            <x v="1"/>
          </reference>
          <reference field="2" count="1" selected="0">
            <x v="27"/>
          </reference>
          <reference field="3" count="1" selected="0">
            <x v="85"/>
          </reference>
          <reference field="4" count="2">
            <x v="7"/>
            <x v="41"/>
          </reference>
        </references>
      </pivotArea>
    </format>
    <format dxfId="98">
      <pivotArea dataOnly="0" labelOnly="1" fieldPosition="0">
        <references count="4">
          <reference field="0" count="1" selected="0">
            <x v="1"/>
          </reference>
          <reference field="2" count="1" selected="0">
            <x v="28"/>
          </reference>
          <reference field="3" count="1" selected="0">
            <x v="66"/>
          </reference>
          <reference field="4" count="1">
            <x v="39"/>
          </reference>
        </references>
      </pivotArea>
    </format>
    <format dxfId="97">
      <pivotArea dataOnly="0" labelOnly="1" fieldPosition="0">
        <references count="4">
          <reference field="0" count="1" selected="0">
            <x v="1"/>
          </reference>
          <reference field="2" count="1" selected="0">
            <x v="30"/>
          </reference>
          <reference field="3" count="1" selected="0">
            <x v="83"/>
          </reference>
          <reference field="4"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220126-73A0-49AB-B031-5B56738C4FF4}" name="피벗 테이블1"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J119" firstHeaderRow="0" firstDataRow="1" firstDataCol="1" rowPageCount="1" colPageCount="1"/>
  <pivotFields count="26">
    <pivotField axis="axisRow" showAll="0">
      <items count="11">
        <item x="0"/>
        <item x="1"/>
        <item x="2"/>
        <item x="3"/>
        <item x="4"/>
        <item x="5"/>
        <item m="1" x="7"/>
        <item m="1" x="8"/>
        <item m="1" x="6"/>
        <item m="1" x="9"/>
        <item t="default"/>
      </items>
    </pivotField>
    <pivotField axis="axisPage" multipleItemSelectionAllowed="1" showAll="0">
      <items count="18">
        <item h="1" x="10"/>
        <item x="5"/>
        <item h="1" x="4"/>
        <item h="1" x="9"/>
        <item h="1" x="13"/>
        <item x="0"/>
        <item h="1" x="6"/>
        <item h="1" x="12"/>
        <item h="1" x="7"/>
        <item h="1" x="15"/>
        <item x="2"/>
        <item h="1" x="3"/>
        <item h="1" x="11"/>
        <item h="1" x="1"/>
        <item h="1" x="14"/>
        <item x="8"/>
        <item h="1" m="1" x="16"/>
        <item t="default"/>
      </items>
    </pivotField>
    <pivotField axis="axisRow" showAll="0">
      <items count="34">
        <item sd="0" x="9"/>
        <item sd="0" x="18"/>
        <item sd="0" x="27"/>
        <item sd="0" x="0"/>
        <item sd="0" x="10"/>
        <item sd="0" x="14"/>
        <item x="12"/>
        <item sd="0" x="1"/>
        <item sd="0" x="2"/>
        <item x="13"/>
        <item sd="0" x="6"/>
        <item h="1" x="28"/>
        <item x="32"/>
        <item x="30"/>
        <item h="1" x="29"/>
        <item x="5"/>
        <item h="1" x="7"/>
        <item h="1" x="8"/>
        <item x="21"/>
        <item sd="0" x="4"/>
        <item x="26"/>
        <item x="3"/>
        <item x="25"/>
        <item x="15"/>
        <item x="23"/>
        <item x="19"/>
        <item x="17"/>
        <item x="31"/>
        <item x="20"/>
        <item x="24"/>
        <item x="11"/>
        <item x="22"/>
        <item x="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numFmtId="176" showAll="0"/>
    <pivotField dataField="1" numFmtId="176" showAll="0"/>
    <pivotField dataField="1" showAll="0"/>
    <pivotField dataField="1" showAll="0"/>
    <pivotField dataField="1" showAll="0"/>
    <pivotField dataField="1" showAll="0"/>
    <pivotField dataField="1" showAll="0"/>
    <pivotField dataField="1" numFmtId="176" showAll="0"/>
    <pivotField showAll="0"/>
    <pivotField showAll="0"/>
    <pivotField showAll="0"/>
  </pivotFields>
  <rowFields count="2">
    <field x="0"/>
    <field x="2"/>
  </rowFields>
  <rowItems count="54">
    <i>
      <x/>
    </i>
    <i r="1">
      <x v="3"/>
    </i>
    <i r="1">
      <x v="7"/>
    </i>
    <i>
      <x v="1"/>
    </i>
    <i r="1">
      <x/>
    </i>
    <i r="1">
      <x v="2"/>
    </i>
    <i r="1">
      <x v="3"/>
    </i>
    <i r="1">
      <x v="4"/>
    </i>
    <i r="1">
      <x v="5"/>
    </i>
    <i r="1">
      <x v="7"/>
    </i>
    <i r="1">
      <x v="8"/>
    </i>
    <i r="1">
      <x v="10"/>
    </i>
    <i r="1">
      <x v="15"/>
    </i>
    <i r="1">
      <x v="19"/>
    </i>
    <i r="1">
      <x v="20"/>
    </i>
    <i r="1">
      <x v="22"/>
    </i>
    <i r="1">
      <x v="23"/>
    </i>
    <i r="1">
      <x v="24"/>
    </i>
    <i r="1">
      <x v="25"/>
    </i>
    <i r="1">
      <x v="26"/>
    </i>
    <i r="1">
      <x v="28"/>
    </i>
    <i r="1">
      <x v="29"/>
    </i>
    <i r="1">
      <x v="31"/>
    </i>
    <i r="1">
      <x v="32"/>
    </i>
    <i>
      <x v="2"/>
    </i>
    <i r="1">
      <x/>
    </i>
    <i r="1">
      <x v="3"/>
    </i>
    <i r="1">
      <x v="7"/>
    </i>
    <i r="1">
      <x v="8"/>
    </i>
    <i r="1">
      <x v="10"/>
    </i>
    <i r="1">
      <x v="13"/>
    </i>
    <i r="1">
      <x v="19"/>
    </i>
    <i r="1">
      <x v="27"/>
    </i>
    <i>
      <x v="3"/>
    </i>
    <i r="1">
      <x/>
    </i>
    <i r="1">
      <x v="3"/>
    </i>
    <i r="1">
      <x v="4"/>
    </i>
    <i r="1">
      <x v="7"/>
    </i>
    <i r="1">
      <x v="8"/>
    </i>
    <i r="1">
      <x v="19"/>
    </i>
    <i>
      <x v="4"/>
    </i>
    <i r="1">
      <x v="1"/>
    </i>
    <i r="1">
      <x v="2"/>
    </i>
    <i r="1">
      <x v="3"/>
    </i>
    <i r="1">
      <x v="6"/>
    </i>
    <i r="1">
      <x v="8"/>
    </i>
    <i r="1">
      <x v="9"/>
    </i>
    <i r="1">
      <x v="15"/>
    </i>
    <i r="1">
      <x v="18"/>
    </i>
    <i r="1">
      <x v="23"/>
    </i>
    <i r="1">
      <x v="25"/>
    </i>
    <i>
      <x v="5"/>
    </i>
    <i r="1">
      <x v="3"/>
    </i>
    <i t="grand">
      <x/>
    </i>
  </rowItems>
  <colFields count="1">
    <field x="-2"/>
  </colFields>
  <colItems count="9">
    <i>
      <x/>
    </i>
    <i i="1">
      <x v="1"/>
    </i>
    <i i="2">
      <x v="2"/>
    </i>
    <i i="3">
      <x v="3"/>
    </i>
    <i i="4">
      <x v="4"/>
    </i>
    <i i="5">
      <x v="5"/>
    </i>
    <i i="6">
      <x v="6"/>
    </i>
    <i i="7">
      <x v="7"/>
    </i>
    <i i="8">
      <x v="8"/>
    </i>
  </colItems>
  <pageFields count="1">
    <pageField fld="1" hier="-1"/>
  </pageFields>
  <dataFields count="9">
    <dataField name="합계 : July 2025(KRW)" fld="14" baseField="0" baseItem="0"/>
    <dataField name="합계 : Aug 2025(KRW)" fld="15" baseField="0" baseItem="0" numFmtId="176"/>
    <dataField name="합계 : Sep 2025(KRW)" fld="16" baseField="0" baseItem="0" numFmtId="176"/>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6">
    <format dxfId="211">
      <pivotArea type="all" dataOnly="0" outline="0" fieldPosition="0"/>
    </format>
    <format dxfId="210">
      <pivotArea outline="0" collapsedLevelsAreSubtotals="1" fieldPosition="0"/>
    </format>
    <format dxfId="209">
      <pivotArea field="2" type="button" dataOnly="0" labelOnly="1" outline="0" axis="axisRow" fieldPosition="1"/>
    </format>
    <format dxfId="208">
      <pivotArea dataOnly="0" labelOnly="1" grandRow="1" outline="0" fieldPosition="0"/>
    </format>
    <format dxfId="207">
      <pivotArea field="0" grandRow="1" outline="0" collapsedLevelsAreSubtotals="1" axis="axisRow" fieldPosition="0">
        <references count="1">
          <reference field="4294967294" count="1" selected="0">
            <x v="0"/>
          </reference>
        </references>
      </pivotArea>
    </format>
    <format dxfId="20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DD57E4-6F6B-0A46-838B-22086D34B56F}" name="피벗 테이블10" cacheId="9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29:M61" firstHeaderRow="0" firstDataRow="1" firstDataCol="1"/>
  <pivotFields count="27">
    <pivotField showAll="0"/>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76" showAll="0"/>
    <pivotField showAll="0"/>
    <pivotField numFmtId="179" showAll="0"/>
    <pivotField showAll="0"/>
    <pivotField showAll="0"/>
  </pivotFields>
  <rowFields count="2">
    <field x="1"/>
    <field x="2"/>
  </rowFields>
  <rowItems count="32">
    <i>
      <x v="1"/>
    </i>
    <i r="1">
      <x v="2"/>
    </i>
    <i>
      <x v="2"/>
    </i>
    <i r="1">
      <x v="3"/>
    </i>
    <i>
      <x v="6"/>
    </i>
    <i r="1">
      <x v="1"/>
    </i>
    <i r="1">
      <x v="5"/>
    </i>
    <i r="1">
      <x v="6"/>
    </i>
    <i r="1">
      <x v="7"/>
    </i>
    <i r="1">
      <x v="8"/>
    </i>
    <i r="1">
      <x v="9"/>
    </i>
    <i r="1">
      <x v="10"/>
    </i>
    <i r="1">
      <x v="11"/>
    </i>
    <i r="1">
      <x v="12"/>
    </i>
    <i r="1">
      <x v="13"/>
    </i>
    <i r="1">
      <x v="14"/>
    </i>
    <i r="1">
      <x v="15"/>
    </i>
    <i r="1">
      <x v="16"/>
    </i>
    <i r="1">
      <x v="17"/>
    </i>
    <i r="1">
      <x v="19"/>
    </i>
    <i r="1">
      <x v="20"/>
    </i>
    <i r="1">
      <x v="21"/>
    </i>
    <i r="1">
      <x v="22"/>
    </i>
    <i r="1">
      <x v="23"/>
    </i>
    <i r="1">
      <x v="24"/>
    </i>
    <i r="1">
      <x v="26"/>
    </i>
    <i r="1">
      <x v="30"/>
    </i>
    <i r="1">
      <x v="31"/>
    </i>
    <i r="1">
      <x v="33"/>
    </i>
    <i>
      <x v="13"/>
    </i>
    <i r="1">
      <x v="28"/>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2">
    <format dxfId="86">
      <pivotArea grandRow="1" outline="0" collapsedLevelsAreSubtotals="1" fieldPosition="0"/>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501C35-3C52-DA4C-A910-1872603AE56A}" name="피벗 테이블8" cacheId="9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B26" firstHeaderRow="1"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76" showAll="0"/>
    <pivotField showAll="0"/>
    <pivotField numFmtId="179" showAll="0"/>
    <pivotField showAll="0"/>
    <pivotField showAll="0"/>
  </pivotFields>
  <rowFields count="2">
    <field x="0"/>
    <field x="1"/>
  </rowFields>
  <rowItems count="23">
    <i>
      <x/>
    </i>
    <i r="1">
      <x v="6"/>
    </i>
    <i>
      <x v="1"/>
    </i>
    <i r="1">
      <x v="1"/>
    </i>
    <i r="1">
      <x v="2"/>
    </i>
    <i r="1">
      <x v="6"/>
    </i>
    <i r="1">
      <x v="13"/>
    </i>
    <i>
      <x v="2"/>
    </i>
    <i r="1">
      <x v="1"/>
    </i>
    <i r="1">
      <x v="6"/>
    </i>
    <i r="1">
      <x v="13"/>
    </i>
    <i>
      <x v="3"/>
    </i>
    <i r="1">
      <x v="1"/>
    </i>
    <i r="1">
      <x v="6"/>
    </i>
    <i>
      <x v="4"/>
    </i>
    <i r="1">
      <x v="6"/>
    </i>
    <i>
      <x v="5"/>
    </i>
    <i r="1">
      <x v="6"/>
    </i>
    <i>
      <x v="6"/>
    </i>
    <i r="1">
      <x v="6"/>
    </i>
    <i>
      <x v="7"/>
    </i>
    <i r="1">
      <x v="6"/>
    </i>
    <i t="grand">
      <x/>
    </i>
  </rowItems>
  <colItems count="1">
    <i/>
  </colItems>
  <dataFields count="1">
    <dataField name="합계 : Mar 2026(KRW)" fld="22"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280CE-A1D7-D14C-A7FE-D5C9C1C19B97}" name="피벗 테이블12" cacheId="9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141:M412" firstHeaderRow="0" firstDataRow="1" firstDataCol="1"/>
  <pivotFields count="27">
    <pivotField axis="axisRow" showAll="0">
      <items count="9">
        <item x="0"/>
        <item x="1"/>
        <item x="2"/>
        <item x="3"/>
        <item x="4"/>
        <item x="5"/>
        <item x="6"/>
        <item x="7"/>
        <item t="default"/>
      </items>
    </pivotField>
    <pivotField axis="axisRow" showAll="0">
      <items count="17">
        <item x="10"/>
        <item x="5"/>
        <item x="8"/>
        <item x="4"/>
        <item x="9"/>
        <item x="13"/>
        <item x="0"/>
        <item x="14"/>
        <item x="1"/>
        <item x="6"/>
        <item x="12"/>
        <item x="7"/>
        <item x="15"/>
        <item x="2"/>
        <item x="3"/>
        <item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axis="axisRow" showAll="0">
      <items count="48">
        <item x="6"/>
        <item x="4"/>
        <item x="19"/>
        <item x="27"/>
        <item x="17"/>
        <item x="5"/>
        <item x="16"/>
        <item x="14"/>
        <item x="44"/>
        <item x="39"/>
        <item x="0"/>
        <item x="9"/>
        <item x="37"/>
        <item x="45"/>
        <item x="20"/>
        <item x="40"/>
        <item x="2"/>
        <item x="11"/>
        <item x="24"/>
        <item x="8"/>
        <item x="23"/>
        <item x="41"/>
        <item x="1"/>
        <item x="29"/>
        <item x="22"/>
        <item x="42"/>
        <item x="25"/>
        <item x="38"/>
        <item x="34"/>
        <item x="30"/>
        <item x="26"/>
        <item x="3"/>
        <item x="36"/>
        <item x="43"/>
        <item x="12"/>
        <item x="10"/>
        <item x="13"/>
        <item x="31"/>
        <item x="21"/>
        <item x="18"/>
        <item x="32"/>
        <item x="35"/>
        <item x="33"/>
        <item x="7"/>
        <item x="28"/>
        <item x="46"/>
        <item x="15"/>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76" showAll="0"/>
    <pivotField showAll="0"/>
    <pivotField numFmtId="179" showAll="0"/>
    <pivotField showAll="0"/>
    <pivotField showAll="0"/>
  </pivotFields>
  <rowFields count="4">
    <field x="0"/>
    <field x="1"/>
    <field x="2"/>
    <field x="4"/>
  </rowFields>
  <rowItems count="271">
    <i>
      <x/>
    </i>
    <i r="1">
      <x v="6"/>
    </i>
    <i r="2">
      <x v="11"/>
    </i>
    <i r="3">
      <x v="1"/>
    </i>
    <i r="3">
      <x v="5"/>
    </i>
    <i r="3">
      <x v="10"/>
    </i>
    <i r="3">
      <x v="16"/>
    </i>
    <i r="3">
      <x v="22"/>
    </i>
    <i r="2">
      <x v="23"/>
    </i>
    <i r="3">
      <x v="31"/>
    </i>
    <i>
      <x v="1"/>
    </i>
    <i r="1">
      <x/>
    </i>
    <i r="2">
      <x v="1"/>
    </i>
    <i r="3">
      <x/>
    </i>
    <i r="1">
      <x v="1"/>
    </i>
    <i r="2">
      <x v="2"/>
    </i>
    <i r="3">
      <x v="10"/>
    </i>
    <i r="3">
      <x v="22"/>
    </i>
    <i r="3">
      <x v="41"/>
    </i>
    <i r="3">
      <x v="42"/>
    </i>
    <i r="1">
      <x v="2"/>
    </i>
    <i r="2">
      <x v="3"/>
    </i>
    <i r="3">
      <x v="2"/>
    </i>
    <i r="1">
      <x v="3"/>
    </i>
    <i r="2">
      <x v="4"/>
    </i>
    <i r="3">
      <x/>
    </i>
    <i r="3">
      <x v="17"/>
    </i>
    <i r="3">
      <x v="34"/>
    </i>
    <i r="3">
      <x v="35"/>
    </i>
    <i r="3">
      <x v="36"/>
    </i>
    <i r="1">
      <x v="4"/>
    </i>
    <i r="2">
      <x v="5"/>
    </i>
    <i r="3">
      <x/>
    </i>
    <i r="1">
      <x v="6"/>
    </i>
    <i r="2">
      <x v="6"/>
    </i>
    <i r="3">
      <x v="19"/>
    </i>
    <i r="3">
      <x v="22"/>
    </i>
    <i r="2">
      <x v="7"/>
    </i>
    <i r="3">
      <x v="22"/>
    </i>
    <i r="2">
      <x v="8"/>
    </i>
    <i r="3">
      <x v="22"/>
    </i>
    <i r="2">
      <x v="11"/>
    </i>
    <i r="3">
      <x v="1"/>
    </i>
    <i r="3">
      <x v="4"/>
    </i>
    <i r="3">
      <x v="5"/>
    </i>
    <i r="3">
      <x v="6"/>
    </i>
    <i r="3">
      <x v="9"/>
    </i>
    <i r="3">
      <x v="10"/>
    </i>
    <i r="3">
      <x v="11"/>
    </i>
    <i r="3">
      <x v="12"/>
    </i>
    <i r="3">
      <x v="14"/>
    </i>
    <i r="3">
      <x v="16"/>
    </i>
    <i r="3">
      <x v="19"/>
    </i>
    <i r="3">
      <x v="20"/>
    </i>
    <i r="3">
      <x v="22"/>
    </i>
    <i r="3">
      <x v="23"/>
    </i>
    <i r="3">
      <x v="24"/>
    </i>
    <i r="3">
      <x v="27"/>
    </i>
    <i r="3">
      <x v="28"/>
    </i>
    <i r="3">
      <x v="31"/>
    </i>
    <i r="3">
      <x v="38"/>
    </i>
    <i r="3">
      <x v="40"/>
    </i>
    <i r="2">
      <x v="12"/>
    </i>
    <i r="3">
      <x v="22"/>
    </i>
    <i r="3">
      <x v="38"/>
    </i>
    <i r="2">
      <x v="14"/>
    </i>
    <i r="3">
      <x v="22"/>
    </i>
    <i r="2">
      <x v="15"/>
    </i>
    <i r="3">
      <x v="46"/>
    </i>
    <i r="2">
      <x v="16"/>
    </i>
    <i r="3">
      <x v="39"/>
    </i>
    <i r="2">
      <x v="17"/>
    </i>
    <i r="3">
      <x v="22"/>
    </i>
    <i r="2">
      <x v="19"/>
    </i>
    <i r="3">
      <x v="22"/>
    </i>
    <i r="3">
      <x v="26"/>
    </i>
    <i r="2">
      <x v="20"/>
    </i>
    <i r="3">
      <x v="22"/>
    </i>
    <i r="2">
      <x v="21"/>
    </i>
    <i r="3">
      <x v="18"/>
    </i>
    <i r="2">
      <x v="23"/>
    </i>
    <i r="3">
      <x v="31"/>
    </i>
    <i r="2">
      <x v="24"/>
    </i>
    <i r="3">
      <x v="3"/>
    </i>
    <i r="3">
      <x v="4"/>
    </i>
    <i r="3">
      <x v="5"/>
    </i>
    <i r="3">
      <x v="6"/>
    </i>
    <i r="3">
      <x v="7"/>
    </i>
    <i r="3">
      <x v="10"/>
    </i>
    <i r="3">
      <x v="22"/>
    </i>
    <i r="3">
      <x v="30"/>
    </i>
    <i r="3">
      <x v="44"/>
    </i>
    <i r="2">
      <x v="30"/>
    </i>
    <i r="3">
      <x v="43"/>
    </i>
    <i r="2">
      <x v="31"/>
    </i>
    <i r="3">
      <x v="22"/>
    </i>
    <i r="2">
      <x v="33"/>
    </i>
    <i r="3">
      <x v="22"/>
    </i>
    <i r="1">
      <x v="8"/>
    </i>
    <i r="2">
      <x/>
    </i>
    <i r="3">
      <x/>
    </i>
    <i r="2">
      <x v="18"/>
    </i>
    <i r="3">
      <x/>
    </i>
    <i r="1">
      <x v="9"/>
    </i>
    <i r="2">
      <x v="22"/>
    </i>
    <i r="3">
      <x/>
    </i>
    <i r="3">
      <x v="22"/>
    </i>
    <i r="1">
      <x v="11"/>
    </i>
    <i r="2">
      <x v="26"/>
    </i>
    <i r="3">
      <x v="22"/>
    </i>
    <i r="1">
      <x v="13"/>
    </i>
    <i r="2">
      <x v="28"/>
    </i>
    <i r="3">
      <x v="11"/>
    </i>
    <i r="3">
      <x v="22"/>
    </i>
    <i r="1">
      <x v="14"/>
    </i>
    <i r="2">
      <x v="29"/>
    </i>
    <i r="3">
      <x/>
    </i>
    <i r="3">
      <x v="29"/>
    </i>
    <i r="3">
      <x v="32"/>
    </i>
    <i r="3">
      <x v="37"/>
    </i>
    <i r="1">
      <x v="15"/>
    </i>
    <i r="2">
      <x v="32"/>
    </i>
    <i r="3">
      <x/>
    </i>
    <i>
      <x v="2"/>
    </i>
    <i r="1">
      <x v="1"/>
    </i>
    <i r="2">
      <x v="2"/>
    </i>
    <i r="3">
      <x v="41"/>
    </i>
    <i r="1">
      <x v="4"/>
    </i>
    <i r="2">
      <x v="5"/>
    </i>
    <i r="3">
      <x v="15"/>
    </i>
    <i r="3">
      <x v="25"/>
    </i>
    <i r="1">
      <x v="5"/>
    </i>
    <i r="2">
      <x v="10"/>
    </i>
    <i r="3">
      <x v="6"/>
    </i>
    <i r="1">
      <x v="6"/>
    </i>
    <i r="2">
      <x v="10"/>
    </i>
    <i r="3">
      <x v="22"/>
    </i>
    <i r="2">
      <x v="11"/>
    </i>
    <i r="3">
      <x v="1"/>
    </i>
    <i r="3">
      <x v="9"/>
    </i>
    <i r="3">
      <x v="10"/>
    </i>
    <i r="3">
      <x v="19"/>
    </i>
    <i r="3">
      <x v="22"/>
    </i>
    <i r="2">
      <x v="13"/>
    </i>
    <i r="3">
      <x v="22"/>
    </i>
    <i r="2">
      <x v="23"/>
    </i>
    <i r="3">
      <x v="31"/>
    </i>
    <i r="2">
      <x v="24"/>
    </i>
    <i r="3">
      <x v="5"/>
    </i>
    <i r="3">
      <x v="6"/>
    </i>
    <i r="3">
      <x v="22"/>
    </i>
    <i r="3">
      <x v="46"/>
    </i>
    <i r="2">
      <x v="30"/>
    </i>
    <i r="3">
      <x v="43"/>
    </i>
    <i r="1">
      <x v="7"/>
    </i>
    <i r="2">
      <x v="17"/>
    </i>
    <i r="3">
      <x v="21"/>
    </i>
    <i r="1">
      <x v="9"/>
    </i>
    <i r="2">
      <x v="22"/>
    </i>
    <i r="3">
      <x v="22"/>
    </i>
    <i r="1">
      <x v="10"/>
    </i>
    <i r="2">
      <x v="25"/>
    </i>
    <i r="3">
      <x v="1"/>
    </i>
    <i r="3">
      <x v="5"/>
    </i>
    <i r="3">
      <x v="6"/>
    </i>
    <i r="3">
      <x v="9"/>
    </i>
    <i r="3">
      <x v="10"/>
    </i>
    <i r="3">
      <x v="11"/>
    </i>
    <i r="3">
      <x v="15"/>
    </i>
    <i r="3">
      <x v="19"/>
    </i>
    <i r="3">
      <x v="21"/>
    </i>
    <i r="3">
      <x v="22"/>
    </i>
    <i r="3">
      <x v="25"/>
    </i>
    <i r="3">
      <x v="31"/>
    </i>
    <i r="3">
      <x v="33"/>
    </i>
    <i r="3">
      <x v="41"/>
    </i>
    <i r="3">
      <x v="43"/>
    </i>
    <i r="3">
      <x v="46"/>
    </i>
    <i r="1">
      <x v="12"/>
    </i>
    <i r="2">
      <x v="26"/>
    </i>
    <i r="3">
      <x v="33"/>
    </i>
    <i r="2">
      <x v="27"/>
    </i>
    <i r="3">
      <x v="33"/>
    </i>
    <i r="1">
      <x v="13"/>
    </i>
    <i r="2">
      <x v="28"/>
    </i>
    <i r="3">
      <x v="11"/>
    </i>
    <i r="3">
      <x v="22"/>
    </i>
    <i>
      <x v="3"/>
    </i>
    <i r="1">
      <x v="1"/>
    </i>
    <i r="2">
      <x v="2"/>
    </i>
    <i r="3">
      <x v="41"/>
    </i>
    <i r="1">
      <x v="6"/>
    </i>
    <i r="2">
      <x v="11"/>
    </i>
    <i r="3">
      <x v="1"/>
    </i>
    <i r="3">
      <x v="5"/>
    </i>
    <i r="3">
      <x v="6"/>
    </i>
    <i r="3">
      <x v="8"/>
    </i>
    <i r="3">
      <x v="10"/>
    </i>
    <i r="3">
      <x v="12"/>
    </i>
    <i r="3">
      <x v="16"/>
    </i>
    <i r="3">
      <x v="22"/>
    </i>
    <i r="2">
      <x v="15"/>
    </i>
    <i r="3">
      <x v="46"/>
    </i>
    <i r="2">
      <x v="23"/>
    </i>
    <i r="3">
      <x v="31"/>
    </i>
    <i r="2">
      <x v="24"/>
    </i>
    <i r="3">
      <x v="5"/>
    </i>
    <i r="2">
      <x v="30"/>
    </i>
    <i r="3">
      <x v="43"/>
    </i>
    <i r="1">
      <x v="15"/>
    </i>
    <i r="2">
      <x v="32"/>
    </i>
    <i r="3">
      <x v="40"/>
    </i>
    <i>
      <x v="4"/>
    </i>
    <i r="1">
      <x v="6"/>
    </i>
    <i r="2">
      <x v="1"/>
    </i>
    <i r="3">
      <x v="22"/>
    </i>
    <i r="2">
      <x v="5"/>
    </i>
    <i r="3">
      <x/>
    </i>
    <i r="2">
      <x v="6"/>
    </i>
    <i r="3">
      <x v="19"/>
    </i>
    <i r="2">
      <x v="8"/>
    </i>
    <i r="3">
      <x v="45"/>
    </i>
    <i r="2">
      <x v="11"/>
    </i>
    <i r="3">
      <x v="1"/>
    </i>
    <i r="3">
      <x v="10"/>
    </i>
    <i r="3">
      <x v="11"/>
    </i>
    <i r="3">
      <x v="13"/>
    </i>
    <i r="3">
      <x v="16"/>
    </i>
    <i r="3">
      <x v="22"/>
    </i>
    <i r="3">
      <x v="23"/>
    </i>
    <i r="3">
      <x v="24"/>
    </i>
    <i r="2">
      <x v="12"/>
    </i>
    <i r="3">
      <x v="22"/>
    </i>
    <i r="2">
      <x v="22"/>
    </i>
    <i r="3">
      <x v="22"/>
    </i>
    <i r="2">
      <x v="24"/>
    </i>
    <i r="3">
      <x v="5"/>
    </i>
    <i r="3">
      <x v="6"/>
    </i>
    <i r="3">
      <x v="22"/>
    </i>
    <i r="3">
      <x v="44"/>
    </i>
    <i r="2">
      <x v="26"/>
    </i>
    <i r="3">
      <x v="22"/>
    </i>
    <i r="2">
      <x v="33"/>
    </i>
    <i r="3">
      <x v="22"/>
    </i>
    <i r="1">
      <x v="11"/>
    </i>
    <i r="2">
      <x v="26"/>
    </i>
    <i r="3">
      <x v="22"/>
    </i>
    <i r="1">
      <x v="15"/>
    </i>
    <i r="2">
      <x v="32"/>
    </i>
    <i r="3">
      <x v="22"/>
    </i>
    <i r="3">
      <x v="45"/>
    </i>
    <i>
      <x v="5"/>
    </i>
    <i r="1">
      <x v="6"/>
    </i>
    <i r="2">
      <x v="11"/>
    </i>
    <i r="3">
      <x v="22"/>
    </i>
    <i>
      <x v="6"/>
    </i>
    <i r="1">
      <x v="6"/>
    </i>
    <i r="2">
      <x v="9"/>
    </i>
    <i r="3">
      <x v="5"/>
    </i>
    <i r="2">
      <x v="11"/>
    </i>
    <i r="3">
      <x v="4"/>
    </i>
    <i r="3">
      <x v="5"/>
    </i>
    <i r="3">
      <x v="22"/>
    </i>
    <i r="3">
      <x v="31"/>
    </i>
    <i r="2">
      <x v="24"/>
    </i>
    <i r="3">
      <x v="5"/>
    </i>
    <i>
      <x v="7"/>
    </i>
    <i r="1">
      <x v="6"/>
    </i>
    <i r="2">
      <x v="24"/>
    </i>
    <i r="3">
      <x v="5"/>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8A1ACF-4B1E-DB43-BF45-39B7AA0E2B79}" name="피벗 테이블11" cacheId="9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64:M138" firstHeaderRow="0" firstDataRow="1" firstDataCol="1"/>
  <pivotFields count="27">
    <pivotField axis="axisRow" showAll="0">
      <items count="9">
        <item x="0"/>
        <item x="1"/>
        <item x="2"/>
        <item x="3"/>
        <item x="4"/>
        <item x="5"/>
        <item x="6"/>
        <item x="7"/>
        <item t="default"/>
      </items>
    </pivotField>
    <pivotField axis="axisRow" showAll="0">
      <items count="17">
        <item h="1" x="10"/>
        <item x="5"/>
        <item x="8"/>
        <item h="1" x="4"/>
        <item h="1" x="9"/>
        <item h="1" x="13"/>
        <item x="0"/>
        <item h="1" x="14"/>
        <item h="1" x="1"/>
        <item h="1" x="6"/>
        <item h="1" x="12"/>
        <item h="1" x="7"/>
        <item h="1" x="15"/>
        <item x="2"/>
        <item h="1" x="3"/>
        <item h="1" x="11"/>
        <item t="default"/>
      </items>
    </pivotField>
    <pivotField axis="axisRow" showAll="0">
      <items count="35">
        <item x="11"/>
        <item x="21"/>
        <item x="9"/>
        <item x="17"/>
        <item x="8"/>
        <item x="18"/>
        <item x="5"/>
        <item x="20"/>
        <item x="27"/>
        <item x="33"/>
        <item x="30"/>
        <item x="0"/>
        <item x="19"/>
        <item x="31"/>
        <item x="16"/>
        <item x="10"/>
        <item x="14"/>
        <item x="25"/>
        <item x="3"/>
        <item x="24"/>
        <item x="22"/>
        <item x="23"/>
        <item x="12"/>
        <item x="1"/>
        <item x="2"/>
        <item x="29"/>
        <item x="13"/>
        <item x="32"/>
        <item x="6"/>
        <item x="7"/>
        <item x="4"/>
        <item x="26"/>
        <item x="28"/>
        <item x="1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176" showAll="0"/>
    <pivotField showAll="0"/>
    <pivotField numFmtId="179" showAll="0"/>
    <pivotField showAll="0"/>
    <pivotField showAll="0"/>
  </pivotFields>
  <rowFields count="3">
    <field x="0"/>
    <field x="1"/>
    <field x="2"/>
  </rowFields>
  <rowItems count="74">
    <i>
      <x/>
    </i>
    <i r="1">
      <x v="6"/>
    </i>
    <i r="2">
      <x v="11"/>
    </i>
    <i r="2">
      <x v="23"/>
    </i>
    <i>
      <x v="1"/>
    </i>
    <i r="1">
      <x v="1"/>
    </i>
    <i r="2">
      <x v="2"/>
    </i>
    <i r="1">
      <x v="2"/>
    </i>
    <i r="2">
      <x v="3"/>
    </i>
    <i r="1">
      <x v="6"/>
    </i>
    <i r="2">
      <x v="6"/>
    </i>
    <i r="2">
      <x v="7"/>
    </i>
    <i r="2">
      <x v="8"/>
    </i>
    <i r="2">
      <x v="11"/>
    </i>
    <i r="2">
      <x v="12"/>
    </i>
    <i r="2">
      <x v="14"/>
    </i>
    <i r="2">
      <x v="15"/>
    </i>
    <i r="2">
      <x v="16"/>
    </i>
    <i r="2">
      <x v="17"/>
    </i>
    <i r="2">
      <x v="19"/>
    </i>
    <i r="2">
      <x v="20"/>
    </i>
    <i r="2">
      <x v="21"/>
    </i>
    <i r="2">
      <x v="23"/>
    </i>
    <i r="2">
      <x v="24"/>
    </i>
    <i r="2">
      <x v="30"/>
    </i>
    <i r="2">
      <x v="31"/>
    </i>
    <i r="2">
      <x v="33"/>
    </i>
    <i r="1">
      <x v="13"/>
    </i>
    <i r="2">
      <x v="28"/>
    </i>
    <i>
      <x v="2"/>
    </i>
    <i r="1">
      <x v="1"/>
    </i>
    <i r="2">
      <x v="2"/>
    </i>
    <i r="1">
      <x v="6"/>
    </i>
    <i r="2">
      <x v="10"/>
    </i>
    <i r="2">
      <x v="11"/>
    </i>
    <i r="2">
      <x v="13"/>
    </i>
    <i r="2">
      <x v="23"/>
    </i>
    <i r="2">
      <x v="24"/>
    </i>
    <i r="2">
      <x v="30"/>
    </i>
    <i r="1">
      <x v="13"/>
    </i>
    <i r="2">
      <x v="28"/>
    </i>
    <i>
      <x v="3"/>
    </i>
    <i r="1">
      <x v="1"/>
    </i>
    <i r="2">
      <x v="2"/>
    </i>
    <i r="1">
      <x v="6"/>
    </i>
    <i r="2">
      <x v="11"/>
    </i>
    <i r="2">
      <x v="15"/>
    </i>
    <i r="2">
      <x v="23"/>
    </i>
    <i r="2">
      <x v="24"/>
    </i>
    <i r="2">
      <x v="30"/>
    </i>
    <i>
      <x v="4"/>
    </i>
    <i r="1">
      <x v="6"/>
    </i>
    <i r="2">
      <x v="1"/>
    </i>
    <i r="2">
      <x v="5"/>
    </i>
    <i r="2">
      <x v="6"/>
    </i>
    <i r="2">
      <x v="8"/>
    </i>
    <i r="2">
      <x v="11"/>
    </i>
    <i r="2">
      <x v="12"/>
    </i>
    <i r="2">
      <x v="22"/>
    </i>
    <i r="2">
      <x v="24"/>
    </i>
    <i r="2">
      <x v="26"/>
    </i>
    <i r="2">
      <x v="33"/>
    </i>
    <i>
      <x v="5"/>
    </i>
    <i r="1">
      <x v="6"/>
    </i>
    <i r="2">
      <x v="11"/>
    </i>
    <i>
      <x v="6"/>
    </i>
    <i r="1">
      <x v="6"/>
    </i>
    <i r="2">
      <x v="9"/>
    </i>
    <i r="2">
      <x v="11"/>
    </i>
    <i r="2">
      <x v="24"/>
    </i>
    <i>
      <x v="7"/>
    </i>
    <i r="1">
      <x v="6"/>
    </i>
    <i r="2">
      <x v="24"/>
    </i>
    <i t="grand">
      <x/>
    </i>
  </rowItems>
  <colFields count="1">
    <field x="-2"/>
  </colFields>
  <colItems count="12">
    <i>
      <x/>
    </i>
    <i i="1">
      <x v="1"/>
    </i>
    <i i="2">
      <x v="2"/>
    </i>
    <i i="3">
      <x v="3"/>
    </i>
    <i i="4">
      <x v="4"/>
    </i>
    <i i="5">
      <x v="5"/>
    </i>
    <i i="6">
      <x v="6"/>
    </i>
    <i i="7">
      <x v="7"/>
    </i>
    <i i="8">
      <x v="8"/>
    </i>
    <i i="9">
      <x v="9"/>
    </i>
    <i i="10">
      <x v="10"/>
    </i>
    <i i="11">
      <x v="11"/>
    </i>
  </colItems>
  <dataFields count="12">
    <dataField name="합계 : Apr 2025(KRW)" fld="11" baseField="0" baseItem="0"/>
    <dataField name="합계 : May 2025(KRW)" fld="12" baseField="0" baseItem="0"/>
    <dataField name="합계 : June 2025(KRW)" fld="13" baseField="0" baseItem="0"/>
    <dataField name="합계 : July 2025(KRW)" fld="14" baseField="0" baseItem="0"/>
    <dataField name="합계 : Aug 2025(KRW)" fld="15" baseField="0" baseItem="0"/>
    <dataField name="합계 : Sep 2025(KRW)" fld="16" baseField="0" baseItem="0"/>
    <dataField name="합계 : Oct 2025(KRW)" fld="17" baseField="0" baseItem="0"/>
    <dataField name="합계 :  Nov 2025(KRW) " fld="18" baseField="0" baseItem="0"/>
    <dataField name="합계 : Dec 2025(KRW) " fld="19" baseField="0" baseItem="0"/>
    <dataField name="합계 : Jan 2026(KRW)" fld="20" baseField="0" baseItem="0"/>
    <dataField name="합계 : Feb 2026(KRW)" fld="21" baseField="0" baseItem="0"/>
    <dataField name="합계 : Mar 2026(KRW)" fld="22" baseField="0" baseItem="0" numFmtId="176"/>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D5D839-86A5-844A-A05D-E39A414AEBF1}" name="표9" displayName="표9" ref="A3:AA579" totalsRowShown="0" dataDxfId="240" tableBorderDxfId="239">
  <sortState xmlns:xlrd2="http://schemas.microsoft.com/office/spreadsheetml/2017/richdata2" ref="A4:AA579">
    <sortCondition ref="A3:A579"/>
  </sortState>
  <tableColumns count="27">
    <tableColumn id="1" xr3:uid="{2206487D-AC3E-6F4F-B32C-15DDA9E8467D}" name="Provider" dataDxfId="238">
      <calculatedColumnFormula>VLOOKUP($H4,Azure!$A:$H,2,0)</calculatedColumnFormula>
    </tableColumn>
    <tableColumn id="2" xr3:uid="{F87B43E0-9154-2442-98F8-D38DB5507944}" name="Entity" dataDxfId="237">
      <calculatedColumnFormula>VLOOKUP($H4,Azure!$A:$H,3,0)</calculatedColumnFormula>
    </tableColumn>
    <tableColumn id="3" xr3:uid="{BABB6075-38B1-8E4E-BBA4-25B429A743E4}" name="Studio" dataDxfId="236">
      <calculatedColumnFormula>VLOOKUP($H4,Azure!$A:$H,4,0)</calculatedColumnFormula>
    </tableColumn>
    <tableColumn id="4" xr3:uid="{FD31EA1E-97B8-6D45-AA4E-7A62F80C95F2}" name="Team" dataDxfId="235">
      <calculatedColumnFormula>VLOOKUP($H4,Azure!$A:$H,5,0)</calculatedColumnFormula>
    </tableColumn>
    <tableColumn id="5" xr3:uid="{874A9774-1D2C-9A40-AA80-3108A10E1241}" name="Project" dataDxfId="234">
      <calculatedColumnFormula>VLOOKUP($H4,Azure!$A:$H,6,0)</calculatedColumnFormula>
    </tableColumn>
    <tableColumn id="6" xr3:uid="{348D657D-9EFC-6F4B-B907-FB8C660D6D26}" name="Team code" dataDxfId="233">
      <calculatedColumnFormula>VLOOKUP(표9[[#This Row],[Team]],표1[[내역]:[코스트 센터]],2,0)</calculatedColumnFormula>
    </tableColumn>
    <tableColumn id="7" xr3:uid="{804A294B-1443-5043-8D51-47408CC253C7}" name="Project code" dataDxfId="232">
      <calculatedColumnFormula>VLOOKUP(표9[[#This Row],[Project]],표2[],2,0)</calculatedColumnFormula>
    </tableColumn>
    <tableColumn id="8" xr3:uid="{53519C1E-7645-1E4B-AF76-39B451282046}" name="Teams Room Pro" dataDxfId="231"/>
    <tableColumn id="9" xr3:uid="{8796B878-FC07-414C-95B0-DD711CFC043D}" name="Owner" dataDxfId="230"/>
    <tableColumn id="10" xr3:uid="{1748AE00-ED56-4B40-9984-30770D0FDAEE}" name="Cost Reviewer" dataDxfId="229">
      <calculatedColumnFormula>VLOOKUP($H4,Azure!$A:$H,8,0)</calculatedColumnFormula>
    </tableColumn>
    <tableColumn id="11" xr3:uid="{BAA4FC83-6594-CB4B-8741-56057F1F8DF3}" name="verified" dataDxfId="228"/>
    <tableColumn id="13" xr3:uid="{E0B5A25A-246A-8D47-9901-A4CE4B91D818}" name="May 2025(KRW)" dataDxfId="227"/>
    <tableColumn id="14" xr3:uid="{00E21F51-A3B9-DF45-9793-0BCD4F644D62}" name="June 2025(KRW)" dataDxfId="226"/>
    <tableColumn id="15" xr3:uid="{001DB77C-80A3-AD46-A71F-A57100EA25EB}" name="July 2025(KRW)" dataDxfId="225"/>
    <tableColumn id="16" xr3:uid="{78F22E9E-F997-1847-8321-629FAF1070AF}" name="Aug 2025(KRW)" dataDxfId="224"/>
    <tableColumn id="17" xr3:uid="{335C8A13-371C-E943-A1B4-3FD1CFF8B66C}" name="Sep 2025(KRW)" dataDxfId="223"/>
    <tableColumn id="18" xr3:uid="{4B75AD64-4EC1-DB42-A65A-34CA9D3D6D7D}" name="Oct 2025(KRW)" dataDxfId="222"/>
    <tableColumn id="19" xr3:uid="{A9A3A757-03C8-CA40-90AD-46B0B91E1BF4}" name=" Nov 2025(KRW) " dataDxfId="221"/>
    <tableColumn id="20" xr3:uid="{78A30AB6-0EC4-2240-848F-685DDC2AAD4C}" name="Dec 2025(KRW) " dataDxfId="220"/>
    <tableColumn id="21" xr3:uid="{9C39A993-6D7A-5144-AE0E-3533086C873B}" name="Jan 2026(KRW)" dataDxfId="219"/>
    <tableColumn id="22" xr3:uid="{2755937E-10CC-7C4E-BAF0-CFA3658B0AB8}" name="Feb 2026(KRW)" dataDxfId="218"/>
    <tableColumn id="23" xr3:uid="{D3007260-7CCC-7F42-8265-9192E446D69B}" name="Mar 2026(KRW)" dataDxfId="217"/>
    <tableColumn id="12" xr3:uid="{7894CC5E-EE36-6342-8EDA-10FD749FE41E}" name="Apr 2027(KRW)" dataDxfId="216" dataCellStyle="쉼표 [0]">
      <calculatedColumnFormula>ROUND(표9[[#This Row],[Apr 2026 (USD or KRW)]],0)</calculatedColumnFormula>
    </tableColumn>
    <tableColumn id="24" xr3:uid="{CD0C3E95-E3A3-A640-B60D-4F76D2EA1684}" name="Apr 2026 (USD or KRW)" dataDxfId="215"/>
    <tableColumn id="25" xr3:uid="{A29E1803-1E18-DC43-A17C-CCFDC23FA6AD}" name="Diff (KRW)_x000a_(this month - last month)" dataDxfId="214">
      <calculatedColumnFormula>표9[[#This Row],[Apr 2027(KRW)]]-표9[[#This Row],[Mar 2026(KRW)]]</calculatedColumnFormula>
    </tableColumn>
    <tableColumn id="26" xr3:uid="{1C50AAF8-6480-374D-AC46-B96CB570A8C5}" name="Diff rate" dataDxfId="213">
      <calculatedColumnFormula>IF(V4=0,"",(W4-V4)/V4)</calculatedColumnFormula>
    </tableColumn>
    <tableColumn id="27" xr3:uid="{CF2146BC-09EF-7043-9259-31672439570C}" name="Entity Code" dataDxfId="212">
      <calculatedColumnFormula>VLOOKUP(표9[[#This Row],[Team]],표1[],3,0)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9976B1-BA98-D047-A3C5-E883A0BA16F3}" name="표3" displayName="표3" ref="A2:J31" totalsRowShown="0" headerRowDxfId="84" dataDxfId="83">
  <autoFilter ref="A2:J31" xr:uid="{AC9976B1-BA98-D047-A3C5-E883A0BA16F3}"/>
  <tableColumns count="10">
    <tableColumn id="1" xr3:uid="{B449B026-F5EB-B54A-A00D-23667392AED6}" name="Account ID" dataDxfId="82"/>
    <tableColumn id="2" xr3:uid="{605D9EF2-60A8-A244-9CF5-397B2A3276D8}" name="Provider" dataDxfId="81"/>
    <tableColumn id="3" xr3:uid="{988E3FD6-6C87-2C4B-A7B0-FED2C380FCEE}" name="Entity" dataDxfId="80"/>
    <tableColumn id="4" xr3:uid="{5CFB5737-FB7D-544A-B5B3-FE645F798B2E}" name="Studio" dataDxfId="79"/>
    <tableColumn id="5" xr3:uid="{F97A1374-87FB-8A4B-BF41-F41FE26FB014}" name="Team" dataDxfId="78"/>
    <tableColumn id="6" xr3:uid="{611F4DCF-1FA9-5646-9F84-41EC27333900}" name="Project" dataDxfId="77"/>
    <tableColumn id="7" xr3:uid="{F293A4AE-008D-E540-9837-5E1BB7CC4F3E}" name="Owner" dataDxfId="76"/>
    <tableColumn id="8" xr3:uid="{C10B018B-2B84-F247-8267-D467EC6AC0D7}" name="Cost verifier" dataDxfId="75"/>
    <tableColumn id="9" xr3:uid="{2A71915A-5298-0C4C-BA4D-7DCA4A8360DF}" name="comment"/>
    <tableColumn id="10" xr3:uid="{23D1EFB2-22FE-5E40-8E59-1EAE5321C0D6}" name="contact verifed?" dataDxfId="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AF9EDA-8055-514A-93F7-3B3AC47035BA}" name="표4" displayName="표4" ref="A2:K339" totalsRowShown="0" headerRowDxfId="73" dataDxfId="72">
  <tableColumns count="11">
    <tableColumn id="1" xr3:uid="{747BE9FE-BC96-044A-A833-A59477F5D09D}" name="Account" dataDxfId="71"/>
    <tableColumn id="2" xr3:uid="{384DB0BE-4727-6044-9AF3-DB28FF35B3CA}" name="Provider" dataDxfId="70"/>
    <tableColumn id="3" xr3:uid="{25FDD2D2-D926-FA41-86C1-634B79D595A8}" name="Entity" dataDxfId="69"/>
    <tableColumn id="4" xr3:uid="{8191F95A-8E1E-5E43-9677-D60EB0257EF2}" name="Studio" dataDxfId="68"/>
    <tableColumn id="5" xr3:uid="{55278ABD-571A-1340-A075-8BBE9AA89C2D}" name="Team" dataDxfId="67"/>
    <tableColumn id="6" xr3:uid="{31AA6EDC-C353-8D4D-B733-93F5DEDFAF59}" name="Project" dataDxfId="66"/>
    <tableColumn id="7" xr3:uid="{BE488A16-20F5-D240-BC77-319A403CD833}" name="Owner" dataDxfId="65"/>
    <tableColumn id="8" xr3:uid="{D13B4D86-0B8B-1547-8F1E-D6AFC610F5AA}" name="Cost verifier" dataDxfId="64"/>
    <tableColumn id="9" xr3:uid="{53669B40-4EE5-FA44-939D-C5F33D62F567}" name="comment" dataDxfId="63"/>
    <tableColumn id="11" xr3:uid="{FB5AAC9C-5828-8E46-B69D-0A315F752AAB}" name="Team code" dataDxfId="62">
      <calculatedColumnFormula>VLOOKUP(표4[[#This Row],[Team]],표1[[내역]:[코스트 센터]],2,0)</calculatedColumnFormula>
    </tableColumn>
    <tableColumn id="12" xr3:uid="{E334B13B-CCA6-BA42-91F5-B617A8F23554}" name="Project code" dataDxfId="61">
      <calculatedColumnFormula>VLOOKUP(표4[[#This Row],[Project]],표2[],2,0)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6355D6-7EF1-5A4C-9461-B162099FBDC8}" name="표5" displayName="표5" ref="A2:J98" totalsRowShown="0" headerRowDxfId="60" dataDxfId="59">
  <tableColumns count="10">
    <tableColumn id="1" xr3:uid="{48B968AF-020D-F142-8C77-D37B8BF0CDBE}" name="Account ID" dataDxfId="58"/>
    <tableColumn id="2" xr3:uid="{7A06B8FC-CBE2-7944-BB95-B492C2A1E798}" name="Provider" dataDxfId="57"/>
    <tableColumn id="3" xr3:uid="{0476113F-02BC-CD4E-8047-3B36564516DC}" name="Entity" dataDxfId="56"/>
    <tableColumn id="4" xr3:uid="{2B9013AE-6F80-7241-B4A2-00549F413873}" name="Studio" dataDxfId="55"/>
    <tableColumn id="5" xr3:uid="{D2791CBC-1055-064B-851E-237A35F47A58}" name="Team" dataDxfId="54"/>
    <tableColumn id="6" xr3:uid="{0523D581-1E26-E441-9B89-7220F14E5556}" name="Project" dataDxfId="53"/>
    <tableColumn id="7" xr3:uid="{AE39426A-CB1D-9740-93D7-C3243CB03300}" name="Owner" dataDxfId="52"/>
    <tableColumn id="8" xr3:uid="{2F19F487-F4AC-8F4E-A763-5921B856EFBA}" name="Cost verifier" dataDxfId="51"/>
    <tableColumn id="9" xr3:uid="{0E4995A9-CB23-DD4F-B718-BEA22F13AEE6}" name="comment" dataDxfId="50"/>
    <tableColumn id="10" xr3:uid="{EF702D75-33A6-B241-AC14-1D9DC689ACE8}" name="contact verifed?" dataDxfId="4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87FE81-5DB3-C446-BF1E-25FB74A60658}" name="표7" displayName="표7" ref="A2:J21" totalsRowShown="0" headerRowDxfId="48" dataDxfId="47">
  <autoFilter ref="A2:J21" xr:uid="{9387FE81-5DB3-C446-BF1E-25FB74A60658}"/>
  <tableColumns count="10">
    <tableColumn id="1" xr3:uid="{9470A281-AA54-3E4E-B8B3-E9134BFD130A}" name="Account ID" dataDxfId="46"/>
    <tableColumn id="2" xr3:uid="{5D04A303-2176-4E4C-B2BE-FB712FED1100}" name="Provider" dataDxfId="45"/>
    <tableColumn id="3" xr3:uid="{A4918AD1-5CFA-FA4F-ACB6-AEE52BA318FF}" name="Entity" dataDxfId="44"/>
    <tableColumn id="4" xr3:uid="{4265CDD5-A084-DD4E-B1EB-C28F19F239AC}" name="Studio" dataDxfId="43"/>
    <tableColumn id="5" xr3:uid="{7B712CAB-FDD1-BE47-A8CB-44D44DEF8898}" name="Team" dataDxfId="42"/>
    <tableColumn id="6" xr3:uid="{EBEA595F-A7F9-804E-82DF-AFB1C755618A}" name="Project" dataDxfId="41"/>
    <tableColumn id="7" xr3:uid="{E902145E-1410-994E-9D4B-219A485C3B17}" name="Owner" dataDxfId="40"/>
    <tableColumn id="8" xr3:uid="{C8140F73-5348-CB4A-B502-F397840B8F11}" name="Cost verifier" dataDxfId="39"/>
    <tableColumn id="9" xr3:uid="{E1A27CC7-5658-C842-9A73-F92E562013F3}" name="comment" dataDxfId="38"/>
    <tableColumn id="10" xr3:uid="{A5DE1BC1-C009-1E4D-8160-0615E760161F}" name="contact verifed?" dataDxfId="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CA26A5-AE96-6549-BF35-D5B505BB8A15}" name="표6" displayName="표6" ref="A2:J37" totalsRowShown="0" headerRowDxfId="36" dataDxfId="35">
  <autoFilter ref="A2:J37" xr:uid="{111BED16-11D7-440E-AA81-6E35379172D9}"/>
  <tableColumns count="10">
    <tableColumn id="1" xr3:uid="{75A1A8A5-6B02-4549-B02C-A46B935549B1}" name="Account ID" dataDxfId="34"/>
    <tableColumn id="2" xr3:uid="{7ED6F0CD-499D-2747-985E-F25437E811A4}" name="Provider" dataDxfId="33"/>
    <tableColumn id="3" xr3:uid="{D0C66677-E1AC-014E-A43C-1D63C40E2147}" name="Entity" dataDxfId="32"/>
    <tableColumn id="4" xr3:uid="{2EDEC4AB-785D-D143-BE72-B2C354054E81}" name="Studio" dataDxfId="31"/>
    <tableColumn id="5" xr3:uid="{3CB2FA3F-76AA-FB4B-A421-EB1F9F001EF1}" name="Team" dataDxfId="30"/>
    <tableColumn id="6" xr3:uid="{05F9ABF4-8AAA-5347-BAE5-6769B04BABDB}" name="Project" dataDxfId="29"/>
    <tableColumn id="7" xr3:uid="{AE53321C-C9EF-4947-A1C0-16293CD377CF}" name="Owner" dataDxfId="28"/>
    <tableColumn id="8" xr3:uid="{248C327D-B096-CA44-879F-D9ADCA6B6D43}" name="Cost verifier" dataDxfId="27"/>
    <tableColumn id="9" xr3:uid="{ABD563C6-BE96-DF46-86FB-C41FEF1B0D3C}" name="comment" dataDxfId="26"/>
    <tableColumn id="10" xr3:uid="{EBC8062C-9F21-7F41-83FD-696DC8A1375E}" name="contact verifed?" dataDxfId="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B5F1A5-B1EC-7748-A8C0-E86717A38EE7}" name="표10" displayName="표10" ref="A2:J4" totalsRowShown="0" headerRowDxfId="24" dataDxfId="23">
  <autoFilter ref="A2:J4" xr:uid="{9EB5F1A5-B1EC-7748-A8C0-E86717A38EE7}"/>
  <tableColumns count="10">
    <tableColumn id="1" xr3:uid="{08501C4F-CCB1-0643-883E-BF7A5BD21EEF}" name="Account ID" dataDxfId="22"/>
    <tableColumn id="2" xr3:uid="{A9C40343-F5E1-DE45-80DB-F480C8754FC1}" name="Provider" dataDxfId="21"/>
    <tableColumn id="3" xr3:uid="{A6DA60FD-2289-6F4E-A5F0-BD10279E1123}" name="Entity" dataDxfId="20"/>
    <tableColumn id="4" xr3:uid="{298B9675-1653-5B47-A9EF-29D7AD63A1D3}" name="Studio" dataDxfId="19"/>
    <tableColumn id="5" xr3:uid="{2C3C720D-0B08-B04E-A61E-467A90DC0994}" name="Team" dataDxfId="18"/>
    <tableColumn id="6" xr3:uid="{928231EB-8E59-1D49-B21A-D9F8192CF12F}" name="Project" dataDxfId="17"/>
    <tableColumn id="7" xr3:uid="{DDBFD4E6-043C-B346-8F9E-529A23997A33}" name="Owner" dataDxfId="16"/>
    <tableColumn id="8" xr3:uid="{F23EFCC0-93CE-3B41-A191-3E3B422E691A}" name="Cost verifier" dataDxfId="15"/>
    <tableColumn id="9" xr3:uid="{0AC95494-9ED8-254E-8D8E-99059C8D02CC}" name="comment" dataDxfId="14"/>
    <tableColumn id="10" xr3:uid="{134A1A1C-60E5-D047-9E4E-01A57039470B}" name="contact verifed?" dataDxfId="1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F81694-814C-6142-9975-3348A1BC30E8}" name="표8" displayName="표8" ref="A2:K103" totalsRowShown="0" headerRowDxfId="253" dataDxfId="252">
  <tableColumns count="11">
    <tableColumn id="1" xr3:uid="{7F87F2F5-CE68-9144-8EB1-C945B1729224}" name="Account ID" dataDxfId="251"/>
    <tableColumn id="2" xr3:uid="{F81E630C-D2ED-394E-950D-9F32DE8F1FE7}" name="Provider" dataDxfId="250"/>
    <tableColumn id="3" xr3:uid="{574CCCC8-EEF3-7F4E-BB19-46A71E09604B}" name="Entity" dataDxfId="249"/>
    <tableColumn id="4" xr3:uid="{554A3036-A994-0047-9C1B-644B54C27FA9}" name="Studio" dataDxfId="248"/>
    <tableColumn id="5" xr3:uid="{4D005BE9-5ED9-9D49-BFA9-93F0113697BE}" name="Team" dataDxfId="247"/>
    <tableColumn id="6" xr3:uid="{A9DD74A4-E0AB-F34C-B619-8DE432FE6AE5}" name="Project" dataDxfId="246"/>
    <tableColumn id="7" xr3:uid="{288BD4BB-C9F4-F74F-BA89-CA1008B70AFA}" name="Owner" dataDxfId="245"/>
    <tableColumn id="8" xr3:uid="{3AA928B9-FD6D-5446-9389-429C228AB115}" name="Cost verifier" dataDxfId="244"/>
    <tableColumn id="9" xr3:uid="{0D772394-3857-F249-BA92-F7B1C4EBA162}" name="comment" dataDxfId="243"/>
    <tableColumn id="10" xr3:uid="{307F0CF0-A068-1D4A-BC1C-44447EF2CA6A}" name="contact verifed?" dataDxfId="242"/>
    <tableColumn id="11" xr3:uid="{3F74CC4B-91F0-4C33-BF5A-4AC1ED4263CE}" name="세로 막대형1" dataDxfId="24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AC2FB-B2BA-194B-95C7-CDF5F627EB44}" name="표1" displayName="표1" ref="A1:C4405" totalsRowShown="0">
  <autoFilter ref="A1:C4405" xr:uid="{0F9AC2FB-B2BA-194B-95C7-CDF5F627EB44}"/>
  <tableColumns count="3">
    <tableColumn id="1" xr3:uid="{E84F5EB0-A976-9E42-8A6B-912B7E817A32}" name="내역"/>
    <tableColumn id="2" xr3:uid="{64A7FEA1-1C3C-E341-B356-6ADD89FD31BF}" name="코스트 센터"/>
    <tableColumn id="3" xr3:uid="{3CF912E1-594C-BA47-8EC7-BFCB29D66467}" name="사업 영역"/>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A609E-9A8B-0D4D-863D-E898D3E3DD45}" name="표2" displayName="표2" ref="A1:B132" totalsRowShown="0" headerRowDxfId="12" headerRowBorderDxfId="11" tableBorderDxfId="10">
  <tableColumns count="2">
    <tableColumn id="1" xr3:uid="{A4D68AEE-EE89-EE49-80FE-547C7B547532}" name="List Item" dataDxfId="9"/>
    <tableColumn id="2" xr3:uid="{70E673A6-B6C3-564D-9F98-64CC59038080}" name="List Item Short Code" dataDxfId="8"/>
  </tableColumns>
  <tableStyleInfo name="TableStyleMedium2" showFirstColumn="0" showLastColumn="0" showRowStripes="1" showColumnStripes="0"/>
</table>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6-02-03T09:58:19.21" personId="{06D6E6F8-6DFC-4DE6-8355-CCCE85880323}" id="{ADF86E4F-A7BA-CC43-A750-F52571C0DDFB}">
    <text>수정 시간: 2026. 2. 3. 오후 6:58:19</text>
  </threadedComment>
  <threadedComment ref="M14" dT="2025-07-21T11:44:49.37" personId="{875CEF31-64BA-4A41-9979-987CBF9DD2CA}" id="{D39868AF-6C95-485E-B12A-3D531A187E11}">
    <text xml:space="preserve">+9.4%: DNDM 소프트런칭 확대로 인한 사용량 증가 </text>
  </threadedComment>
  <threadedComment ref="L26" dT="2025-06-19T08:54:10.63" personId="{875CEF31-64BA-4A41-9979-987CBF9DD2CA}" id="{8A9C6E57-0856-43F1-90B9-10FF49930DA6}">
    <text>DLD 조직의 pubg cheat 실시간 탐지 작업 관련해서 현재도 계속 진행 중, 4월에 진행한 실험 및 개발을 5월 중에 적용, 실험을 축소함에 따라 사용량이 일부 감소. 5월 이후로도 실험을 계속 진행 중이라, 여전히 추후 사용량이 늘어날 수 있는 여지가 있음</text>
  </threadedComment>
  <threadedComment ref="M26" dT="2025-07-21T11:43:06.47" personId="{875CEF31-64BA-4A41-9979-987CBF9DD2CA}" id="{EFD7CBE1-54C4-49E2-9C2D-8250B08D5001}">
    <text>- DLD의 Anticheat 이상탐지 배치 뿐 아니라, 소셜 데이터/서드파티 수집 대상 확대로 인해 데이터브릭스의 컴퓨팅 사용량이 증가 
- 연간 크레딧이 얼마 남지 않아 조기 소진될 예정입니다. (예상보다 3개월 일찍 소진) 8월 중으로 연간 크레딧($1,895,666)을 선결제해야할 것으로 예상합니다. 자세한 과금 시점은 데이터브릭스측에 문의예정</text>
  </threadedComment>
  <threadedComment ref="H34" dT="2023-12-22T13:20:42.93" personId="{11E67D95-538C-48DD-8E91-FB3D617FFDA6}" id="{796E653E-CBE8-DC46-91E4-5E6B75D96210}">
    <text>장우현</text>
  </threadedComment>
  <threadedComment ref="L79" dT="2025-06-19T10:20:22.80" personId="{875CEF31-64BA-4A41-9979-987CBF9DD2CA}" id="{5681B57D-2B86-4884-A816-9DC253DD08D8}">
    <text xml:space="preserve">빌드하는 QA 환경의 머신들이 감소(고사양의 빌드머신의 사용량 감소)로 비용 감소  </text>
  </threadedComment>
  <threadedComment ref="H90" dT="2023-12-18T12:42:34.69" personId="{11E67D95-538C-48DD-8E91-FB3D617FFDA6}" id="{3A46B890-93DC-CF40-9FB0-24786178528A}">
    <text>사용중으로보이는데....</text>
  </threadedComment>
  <threadedComment ref="H99" dT="2023-12-18T12:44:46.86" personId="{11E67D95-538C-48DD-8E91-FB3D617FFDA6}" id="{D68C0571-91C8-5044-B80F-B519AF8515E1}">
    <text>실제사용하나?</text>
  </threadedComment>
  <threadedComment ref="M102" dT="2025-07-21T11:44:18.24" personId="{875CEF31-64BA-4A41-9979-987CBF9DD2CA}" id="{3C841A8C-D744-423E-A544-80413CCA6814}">
    <text xml:space="preserve">-39.7%: NEWSTATE 안티치트 EKS 노드 축소 작업으로 사용량 감소 </text>
  </threadedComment>
  <threadedComment ref="M109" dT="2025-07-21T11:44:33.21" personId="{875CEF31-64BA-4A41-9979-987CBF9DD2CA}" id="{0B68B2A2-DF48-4211-B4A8-60488C42C181}">
    <text xml:space="preserve">+34.1%: BLINDSPOT 환경 구성으로 인한 사용량 증가 </text>
  </threadedComment>
  <threadedComment ref="L115" dT="2025-06-19T05:02:38.13" personId="{875CEF31-64BA-4A41-9979-987CBF9DD2CA}" id="{C34A994F-0105-48A8-B2F9-26C775177883}">
    <text>271,524.36/$360,353.39</text>
  </threadedComment>
  <threadedComment ref="M120" dT="2025-07-21T11:40:33.95" personId="{875CEF31-64BA-4A41-9979-987CBF9DD2CA}" id="{6FBFF341-BE6E-4B61-A69A-206B0A9EBB80}">
    <text xml:space="preserve">신규 데이터 수집기들 해당 계정에서 개발 및 배포 진행 중입니다. 3달 정도 증가 감소 반복 예상 </text>
  </threadedComment>
  <threadedComment ref="L121" dT="2025-06-19T04:58:06.62" personId="{875CEF31-64BA-4A41-9979-987CBF9DD2CA}" id="{0C312A3F-0A01-4AAE-86AC-85C14C3FCA4F}">
    <text xml:space="preserve">운영환경 변경 및 작업 추가 대응 중으로 비용 상승 </text>
  </threadedComment>
  <threadedComment ref="L123" dT="2025-06-19T09:29:06.15" personId="{875CEF31-64BA-4A41-9979-987CBF9DD2CA}" id="{7D0E8122-8650-4105-B871-D2A4067A95FF}">
    <text xml:space="preserve">Abyss of Dungeons(DNDM)의 소프트 런칭 국가 확장에 따라, 봇을 추가하고 테스트를 진행하는 과정에서 발생 </text>
  </threadedComment>
  <threadedComment ref="L154" dT="2025-06-19T04:54:32.90" personId="{875CEF31-64BA-4A41-9979-987CBF9DD2CA}" id="{23893A98-493C-4941-9D64-8D6B7AD633E4}">
    <text xml:space="preserve">inZOI 런칭이후 트래픽 감소에 따라 지속적으로 컴팩션작업을 해온 결과 </text>
  </threadedComment>
  <threadedComment ref="H157" dT="2024-11-20T02:08:13.82" personId="{875CEF31-64BA-4A41-9979-987CBF9DD2CA}" id="{BBAA8818-7541-4252-AB2E-9E8F0EAE6F02}">
    <text xml:space="preserve">(라이브 전) 테스트환경 계정 </text>
  </threadedComment>
  <threadedComment ref="L157" dT="2025-06-19T04:53:51.55" personId="{875CEF31-64BA-4A41-9979-987CBF9DD2CA}" id="{1C04F86F-EADE-4CFB-A165-87D83754D4C6}">
    <text xml:space="preserve">6월 소프트런칭 서비스지역 확장 작업으로 인해  신규 서비스 환경 추가와 테스트로 인해 비용 증가 </text>
  </threadedComment>
  <threadedComment ref="M163" dT="2025-07-21T11:43:42.44" personId="{875CEF31-64BA-4A41-9979-987CBF9DD2CA}" id="{0218C5A3-13B9-4F93-A5E2-BFDC7C455619}">
    <text xml:space="preserve">- Thinkingdata 솔루션 도입을 Flyway Games와 PoC 진행 중
- 데이터가 적재됨에 따라 비용이 올라갈 수 있음
</text>
  </threadedComment>
  <threadedComment ref="M220" dT="2025-07-21T11:45:45.24" personId="{875CEF31-64BA-4A41-9979-987CBF9DD2CA}" id="{86C631FF-6476-43E4-9FB0-8983FCB718BC}">
    <text>- prod  환경 세팅 및 prod에서의 단위 테스트로 사용
- 해당 계정의 resource 는 현재 전부 사용하지 않아 이후 감소 로 나올 예정</text>
  </threadedComment>
  <threadedComment ref="M221" dT="2025-07-21T11:45:20.77" personId="{875CEF31-64BA-4A41-9979-987CBF9DD2CA}" id="{4CF26E08-75F6-442D-AAD2-D8830EE8A0CA}">
    <text>qa 환경 세팅 및 개발 팀과의 연동 테스트로 인해 증가</text>
  </threadedComment>
  <threadedComment ref="M228" dT="2025-07-21T11:46:02.46" personId="{875CEF31-64BA-4A41-9979-987CBF9DD2CA}" id="{D4D91147-9ADA-4A26-AD13-2251677FC16F}">
    <text>qa 환경 세팅 및 개발 팀과의 연동 테스트로 인해 증가</text>
  </threadedComment>
  <threadedComment ref="H236" dT="2023-12-22T13:23:45.93" personId="{11E67D95-538C-48DD-8E91-FB3D617FFDA6}" id="{7CF4D032-D7B0-224E-BE30-D1CD308586EF}" done="1">
    <text>박효열</text>
  </threadedComment>
  <threadedComment ref="L240" dT="2025-06-19T05:01:43.88" personId="{875CEF31-64BA-4A41-9979-987CBF9DD2CA}" id="{91090162-34BA-4FA8-970F-8813D6EF086F}">
    <text>25년 EBC 크레딧 적용 ($10,000)</text>
  </threadedComment>
  <threadedComment ref="M242" dT="2025-07-21T11:42:22.69" personId="{875CEF31-64BA-4A41-9979-987CBF9DD2CA}" id="{3EBBD00C-FEAB-4844-8831-4C17F6E24E52}">
    <text>HUB 클라우드 이관으로 비용 증가, 2달정도사용 살펴본 후 방안 찾을 예정</text>
  </threadedComment>
  <threadedComment ref="M259" dT="2025-07-21T11:46:25.09" personId="{875CEF31-64BA-4A41-9979-987CBF9DD2CA}" id="{BC99A50B-8D0A-46DD-A2C4-46D63C0753E0}">
    <text xml:space="preserve">-41% : 서비스 종료에 따른 서버 축소 및 스팩변경으로 인하여 비용 감소 </text>
  </threadedComment>
  <threadedComment ref="L266" dT="2025-06-19T10:19:51.80" personId="{875CEF31-64BA-4A41-9979-987CBF9DD2CA}" id="{633E095B-10CE-4D9C-BCE1-4832DCE9A633}">
    <text>4월에 적용된 1분기 MAP 크레딧이 제외되면서 금액이 상승한 것으로 보임</text>
  </threadedComment>
  <threadedComment ref="L271" dT="2025-06-19T04:50:17.59" personId="{875CEF31-64BA-4A41-9979-987CBF9DD2CA}" id="{71F91E03-0B0E-4F97-A91E-78915D709EDC}">
    <text>게임 이벤트용 MongoDB의 사용량이 소폭 감소</text>
  </threadedComment>
  <threadedComment ref="M271" dT="2025-07-21T11:41:11.73" personId="{875CEF31-64BA-4A41-9979-987CBF9DD2CA}" id="{089BB868-560F-4AE0-9F60-771C22832B80}">
    <text xml:space="preserve">지난달에 비해 인프라 변동사항이 없습니다 (MongoDB 사용량이 소폭 감소중) </text>
  </threadedComment>
  <threadedComment ref="M368" dT="2025-07-22T09:01:47.53" personId="{875CEF31-64BA-4A41-9979-987CBF9DD2CA}" id="{2D46736F-EE30-4FCA-991A-B22DA20FFB1F}">
    <text>EBC 18,000,000원 포함</text>
  </threadedComment>
  <threadedComment ref="L369" dT="2025-06-18T07:56:33.97" personId="{875CEF31-64BA-4A41-9979-987CBF9DD2CA}" id="{15770DF0-9082-4D26-9B66-F74A71982FB3}">
    <text>Krafton 홈페이지 CDN 테스트때문에 비용상승</text>
  </threadedComment>
  <threadedComment ref="H478" dT="2024-08-19T04:53:37.84" personId="{875CEF31-64BA-4A41-9979-987CBF9DD2CA}" id="{CCC6CC34-013B-4C31-ADF3-9DB30F4FD205}">
    <text>Datadog_Subnautica2 -&gt; Unknown Worlds 변경</text>
  </threadedComment>
  <threadedComment ref="H479" dT="2024-08-19T04:53:37.84" personId="{875CEF31-64BA-4A41-9979-987CBF9DD2CA}" id="{09994156-15F3-B44A-894C-87C78F26C300}">
    <text>Datadog_Subnautica2 -&gt; Unknown Worlds 변경</text>
  </threadedComment>
  <threadedComment ref="L516" dT="2025-06-19T08:50:15.73" personId="{875CEF31-64BA-4A41-9979-987CBF9DD2CA}" id="{403D9AB3-D852-401D-8CEB-50A5BDC47DF7}">
    <text xml:space="preserve">3월 게임 출시에 맞춰 일시적으로 늘려 운영했으나 4월부터 점진적으로 사용량을 줄이고 있음
</text>
  </threadedComment>
  <threadedComment ref="H537" dT="2024-04-15T02:10:14.26" personId="{875CEF31-64BA-4A41-9979-987CBF9DD2CA}" id="{D9C8563A-0C06-4A86-B57E-0FD4040572E2}">
    <text>자회사 새로 생성하려면 계약서를 수정해야해서 어려움</text>
  </threadedComment>
  <threadedComment ref="L537" dT="2025-06-20T06:23:39.08" personId="{875CEF31-64BA-4A41-9979-987CBF9DD2CA}" id="{4ADD4323-F3B9-481E-8561-019E27A7964D}">
    <text xml:space="preserve">최적화와 환경정리로 인한 비용감소, 7월에는 마케팅하고 소량 로드테스트로 조금 증가할 예정 </text>
  </threadedComment>
  <threadedComment ref="M537" dT="2025-07-21T11:51:23.07" personId="{875CEF31-64BA-4A41-9979-987CBF9DD2CA}" id="{47B27EEE-09C2-48CF-8367-3BAE9576923A}">
    <text>내부에서 진행하는 브라질 2차 베타 테스트로 비용 소폭 상승
6월, 7월도 5월과 유사하게 비용이 나올 것으로 예상</text>
  </threadedComment>
  <threadedComment ref="H572" dT="2023-12-08T07:49:00.18" personId="{030DC8E6-E9C0-44FD-B1B1-DD059A193C6D}" id="{867490FD-F05A-BB4E-BA1C-DFF3E025938A}">
    <text xml:space="preserve">PUBG PC/Console &amp; Console </text>
  </threadedComment>
  <threadedComment ref="H573" dT="2023-12-08T07:48:36.86" personId="{030DC8E6-E9C0-44FD-B1B1-DD059A193C6D}" id="{1A9B0FB2-B18D-4B4E-87ED-F3FE07E4D55D}">
    <text xml:space="preserve">PUBG KR/JP service </text>
  </threadedComment>
  <threadedComment ref="H574" dT="2023-12-08T07:50:07.15" personId="{030DC8E6-E9C0-44FD-B1B1-DD059A193C6D}" id="{5C5F7BEF-8514-5A42-8022-0AD1EC7CDFFF}">
    <text>러시아 Users 크래프톤 계정
현재는 PUBG user 계정, 향후 XTMR 포함 예정</text>
  </threadedComment>
  <threadedComment ref="H575" dT="2025-05-30T01:11:36.43" personId="{1385B937-78C0-4F76-9230-4EEEDA939C93}" id="{913EF799-A961-400C-B399-70AA54CA4043}">
    <text>25년 7월부터 Player Support Team 에서 COS 상품 사용 예정 비용 귀속 및 검수요청은 권명숙님</text>
  </threadedComment>
  <threadedComment ref="M575" dT="2025-07-22T07:34:19.61" personId="{1385B937-78C0-4F76-9230-4EEEDA939C93}" id="{3C9DAE79-39F9-4F07-9DF7-48F801117B4D}">
    <text>Player Support Team 사용 비용</text>
  </threadedComment>
  <threadedComment ref="H577" dT="2023-12-08T07:50:23.99" personId="{030DC8E6-E9C0-44FD-B1B1-DD059A193C6D}" id="{FE5398DB-AF50-D44E-8DB5-4F1E40BC0324}">
    <text xml:space="preserve">Service Infra 팀 QA Test 계정 </text>
  </threadedComment>
  <threadedComment ref="H578" dT="2023-12-08T07:49:47.22" personId="{030DC8E6-E9C0-44FD-B1B1-DD059A193C6D}" id="{E911A4FF-99D5-49E3-929D-1B4779A3E440}">
    <text xml:space="preserve">형상 관리 테스트 계정 </text>
  </threadedComment>
  <threadedComment ref="L579" dT="2025-06-20T09:02:50.50" personId="{875CEF31-64BA-4A41-9979-987CBF9DD2CA}" id="{4C72878A-2156-40B9-9BE7-31E56E69B35D}">
    <text xml:space="preserve">유저수 증가로 인한 머신사용량 증가 </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4-01-03T05:15:14.10" personId="{11E67D95-538C-48DD-8E91-FB3D617FFDA6}" id="{9034A153-4F3E-4C69-9DD7-F37C60C85A37}">
    <text>Contact?
* owner
* cost verifier</text>
  </threadedComment>
  <threadedComment ref="H5" dT="2024-05-27T04:47:39.32" personId="{875CEF31-64BA-4A41-9979-987CBF9DD2CA}" id="{E3D96019-1595-4DDD-965F-44BBE0E25A3B}">
    <text>김태완님으로 변경필요</text>
  </threadedComment>
</ThreadedComments>
</file>

<file path=xl/threadedComments/threadedComment3.xml><?xml version="1.0" encoding="utf-8"?>
<ThreadedComments xmlns="http://schemas.microsoft.com/office/spreadsheetml/2018/threadedcomments" xmlns:x="http://schemas.openxmlformats.org/spreadsheetml/2006/main">
  <threadedComment ref="J2" dT="2024-01-03T05:15:14.10" personId="{11E67D95-538C-48DD-8E91-FB3D617FFDA6}" id="{CC002D7C-77A6-49B7-8722-EF36C91281C0}">
    <text>Contact?
* owner
* cost verifier</text>
  </threadedComment>
  <threadedComment ref="G7" dT="2023-12-26T08:23:30.25" personId="{11E67D95-538C-48DD-8E91-FB3D617FFDA6}" id="{D9130AEB-0A7C-4288-9086-3B5BD96C9237}">
    <text>담당자 확인 요청 상태</text>
  </threadedComment>
  <threadedComment ref="I11" dT="2024-01-04T05:15:06.30" personId="{11E67D95-538C-48DD-8E91-FB3D617FFDA6}" id="{2E0489F4-9B19-4551-83D8-CEA5C1EAE2C6}">
    <text>유상규:우현님. 어제 문의 주신 AWS_DLD_Prod 의 비용 증가는 현재 2월에 서비스 예정인 ( DLD 에서 만든) OverDare 메타버스 서비스에 사용할 3D 아바타 API 를 위한 인스턴스 사용 증가로 인한 비용 증가 건 입니다.
1월, 2월에 Public 서비스를 위해 EC2 비용 증가가 더 상승 할 것으로 예상 되며, 좀 더 구체적으로 설명 드리자면.
주요 사용 자원이 gpu 컨테이너 ( g4dn.xlarge ) 이기에 비용 증가면에서 cpu 컨테이너보다 더 눈에 띄는 증가분이 보이실 수 있습니다.
위에 말씀 드린 내용처럼 AWS_DLD_Prod@bluehole.net 계정의 1,2월 비용이 12월보다 더 증가할 예정 입니다. 참고 부탁 드립니다.</text>
    <extLst>
      <x:ext xmlns:xltc2="http://schemas.microsoft.com/office/spreadsheetml/2020/threadedcomments2" uri="{F7C98A9C-CBB3-438F-8F68-D28B6AF4A901}">
        <xltc2:checksum>2073068435</xltc2:checksum>
        <xltc2:hyperlink startIndex="304" length="25" url="mailto:AWS_DLD_Prod@bluehole.net"/>
      </x:ext>
    </extLst>
  </threadedComment>
  <threadedComment ref="A18" dT="2024-01-13T03:08:26.15" personId="{11E67D95-538C-48DD-8E91-FB3D617FFDA6}" id="{3B47B248-5DEE-467E-96F9-A4578AFC3466}">
    <text>2023.12.12통합빌링</text>
  </threadedComment>
  <threadedComment ref="E21" dT="2024-07-26T02:39:59.28" personId="{875CEF31-64BA-4A41-9979-987CBF9DD2CA}" id="{9D04FD04-5E20-4BC3-80A0-E6023136D782}">
    <text xml:space="preserve">팀명 변경으로 인한 수정 DL Service Dept. -&gt; DL Service Dev Team -&gt; &gt;AI Agent Dev Team </text>
  </threadedComment>
  <threadedComment ref="G47" dT="2023-12-26T12:03:07.27" personId="{11E67D95-538C-48DD-8E91-FB3D617FFDA6}" id="{2AE477E5-5E36-43F8-8F86-7CBB2544615D}">
    <text xml:space="preserve">ReLU
</text>
  </threadedComment>
  <threadedComment ref="G66" dT="2024-01-04T01:32:02.00" personId="{11E67D95-538C-48DD-8E91-FB3D617FFDA6}" id="{24052DC3-38EB-4803-A9F5-A54B0852C0C8}">
    <text>원래 박건우</text>
  </threadedComment>
  <threadedComment ref="A72" dT="2024-01-13T03:07:30.96" personId="{11E67D95-538C-48DD-8E91-FB3D617FFDA6}" id="{76AF07A7-5D83-4D1B-A186-5D3D97B5CA6A}">
    <text>23.12.07 빌링통합</text>
  </threadedComment>
  <threadedComment ref="A74" dT="2024-01-13T03:09:29.95" personId="{11E67D95-538C-48DD-8E91-FB3D617FFDA6}" id="{3C5D5728-6E4F-45AA-86D1-56EA0EAE3885}">
    <text>2023.12.22통합빌링</text>
  </threadedComment>
  <threadedComment ref="A80" dT="2024-01-13T03:09:04.63" personId="{11E67D95-538C-48DD-8E91-FB3D617FFDA6}" id="{0582C72F-B680-4255-952E-B775B1787CFB}">
    <text>2023.12.18통합빌링</text>
  </threadedComment>
  <threadedComment ref="A81" dT="2024-01-13T03:09:55.23" personId="{11E67D95-538C-48DD-8E91-FB3D617FFDA6}" id="{FA0DCD6C-E7F8-4AEB-BCA2-E8C730D0F540}">
    <text>2023.12.27통합빌링</text>
  </threadedComment>
  <threadedComment ref="A90" dT="2023-12-29T12:48:02.68" personId="{11E67D95-538C-48DD-8E91-FB3D617FFDA6}" id="{8D4C6979-E105-4E2D-8C65-83538308E99D}">
    <text>ttps://jira.krafton.com/browse/SYSTEM-451</text>
  </threadedComment>
  <threadedComment ref="G102" dT="2023-12-26T08:20:55.78" personId="{11E67D95-538C-48DD-8E91-FB3D617FFDA6}" id="{65A70FC6-70F3-4D30-8F9E-1D8B870006B8}">
    <text>누구인지알수없어파트장지정</text>
  </threadedComment>
  <threadedComment ref="H114" dT="2024-05-30T03:57:57.50" personId="{875CEF31-64BA-4A41-9979-987CBF9DD2CA}" id="{1B11E0B5-4AC1-4AE2-91F2-39F7E8085FCD}">
    <text>김하은님요청으로 문중현님으로 변경</text>
  </threadedComment>
  <threadedComment ref="A121" dT="2024-01-13T03:11:55.52" personId="{11E67D95-538C-48DD-8E91-FB3D617FFDA6}" id="{08049CE7-B454-40A6-8E9E-B04FE3EBE8FD}">
    <text>23.12.26 빌링해지</text>
  </threadedComment>
</ThreadedComments>
</file>

<file path=xl/threadedComments/threadedComment4.xml><?xml version="1.0" encoding="utf-8"?>
<ThreadedComments xmlns="http://schemas.microsoft.com/office/spreadsheetml/2018/threadedcomments" xmlns:x="http://schemas.openxmlformats.org/spreadsheetml/2006/main">
  <threadedComment ref="J2" dT="2024-01-03T05:15:14.10" personId="{11E67D95-538C-48DD-8E91-FB3D617FFDA6}" id="{DBFD0523-BAD0-4F44-AD78-04CB8AFC83CF}">
    <text>Contact?
* owner
* cost verifier</text>
  </threadedComment>
  <threadedComment ref="A6" dT="2024-01-03T03:17:28.53" personId="{11E67D95-538C-48DD-8E91-FB3D617FFDA6}" id="{8C6B0FAC-C40E-4384-95E4-C383D2A04E5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7" dT="2024-01-03T03:17:37.47" personId="{11E67D95-538C-48DD-8E91-FB3D617FFDA6}" id="{941BDC15-84D8-40AD-89C2-DEA8ACCB464E}">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9" dT="2023-12-26T12:36:29.82" personId="{11E67D95-538C-48DD-8E91-FB3D617FFDA6}" id="{8376D13C-7FAE-4CF1-B3CB-167AFD985A0C}">
    <text>김완건왈 20231226 삭제불가.
BGMI 관련 DB 모니터링 데이터 수집 용도로 Managed Grafana, ADF 서비스 등 운영 중입니다.</text>
  </threadedComment>
  <threadedComment ref="E9" dT="2024-07-24T00:22:36.55" personId="{875CEF31-64BA-4A41-9979-987CBF9DD2CA}" id="{B2C0DD30-FB57-46B5-B2B4-30172E80E72F}">
    <text xml:space="preserve">팀 이름 변경에 따라 수정 [N/A]Data Infra Engineering Team -&gt;  DevData Engineering Team </text>
  </threadedComment>
  <threadedComment ref="A14" dT="2023-12-26T12:38:13.52" personId="{11E67D95-538C-48DD-8E91-FB3D617FFDA6}" id="{AA6921F9-5444-48C4-A058-8C0844E87840}">
    <text>김완건왈 20231226 삭제불가. 
	◦	BGMI 를 제외한 나머지 Azure 기반 서비스들의 DB 모니터링 데이터 수집 용도로 Managed Grafana 운영 중입니다. (GPP, Blueward, TRCS. Platform, MC, BOC, NS, DD 등)
	◦	팀 내부에서만 사용하기 때문에 owner 는 그대로 유지 (김완건, 김도현, 이동준) 부탁 드립니다.
	◦	빌링검수자는 일단 대표로 저를 지정해 주시면 되고.. 금액이 워낙 소액이라 혹시 가능하시다면 AWS 와 마찬가지로 변동 사항이 발생하는 경우에만 별도의 검수를 하는 프로세스로 부탁드립니다.</text>
  </threadedComment>
  <threadedComment ref="A15" dT="2023-12-26T12:38:52.91" personId="{11E67D95-538C-48DD-8E91-FB3D617FFDA6}" id="{96485F04-3F76-46C3-A2BF-9208116E63A2}">
    <text>김완건왈 20231226 삭제불가. 
	•	삭제 불가
	◦	저희 팀 Azure 서비스 관련 개발 및 테스트 용도 입니다.</text>
  </threadedComment>
  <threadedComment ref="A16" dT="2024-01-03T03:16:23.94" personId="{11E67D95-538C-48DD-8E91-FB3D617FFDA6}" id="{2A3469BE-C2C9-4CD1-B4A0-20947308506D}">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G16" dT="2024-01-03T06:25:52.65" personId="{1CE3B4F1-C8BD-2C4D-8191-970F973B30DC}" id="{2A8A6153-14A6-4DDA-BABE-E00C09569582}">
    <text>24년 2월부터는 정승호님이 담당</text>
  </threadedComment>
  <threadedComment ref="H16" dT="2024-01-03T06:25:52.65" personId="{1CE3B4F1-C8BD-2C4D-8191-970F973B30DC}" id="{DF0B68CC-A680-445E-9855-1D3325669AE9}">
    <text>24년 2월부터는 정승호님이 담당</text>
  </threadedComment>
  <threadedComment ref="A17" dT="2024-01-03T03:16:35.31" personId="{11E67D95-538C-48DD-8E91-FB3D617FFDA6}" id="{A3CD69B2-1C07-47DE-B73B-E2F07A9CC8AA}">
    <text>이상신:EME Sunset 관련으로 과거 EME 재무에서 유지를 요청한 것이라(5년은 국세청에서 문의가 올 테니 살려야 되고 등의 문의가 있었음) 지워도 되는지는 Finance에 확인하셔야 할 것으로 보입니다 (담당자는 모르겠습니다. 과거에 EME 계시던 수현님이셨는데 퇴사하신 걸로 압니다) 기술적으로는 삭제에 이견이 없습니다. 다만, 백업된 데이터는 소산용으로 system team에서 다운받아서 가지고 계셔야 하지 않을까 의견 드립니다 (보관하면 안 되는지 여부는 Privacy팀이 아실 듯합니다).</text>
  </threadedComment>
  <threadedComment ref="A20" dT="2024-01-03T03:17:45.48" personId="{11E67D95-538C-48DD-8E91-FB3D617FFDA6}" id="{64BA24C1-54C1-4087-8AA3-8DB4579C0661}">
    <text>이상신:	1	1번/2번/9번 : 구매부서에서 하나로 합치고 싶으신 마음은 충분히 공감하지만, 유지로 부탁드립니다. 게임마다 요청되는 신규 기능들을 "다른 게임의 설정"에 영향을 받지 않고 테스트하기 위해서 여러 개가 된 것이라, 앞으로 개인별 환경을 더 만들 경우는 있어도 저 숫제에서 줄일 수는 없는 상황임을 양해 부탁드립니다. 될 수 있는 한 안 늘리도록 노력하겠습니다.
	a	예: Project MC에서 어떤 기능을 만들거나 확인해달라고 할 때 stage/live를 쓸 수는 없으니 이를 별도 테스트해야 하는데, Tera console의 내부 테스트 설정에 영향을 주면 안 되니 별도로 분리한 것입니다. 테스트 목적이다보니 DevOps가 코드를 이것저것 변경하다가 다른 게임 설정 잘 못 건드리면 백업담당자도 제대로 없는 상황이라 대응이 안 됩니다.
	b	빌링 검수자는 일단 엄기성님으로 통일 부탁드립니다 (일단 기성님이 체크하는 것으로).</text>
  </threadedComment>
  <threadedComment ref="A34" dT="2023-12-26T12:46:35.10" personId="{11E67D95-538C-48DD-8E91-FB3D617FFDA6}" id="{FFA3E287-CD3E-4CDB-AACC-92B04DC4BFF0}">
    <text>김완건왈 20231226 	•	서비스 인프라 팀 or BGMI Devops 팀 확인 필요
	◦	사용한 적이 없어서 정확한 용도를 모르겠습니다. ^^;;
	◦	마감 때까지 조금 더 확인해 보도록 하겠습니다.</text>
  </threadedComment>
  <threadedComment ref="A34" dT="2023-12-27T07:58:20.97" personId="{11E67D95-538C-48DD-8E91-FB3D617FFDA6}" id="{15BFE51D-97F4-47DF-B07B-11C8BB1E9DA1}" parentId="{FFA3E287-CD3E-4CDB-AACC-92B04DC4BFF0}">
    <text>김완건님이 기여자에 있음</text>
  </threadedComment>
  <threadedComment ref="G37" dT="2023-12-26T12:01:11.52" personId="{11E67D95-538C-48DD-8E91-FB3D617FFDA6}" id="{5301F326-B42D-49B5-891E-CE6054A08371}">
    <text>ReLU로 이동</text>
  </threadedComment>
  <threadedComment ref="A40" dT="2023-12-27T07:54:51.95" personId="{11E67D95-538C-48DD-8E91-FB3D617FFDA6}" id="{45EB16BD-780A-47F7-8742-CB5F310E4980}">
    <text>이제우님이 삭제 confirmed</text>
  </threadedComment>
  <threadedComment ref="A43" dT="2023-12-27T07:55:49.86" personId="{11E67D95-538C-48DD-8E91-FB3D617FFDA6}" id="{4E29B3F1-5157-4FE4-973F-3BE64CD08ACA}">
    <text>박선영님이 삭제 confirmed</text>
  </threadedComment>
  <threadedComment ref="G43" dT="2023-12-26T12:00:50.48" personId="{11E67D95-538C-48DD-8E91-FB3D617FFDA6}" id="{7B834E97-C1C5-4E7C-A0C0-3AE558C6CFBE}">
    <text>ReLU로 이동</text>
  </threadedComment>
  <threadedComment ref="A44" dT="2023-12-27T07:57:04.75" personId="{11E67D95-538C-48DD-8E91-FB3D617FFDA6}" id="{4AD49B22-18C8-4612-925D-6F0EABF20AE8}">
    <text>이기문님이 삭제 confirmed</text>
  </threadedComment>
  <threadedComment ref="G44" dT="2023-12-26T12:01:11.52" personId="{11E67D95-538C-48DD-8E91-FB3D617FFDA6}" id="{1965F77D-079C-48B0-89BD-238B5612F1D0}">
    <text>ReLU로 이동</text>
  </threadedComment>
  <threadedComment ref="G46" dT="2023-12-26T12:01:33.87" personId="{11E67D95-538C-48DD-8E91-FB3D617FFDA6}" id="{5CDCAC05-CB13-4340-8A2F-4EBAF5DC6A62}">
    <text>ReLU로 이동</text>
  </threadedComment>
  <threadedComment ref="G46" dT="2024-01-02T12:47:52.55" personId="{11E67D95-538C-48DD-8E91-FB3D617FFDA6}" id="{91F4D29F-6D9E-4331-83BC-3BB172A3371F}" parentId="{5CDCAC05-CB13-4340-8A2F-4EBAF5DC6A62}">
    <text>전필규님이 삭제 confirmed</text>
  </threadedComment>
  <threadedComment ref="A48" dT="2024-01-03T03:18:39.28" personId="{11E67D95-538C-48DD-8E91-FB3D617FFDA6}" id="{34367A13-54E0-4913-801E-DB4929F07224}">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8" dT="2024-01-03T06:25:52.65" personId="{1CE3B4F1-C8BD-2C4D-8191-970F973B30DC}" id="{CB66AFFB-C6C1-4DD4-9265-45CE43C0F179}">
    <text>24년 2월부터는 정승호님이 담당</text>
  </threadedComment>
  <threadedComment ref="H48" dT="2024-01-03T06:25:52.65" personId="{1CE3B4F1-C8BD-2C4D-8191-970F973B30DC}" id="{A2C78D7D-1D76-4474-BA64-8E2CD34119AE}">
    <text>24년 2월부터는 정승호님이 담당</text>
  </threadedComment>
  <threadedComment ref="A49" dT="2024-01-03T03:18:47.08" personId="{11E67D95-538C-48DD-8E91-FB3D617FFDA6}" id="{213920B6-D1D4-414B-B1B8-2248B94B9DFA}">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49" dT="2024-01-03T06:25:52.65" personId="{1CE3B4F1-C8BD-2C4D-8191-970F973B30DC}" id="{292FB826-EA9A-4DAB-8D70-53B4EEBFBB7D}">
    <text>24년 2월부터는 정승호님이 담당</text>
  </threadedComment>
  <threadedComment ref="H49" dT="2024-01-03T06:25:52.65" personId="{1CE3B4F1-C8BD-2C4D-8191-970F973B30DC}" id="{C3D41689-1E4A-4C34-A012-33A80241D9FF}">
    <text>24년 2월부터는 정승호님이 담당</text>
  </threadedComment>
  <threadedComment ref="A50" dT="2024-01-03T03:18:55.44" personId="{11E67D95-538C-48DD-8E91-FB3D617FFDA6}" id="{AD06C136-1005-4AEC-9F01-8FB3325399F8}">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0" dT="2024-01-03T06:25:52.65" personId="{1CE3B4F1-C8BD-2C4D-8191-970F973B30DC}" id="{E96B2CE4-8DDD-4478-A386-AAA2F980B9D3}">
    <text>24년 2월부터는 정승호님이 담당</text>
  </threadedComment>
  <threadedComment ref="H50" dT="2024-01-03T06:25:52.65" personId="{1CE3B4F1-C8BD-2C4D-8191-970F973B30DC}" id="{767097AB-C10E-4A4C-9B02-84D90D852807}">
    <text>24년 2월부터는 정승호님이 담당</text>
  </threadedComment>
  <threadedComment ref="A51" dT="2024-01-03T03:19:03.88" personId="{11E67D95-538C-48DD-8E91-FB3D617FFDA6}" id="{644D349F-5665-49CA-97CB-866ACC9F9A31}">
    <text>이상신:	1	테라 콘솔용 계정으로, 여러개로 나뉘어 있습니다. 라이브용이 2개. Cert 및 블루홀 개발자 테스트용이 2개입니다. 이 환경은 건드릴 수 없고 이대로 유지할 수밖에 없습니다 (블루홀에 변경된 환경으로 맞추어 개발/운영 가능한 개발자분이 없는 상태입니다)
	a	금액은 정상입니다. PS/XBOX에 신버전 업뎃하면 늘어나고, 안하면 (환경에 있는 서버를 스탑해서) 줄어드는데 장애 발생 등으로 거의 켜져 있습니다.
	b	검수자는 현재 장은진님으로 해주시고, 2월부터 정승호님으로 변경하시면 됩니다. </text>
  </threadedComment>
  <threadedComment ref="G51" dT="2024-01-03T06:25:52.65" personId="{1CE3B4F1-C8BD-2C4D-8191-970F973B30DC}" id="{6FC86B60-5C51-4CAC-85B3-C29819942FF2}">
    <text>24년 2월부터는 정승호님이 담당</text>
  </threadedComment>
  <threadedComment ref="H51" dT="2024-01-03T06:25:52.65" personId="{1CE3B4F1-C8BD-2C4D-8191-970F973B30DC}" id="{DE1A6382-0F85-4877-937B-B5BC22FE93C2}">
    <text>24년 2월부터는 정승호님이 담당</text>
  </threadedComment>
  <threadedComment ref="A55" dT="2025-06-19T02:17:00.96" personId="{5A1E0811-6251-4D39-885F-B29429537B2C}" id="{E8298E27-2757-4A03-82DE-95D3F302CD03}">
    <text>AzureOpsLAB-Platform-20231227 으로 이름변경. XTRM-Web은 없는 계정</text>
  </threadedComment>
  <threadedComment ref="D55" dT="2024-01-02T02:27:34.28" personId="{11E67D95-538C-48DD-8E91-FB3D617FFDA6}" id="{7FFF0C7F-7096-4677-84E7-61CE0EB3A8EC}">
    <text>2024년1월비용부터는 KRAFTON HQ로 변경하는 것이 타당</text>
  </threadedComment>
  <threadedComment ref="A75" dT="2025-10-15T14:41:17.38" personId="{DBABD496-DFD1-4D50-B54C-8088E82387E4}" id="{974E1A0E-63BC-415B-AF23-C114A7136D56}">
    <text>These subscription needs to be cancelled and deleted.</text>
  </threadedComment>
  <threadedComment ref="A76" dT="2025-10-15T14:31:29.22" personId="{DBABD496-DFD1-4D50-B54C-8088E82387E4}" id="{A27322C6-4B87-4F55-A562-B664B623EB83}">
    <text>These subscription needs to be cancelled and deleted.</text>
  </threadedComment>
</ThreadedComments>
</file>

<file path=xl/threadedComments/threadedComment5.xml><?xml version="1.0" encoding="utf-8"?>
<ThreadedComments xmlns="http://schemas.microsoft.com/office/spreadsheetml/2018/threadedcomments" xmlns:x="http://schemas.openxmlformats.org/spreadsheetml/2006/main">
  <threadedComment ref="J2" dT="2024-01-03T05:15:14.10" personId="{11E67D95-538C-48DD-8E91-FB3D617FFDA6}" id="{2909423B-A919-44FC-A413-C6FC34097613}">
    <text>Contact?
* owner
* cost verifier</text>
  </threadedComment>
  <threadedComment ref="A3" dT="2023-12-08T07:48:36.86" personId="{030DC8E6-E9C0-44FD-B1B1-DD059A193C6D}" id="{8BC6C720-8646-43A2-AF87-6FF4F73FA2CE}">
    <text xml:space="preserve">PUBG KR/JP service </text>
  </threadedComment>
  <threadedComment ref="G3" dT="2024-05-10T08:24:10.03" personId="{875CEF31-64BA-4A41-9979-987CBF9DD2CA}" id="{DD7A20C9-C0E4-4680-8454-00FCECD017D1}">
    <text>김민우님의 신규 팀장 채용에 따른 변경 요청에 따라 기존 한정아님에서 김연님으로 변경</text>
  </threadedComment>
  <threadedComment ref="A4" dT="2023-12-08T07:49:00.18" personId="{030DC8E6-E9C0-44FD-B1B1-DD059A193C6D}" id="{C68F702C-DE20-40D3-9706-94FF168C5532}">
    <text xml:space="preserve">PUBG PC/Console &amp; Console </text>
  </threadedComment>
  <threadedComment ref="A5" dT="2023-12-08T07:49:31.55" personId="{030DC8E6-E9C0-44FD-B1B1-DD059A193C6D}" id="{9460769A-9AE5-4102-9A7B-66B144DBAF00}">
    <text xml:space="preserve">XTRM 게임멀티미디어 엔진(원스톱 음성솔루션) </text>
  </threadedComment>
  <threadedComment ref="A5" dT="2023-12-27T03:48:57.34" personId="{11E67D95-538C-48DD-8E91-FB3D617FFDA6}" id="{A840FE7B-5BAA-4C8F-B6C1-6D2F671A072C}" parentId="{9460769A-9AE5-4102-9A7B-66B144DBAF00}">
    <text xml:space="preserve">해당 사항은 NS에서 사용하고 있는 사항으로 비용은 NS쪽으로 청구 되어야 합니다. 계정 인계중에 또 담당자 바뀌어서 잠시 홀딩 중에 있었습니다.
</text>
  </threadedComment>
  <threadedComment ref="A5" dT="2024-07-31T01:03:28.17" personId="{06D6E6F8-6DFC-4DE6-8355-CCCE85880323}" id="{DB5A10EA-0541-41B3-A765-95A7500A3132}" parentId="{9460769A-9AE5-4102-9A7B-66B144DBAF00}">
    <text>@Chaewon Jung (정채원) root account 변경</text>
    <mentions>
      <mention mentionpersonId="{E3C5FB49-C9CB-42B1-914E-03BC29020403}" mentionId="{C7E48A23-8EB9-429B-89A1-BA921FC6785F}" startIndex="0" length="19"/>
    </mentions>
  </threadedComment>
  <threadedComment ref="A6" dT="2023-12-08T07:49:16.09" personId="{030DC8E6-E9C0-44FD-B1B1-DD059A193C6D}" id="{B33259C1-18E6-426B-B4E8-C564A97DDA2E}">
    <text xml:space="preserve">XTRM R&amp;D 및 Prod </text>
  </threadedComment>
  <threadedComment ref="A8" dT="2023-12-08T07:48:07.20" personId="{030DC8E6-E9C0-44FD-B1B1-DD059A193C6D}" id="{8EDC81E8-E05D-4FBB-8798-79CBB01AF4CA}">
    <text xml:space="preserve">XTRM Dev&amp;Staging account </text>
  </threadedComment>
  <threadedComment ref="A9" dT="2023-12-08T07:50:23.99" personId="{030DC8E6-E9C0-44FD-B1B1-DD059A193C6D}" id="{733BEC1A-BA03-48F5-8A97-26D7CCA6E607}">
    <text xml:space="preserve">Service Infra 팀 QA Test 계정 </text>
  </threadedComment>
  <threadedComment ref="A10" dT="2023-12-08T07:50:07.15" personId="{030DC8E6-E9C0-44FD-B1B1-DD059A193C6D}" id="{074BC177-0967-4132-88D5-63CB4E8B52C8}">
    <text>러시아 Users 크래프톤 계정
현재는 PUBG user 계정, 향후 XTMR 포함 예정</text>
  </threadedComment>
  <threadedComment ref="A12" dT="2024-07-30T08:15:24.15" personId="{06D6E6F8-6DFC-4DE6-8355-CCCE85880323}" id="{8794597A-F0B7-4B00-AECD-7F33DB1056EF}">
    <text xml:space="preserve">@Chaewon Jung (정채원) 님, Root account 를 변경 하였습니다. </text>
    <mentions>
      <mention mentionpersonId="{E3C5FB49-C9CB-42B1-914E-03BC29020403}" mentionId="{CFC8F330-D5EB-421F-977F-294ED5162097}" startIndex="0" length="19"/>
    </mentions>
  </threadedComment>
  <threadedComment ref="A13" dT="2023-12-08T07:03:08.79" personId="{030DC8E6-E9C0-44FD-B1B1-DD059A193C6D}" id="{7DA9A772-BB3D-4498-A60D-03592CDF025D}">
    <text xml:space="preserve">IM(음성 채팅) </text>
  </threadedComment>
  <threadedComment ref="A14" dT="2023-12-08T07:49:47.22" personId="{030DC8E6-E9C0-44FD-B1B1-DD059A193C6D}" id="{528B8A46-576A-4088-8761-371BAF12D7B7}">
    <text xml:space="preserve">형상 관리 테스트 계정 </text>
  </threadedComment>
  <threadedComment ref="F16" dT="2024-10-23T01:25:00.59" personId="{875CEF31-64BA-4A41-9979-987CBF9DD2CA}" id="{09043598-0091-8244-ACD0-5BBB799A2859}">
    <text>project AB(구 DNDM)</text>
  </threadedComment>
</ThreadedComments>
</file>

<file path=xl/threadedComments/threadedComment6.xml><?xml version="1.0" encoding="utf-8"?>
<ThreadedComments xmlns="http://schemas.microsoft.com/office/spreadsheetml/2018/threadedcomments" xmlns:x="http://schemas.openxmlformats.org/spreadsheetml/2006/main">
  <threadedComment ref="J2" dT="2024-01-03T05:15:14.10" personId="{11E67D95-538C-48DD-8E91-FB3D617FFDA6}" id="{59844FD8-FC53-4E65-A3EA-273EB262A267}">
    <text>Contact?
* owner
* cost verifier</text>
  </threadedComment>
  <threadedComment ref="A4" dT="2023-12-26T14:59:32.32" personId="{11E67D95-538C-48DD-8E91-FB3D617FFDA6}" id="{EFA1FA12-BF58-4DA8-B1E2-1A69F4355BF1}">
    <text>엘리온인프라모니터링</text>
  </threadedComment>
  <threadedComment ref="A5" dT="2023-12-26T15:01:39.50" personId="{11E67D95-538C-48DD-8E91-FB3D617FFDA6}" id="{D59396C7-1A6E-4B0C-A6D7-82E820419371}">
    <text>Service Infra 일반 / Blueward/ Test</text>
  </threadedComment>
  <threadedComment ref="E5" dT="2024-07-24T05:12:28.80" personId="{875CEF31-64BA-4A41-9979-987CBF9DD2CA}" id="{3A108C27-701B-4E34-BF23-FD457A5436FF}">
    <text>팀명변경에 따른 수정 Service Infra Team -&gt; Service DevOps Team</text>
  </threadedComment>
  <threadedComment ref="A6" dT="2023-12-26T15:01:13.09" personId="{11E67D95-538C-48DD-8E91-FB3D617FFDA6}" id="{F8538510-E84F-4059-8E0F-5DDA71F94511}">
    <text>Tera console 인프라 모니터링</text>
  </threadedComment>
  <threadedComment ref="E7" dT="2024-07-24T05:12:28.80" personId="{875CEF31-64BA-4A41-9979-987CBF9DD2CA}" id="{C0A8EB5F-80C9-6B4C-8A59-FA42F536E5E5}">
    <text>팀명변경에 따른 수정 Service Infra Team -&gt; Service DevOps Team</text>
  </threadedComment>
  <threadedComment ref="E8" dT="2024-07-24T05:12:28.80" personId="{875CEF31-64BA-4A41-9979-987CBF9DD2CA}" id="{6790C951-5164-3D4C-8FDD-1E5C36787799}">
    <text>팀명변경에 따른 수정 Service Infra Team -&gt; Service DevOps Team</text>
  </threadedComment>
  <threadedComment ref="A10" dT="2023-12-26T15:17:22.43" personId="{11E67D95-538C-48DD-8E91-FB3D617FFDA6}" id="{8C6F91A7-69AE-4D34-9E5E-0BDAAAB62320}">
    <text xml:space="preserve">Moonbrakers 게임 서비스
</text>
  </threadedComment>
  <threadedComment ref="E10" dT="2024-07-24T05:12:28.80" personId="{875CEF31-64BA-4A41-9979-987CBF9DD2CA}" id="{5156444D-6323-4185-8C38-19F8246DD55C}">
    <text>팀명변경에 따른 수정 Service Infra Team -&gt; Service DevOps Team</text>
  </threadedComment>
  <threadedComment ref="A15" dT="2023-12-26T15:01:59.53" personId="{11E67D95-538C-48DD-8E91-FB3D617FFDA6}" id="{36C6A201-9ED2-46B9-981B-570118EF3795}">
    <text>Infra platform 팀 모니터링</text>
  </threadedComment>
  <threadedComment ref="A18" dT="2023-12-26T15:00:05.37" personId="{11E67D95-538C-48DD-8E91-FB3D617FFDA6}" id="{63D9D51F-E0FF-426E-B3CB-C97A113DDB19}">
    <text>Tera PC 인프라 모니터링</text>
  </threadedComment>
  <threadedComment ref="E19" dT="2024-05-16T12:00:17.16" personId="{875CEF31-64BA-4A41-9979-987CBF9DD2CA}" id="{CC794CB1-B0AF-4982-8F89-AF888F8E22B7}">
    <text>허지호팀장님 : 팀변경으로 요청</text>
  </threadedComment>
  <threadedComment ref="E20" dT="2024-07-24T05:12:28.80" personId="{875CEF31-64BA-4A41-9979-987CBF9DD2CA}" id="{D2ADF210-58F1-474D-94CE-9E21F8D0C59A}">
    <text>팀명변경에 따른 수정 Service Infra Team -&gt; Service DevOps Team</text>
  </threadedComment>
  <threadedComment ref="E24" dT="2024-07-24T05:12:28.80" personId="{875CEF31-64BA-4A41-9979-987CBF9DD2CA}" id="{EDB67CCC-AE41-364C-B7FF-E9EB9E1606C3}">
    <text>팀명변경에 따른 수정 Service Infra Team -&gt; Service DevOps Team</text>
  </threadedComment>
  <threadedComment ref="H26" dT="2024-01-04T00:16:24.78" personId="{11E67D95-538C-48DD-8E91-FB3D617FFDA6}" id="{ED752869-EA03-41E5-B5E2-4804D1705A98}">
    <text>신근우님이 왈 전경원님이 담당이라고 했는데…. 최준석님으로 통일하고 … 적절하지 않을 경우 전경원님으로 변경 예정</text>
  </threadedComment>
  <threadedComment ref="E30" dT="2024-07-24T05:12:28.80" personId="{875CEF31-64BA-4A41-9979-987CBF9DD2CA}" id="{A6D7DAE9-BE13-4146-89AF-E6CBA3D2ABAE}">
    <text>팀명변경에 따른 수정 Service Infra Team -&gt; Service DevOps Team</text>
  </threadedComment>
</ThreadedComments>
</file>

<file path=xl/threadedComments/threadedComment7.xml><?xml version="1.0" encoding="utf-8"?>
<ThreadedComments xmlns="http://schemas.microsoft.com/office/spreadsheetml/2018/threadedcomments" xmlns:x="http://schemas.openxmlformats.org/spreadsheetml/2006/main">
  <threadedComment ref="J2" dT="2024-01-03T05:15:14.10" personId="{11E67D95-538C-48DD-8E91-FB3D617FFDA6}" id="{E834681D-C2A2-4D5F-B8E5-5E5A2C86C00D}">
    <text>Contact?
* owner
* cost verifier</text>
  </threadedComment>
</ThreadedComments>
</file>

<file path=xl/threadedComments/threadedComment8.xml><?xml version="1.0" encoding="utf-8"?>
<ThreadedComments xmlns="http://schemas.microsoft.com/office/spreadsheetml/2018/threadedcomments" xmlns:x="http://schemas.openxmlformats.org/spreadsheetml/2006/main">
  <threadedComment ref="J2" dT="2024-01-03T05:15:14.10" personId="{11E67D95-538C-48DD-8E91-FB3D617FFDA6}" id="{8746946F-F311-4A1F-8494-F09901345568}">
    <text>Contact?
* owner
* cost verifier</text>
  </threadedComment>
</ThreadedComments>
</file>

<file path=xl/threadedComments/threadedComment9.xml><?xml version="1.0" encoding="utf-8"?>
<ThreadedComments xmlns="http://schemas.microsoft.com/office/spreadsheetml/2018/threadedcomments" xmlns:x="http://schemas.openxmlformats.org/spreadsheetml/2006/main">
  <threadedComment ref="J2" dT="2024-01-03T05:15:14.10" personId="{11E67D95-538C-48DD-8E91-FB3D617FFDA6}" id="{BF2F1363-6584-4B63-90A7-B0E56D67C7D9}">
    <text>Contact?
* owner
* cost verifier</text>
  </threadedComment>
  <threadedComment ref="A3" dT="2023-12-26T15:40:28.38" personId="{11E67D95-538C-48DD-8E91-FB3D617FFDA6}" id="{E2FAFB98-D963-4CAD-BADF-1BC4D20516C1}">
    <text>Unknownworlds</text>
  </threadedComment>
  <threadedComment ref="E3" dT="2024-07-24T00:23:10.07" personId="{875CEF31-64BA-4A41-9979-987CBF9DD2CA}" id="{58DC7B6A-0AC3-4E70-B34A-38D3A19B6C98}">
    <text xml:space="preserve">기존팀 변경에 따라 수정 
Service Infra Team -&gt; Service DevOps Team </text>
  </threadedComment>
  <threadedComment ref="A8" dT="2023-12-27T04:27:17.33" personId="{11E67D95-538C-48DD-8E91-FB3D617FFDA6}" id="{5BA0D98D-0D31-4E56-BF48-FC8AF7206508}">
    <text>GPP Dept(서강석 님)에서 관리하고 있는 프로젝트
Organization 에 미 포함되어 있음</text>
  </threadedComment>
  <threadedComment ref="E12" dT="2024-07-24T02:46:10.94" personId="{875CEF31-64BA-4A41-9979-987CBF9DD2CA}" id="{CE1D4E29-51C4-40AD-9CAE-4D6F16E3589C}">
    <text xml:space="preserve">팀명 변경 Service Infra Team -&gt; Service DevOps Team </text>
  </threadedComment>
  <threadedComment ref="A13" dT="2023-12-27T08:13:24.78" personId="{11E67D95-538C-48DD-8E91-FB3D617FFDA6}" id="{E8948B23-DD17-4D19-991C-41FF6F75AE81}">
    <text>서아람삭제동의</text>
  </threadedComment>
  <threadedComment ref="A17" dT="2023-12-27T02:31:54.64" personId="{11E67D95-538C-48DD-8E91-FB3D617FFDA6}" id="{6923074B-97EA-4E72-BFBB-4F99086D9988}">
    <text>mj3428@gmail.com 천민지</text>
    <extLst>
      <x:ext xmlns:xltc2="http://schemas.microsoft.com/office/spreadsheetml/2020/threadedcomments2" uri="{F7C98A9C-CBB3-438F-8F68-D28B6AF4A901}">
        <xltc2:checksum>2186571719</xltc2:checksum>
        <xltc2:hyperlink startIndex="0" length="16" url="mailto:mj3428@gmail.com"/>
      </x:ext>
    </extLst>
  </threadedComment>
  <threadedComment ref="A26" dT="2024-04-15T06:05:18.85" personId="{875CEF31-64BA-4A41-9979-987CBF9DD2CA}" id="{DC31C887-0EDC-4FFB-9351-B7852A2B674B}">
    <text>이번달만 사용후 계정삭제예정</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7B95CF-B586-DE40-A135-44038F447FAB}">
  <we:reference id="wa200009404" version="1.0.0.5" store="ko-KR" storeType="OMEX"/>
  <we:alternateReferences>
    <we:reference id="wa200009404" version="1.0.0.5" store="wa200009404" storeType="OMEX"/>
  </we:alternateReferences>
  <we:properties>
    <we:property name="claude.fileId" value="&quot;f28b86fb-bd5f-4b91-ad18-f6880dc90a9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aws-deeplearning-gpu@krafton.com(119492371514)" TargetMode="External"/><Relationship Id="rId13" Type="http://schemas.openxmlformats.org/officeDocument/2006/relationships/table" Target="../tables/table1.xml"/><Relationship Id="rId3" Type="http://schemas.openxmlformats.org/officeDocument/2006/relationships/hyperlink" Target="mailto:aws_pubg_anticheat_service@bluehole.net(843438412681)" TargetMode="External"/><Relationship Id="rId7" Type="http://schemas.openxmlformats.org/officeDocument/2006/relationships/hyperlink" Target="mailto:AWS_data-tech@krafton.com(272510915182)" TargetMode="External"/><Relationship Id="rId12" Type="http://schemas.openxmlformats.org/officeDocument/2006/relationships/vmlDrawing" Target="../drawings/vmlDrawing1.vml"/><Relationship Id="rId2" Type="http://schemas.openxmlformats.org/officeDocument/2006/relationships/hyperlink" Target="mailto:bhaws_intraprod@krafton.com(851725237643)" TargetMode="External"/><Relationship Id="rId1" Type="http://schemas.openxmlformats.org/officeDocument/2006/relationships/hyperlink" Target="mailto:bhaws_intradev@bluehole.net(052342468408)" TargetMode="External"/><Relationship Id="rId6" Type="http://schemas.openxmlformats.org/officeDocument/2006/relationships/hyperlink" Target="mailto:pubg-mobile-web@bluehole.net(687869940784)" TargetMode="External"/><Relationship Id="rId11" Type="http://schemas.openxmlformats.org/officeDocument/2006/relationships/printerSettings" Target="../printerSettings/printerSettings1.bin"/><Relationship Id="rId5" Type="http://schemas.openxmlformats.org/officeDocument/2006/relationships/hyperlink" Target="mailto:pubg_pc_live@bluehole.net(792630841427)" TargetMode="External"/><Relationship Id="rId15" Type="http://schemas.microsoft.com/office/2017/10/relationships/threadedComment" Target="../threadedComments/threadedComment1.xml"/><Relationship Id="rId10" Type="http://schemas.openxmlformats.org/officeDocument/2006/relationships/hyperlink" Target="mailto:aws-ignt-qa@krafton.com(956314528401)" TargetMode="External"/><Relationship Id="rId4" Type="http://schemas.openxmlformats.org/officeDocument/2006/relationships/hyperlink" Target="mailto:aws_pubg-anticheat@bluehole.net(480544169436)" TargetMode="External"/><Relationship Id="rId9" Type="http://schemas.openxmlformats.org/officeDocument/2006/relationships/hyperlink" Target="mailto:TC_PUBG@krafton.com(100013364605)"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26" Type="http://schemas.openxmlformats.org/officeDocument/2006/relationships/hyperlink" Target="https://ask.krafton.com/browse/ASKIT-45532" TargetMode="External"/><Relationship Id="rId21" Type="http://schemas.openxmlformats.org/officeDocument/2006/relationships/hyperlink" Target="https://ask.krafton.com/browse/ASKIT-43500" TargetMode="External"/><Relationship Id="rId42" Type="http://schemas.openxmlformats.org/officeDocument/2006/relationships/hyperlink" Target="https://ask.krafton.com/browse/ASKIT-44261" TargetMode="External"/><Relationship Id="rId47" Type="http://schemas.openxmlformats.org/officeDocument/2006/relationships/hyperlink" Target="mailto:aws-msn-valor-test@pubg.com(947782089035)" TargetMode="External"/><Relationship Id="rId63" Type="http://schemas.openxmlformats.org/officeDocument/2006/relationships/hyperlink" Target="mailto:aws-ludo@ludorobotics.ai" TargetMode="External"/><Relationship Id="rId68" Type="http://schemas.openxmlformats.org/officeDocument/2006/relationships/hyperlink" Target="mailto:aws-jhk@krafton.com" TargetMode="External"/><Relationship Id="rId16" Type="http://schemas.openxmlformats.org/officeDocument/2006/relationships/hyperlink" Target="mailto:aws-jofsoft-nomad@krafton.com(523083722520)" TargetMode="External"/><Relationship Id="rId11" Type="http://schemas.openxmlformats.org/officeDocument/2006/relationships/hyperlink" Target="https://ask.krafton.com/browse/ASKIT-41996" TargetMode="External"/><Relationship Id="rId24" Type="http://schemas.openxmlformats.org/officeDocument/2006/relationships/hyperlink" Target="mailto:aws-pubg-ad-ml-project@pubg.com(495599767820)" TargetMode="External"/><Relationship Id="rId32" Type="http://schemas.openxmlformats.org/officeDocument/2006/relationships/hyperlink" Target="https://ask.krafton.com/browse/ASKIT-44689" TargetMode="External"/><Relationship Id="rId37" Type="http://schemas.openxmlformats.org/officeDocument/2006/relationships/hyperlink" Target="https://ask.krafton.com/browse/ASKIT-44133" TargetMode="External"/><Relationship Id="rId40" Type="http://schemas.openxmlformats.org/officeDocument/2006/relationships/hyperlink" Target="https://ask.krafton.com/browse/ASKIT-43955" TargetMode="External"/><Relationship Id="rId45" Type="http://schemas.openxmlformats.org/officeDocument/2006/relationships/hyperlink" Target="mailto:aws-cas-qa@krafton.com(864617344154)" TargetMode="External"/><Relationship Id="rId53" Type="http://schemas.openxmlformats.org/officeDocument/2006/relationships/hyperlink" Target="https://ask.krafton.com/browse/ASKIT-44804" TargetMode="External"/><Relationship Id="rId58" Type="http://schemas.openxmlformats.org/officeDocument/2006/relationships/hyperlink" Target="mailto:aws-inzoi-liveops-project@krafton.com" TargetMode="External"/><Relationship Id="rId66" Type="http://schemas.openxmlformats.org/officeDocument/2006/relationships/hyperlink" Target="mailto:aws-kose-hub@krafton.com" TargetMode="External"/><Relationship Id="rId74" Type="http://schemas.openxmlformats.org/officeDocument/2006/relationships/hyperlink" Target="https://ask.krafton.com/browse/ASKIT-46136" TargetMode="External"/><Relationship Id="rId79" Type="http://schemas.microsoft.com/office/2017/10/relationships/threadedComment" Target="../threadedComments/threadedComment3.xml"/><Relationship Id="rId5" Type="http://schemas.openxmlformats.org/officeDocument/2006/relationships/hyperlink" Target="https://ask.krafton.com/browse/ASKIT-41662" TargetMode="External"/><Relationship Id="rId61" Type="http://schemas.openxmlformats.org/officeDocument/2006/relationships/hyperlink" Target="mailto:aws-creative-vectorsearch-dev@krafton.com" TargetMode="External"/><Relationship Id="rId19" Type="http://schemas.openxmlformats.org/officeDocument/2006/relationships/hyperlink" Target="mailto:aws-olivetreewebsite-project@olivetreegames.com" TargetMode="External"/><Relationship Id="rId14" Type="http://schemas.openxmlformats.org/officeDocument/2006/relationships/hyperlink" Target="mailto:aws-kss-hq-anticheat-service@krafton.com(901635709370)" TargetMode="External"/><Relationship Id="rId22" Type="http://schemas.openxmlformats.org/officeDocument/2006/relationships/hyperlink" Target="https://ask.krafton.com/browse/ASKIT-43755" TargetMode="External"/><Relationship Id="rId27" Type="http://schemas.openxmlformats.org/officeDocument/2006/relationships/hyperlink" Target="mailto:aws-msn-valor-cert@pubg.com(059855171766)" TargetMode="External"/><Relationship Id="rId30" Type="http://schemas.openxmlformats.org/officeDocument/2006/relationships/hyperlink" Target="https://ask.krafton.com/browse/ASKIT-43929" TargetMode="External"/><Relationship Id="rId35" Type="http://schemas.openxmlformats.org/officeDocument/2006/relationships/hyperlink" Target="mailto:aws-bcd-gdd-reader@krafton.com(372468809148)" TargetMode="External"/><Relationship Id="rId43" Type="http://schemas.openxmlformats.org/officeDocument/2006/relationships/hyperlink" Target="mailto:aws-hq-dashboard@krafton.com(774222655862)" TargetMode="External"/><Relationship Id="rId48" Type="http://schemas.openxmlformats.org/officeDocument/2006/relationships/hyperlink" Target="https://ask.krafton.com/browse/ASKIT-43929" TargetMode="External"/><Relationship Id="rId56" Type="http://schemas.openxmlformats.org/officeDocument/2006/relationships/hyperlink" Target="mailto:Aws-ignt-chess-qa@krafton.com" TargetMode="External"/><Relationship Id="rId64" Type="http://schemas.openxmlformats.org/officeDocument/2006/relationships/hyperlink" Target="mailto:aws-pubg-twhkmo@krafton.com" TargetMode="External"/><Relationship Id="rId69" Type="http://schemas.openxmlformats.org/officeDocument/2006/relationships/hyperlink" Target="mailto:aws-datadog@krafton.com" TargetMode="External"/><Relationship Id="rId77" Type="http://schemas.openxmlformats.org/officeDocument/2006/relationships/table" Target="../tables/table3.xml"/><Relationship Id="rId8" Type="http://schemas.openxmlformats.org/officeDocument/2006/relationships/hyperlink" Target="https://ask.krafton.com/browse/ASKIT-41520" TargetMode="External"/><Relationship Id="rId51" Type="http://schemas.openxmlformats.org/officeDocument/2006/relationships/hyperlink" Target="mailto:aws-sn2e-project@krafton.com(958175316161)" TargetMode="External"/><Relationship Id="rId72" Type="http://schemas.openxmlformats.org/officeDocument/2006/relationships/hyperlink" Target="https://ask.krafton.com/browse/ASKIT-46062" TargetMode="External"/><Relationship Id="rId3" Type="http://schemas.openxmlformats.org/officeDocument/2006/relationships/hyperlink" Target="https://ask.krafton.com/browse/ASKIT-40899" TargetMode="External"/><Relationship Id="rId12" Type="http://schemas.openxmlformats.org/officeDocument/2006/relationships/hyperlink" Target="https://ask.krafton.com/browse/ASKIT-41663" TargetMode="External"/><Relationship Id="rId17" Type="http://schemas.openxmlformats.org/officeDocument/2006/relationships/hyperlink" Target="mailto:aws-agentville-deploy@krafton.com" TargetMode="External"/><Relationship Id="rId25" Type="http://schemas.openxmlformats.org/officeDocument/2006/relationships/hyperlink" Target="mailto:aws-hr-ops-automation@krafton.com(002889193681)" TargetMode="External"/><Relationship Id="rId33" Type="http://schemas.openxmlformats.org/officeDocument/2006/relationships/hyperlink" Target="mailto:aws-ignt@krafton.com(339918905706)" TargetMode="External"/><Relationship Id="rId38" Type="http://schemas.openxmlformats.org/officeDocument/2006/relationships/hyperlink" Target="mailto:aws_neptunez_019@neptunecompany.kr(608420805733)" TargetMode="External"/><Relationship Id="rId46" Type="http://schemas.openxmlformats.org/officeDocument/2006/relationships/hyperlink" Target="https://ask.krafton.com/browse/ASKIT-44608" TargetMode="External"/><Relationship Id="rId59" Type="http://schemas.openxmlformats.org/officeDocument/2006/relationships/hyperlink" Target="mailto:aws-fwg-marketing@krafton.com" TargetMode="External"/><Relationship Id="rId67" Type="http://schemas.openxmlformats.org/officeDocument/2006/relationships/hyperlink" Target="mailto:aws-cursor@krafton.com" TargetMode="External"/><Relationship Id="rId20" Type="http://schemas.openxmlformats.org/officeDocument/2006/relationships/hyperlink" Target="https://ask.krafton.com/browse/ASKIT-43363" TargetMode="External"/><Relationship Id="rId41" Type="http://schemas.openxmlformats.org/officeDocument/2006/relationships/hyperlink" Target="mailto:aws-pubgsno-hr@krafton.com(756041605037)" TargetMode="External"/><Relationship Id="rId54" Type="http://schemas.openxmlformats.org/officeDocument/2006/relationships/hyperlink" Target="mailto:aws-it-pet@krafton.com" TargetMode="External"/><Relationship Id="rId62" Type="http://schemas.openxmlformats.org/officeDocument/2006/relationships/hyperlink" Target="mailto:aws-Chandan-Po-the-Panda@krafton.com" TargetMode="External"/><Relationship Id="rId70" Type="http://schemas.openxmlformats.org/officeDocument/2006/relationships/hyperlink" Target="mailto:aws-zhangjiaming-ai@krafton.com" TargetMode="External"/><Relationship Id="rId75" Type="http://schemas.openxmlformats.org/officeDocument/2006/relationships/hyperlink" Target="https://ask.krafton.com/browse/ASKIT-46218" TargetMode="External"/><Relationship Id="rId1" Type="http://schemas.openxmlformats.org/officeDocument/2006/relationships/hyperlink" Target="https://ask.krafton.com/browse/ASKIT-40899" TargetMode="External"/><Relationship Id="rId6" Type="http://schemas.openxmlformats.org/officeDocument/2006/relationships/hyperlink" Target="https://ask.krafton.com/projects/ASKIT/queues/issue/ASKIT-41647" TargetMode="External"/><Relationship Id="rId15" Type="http://schemas.openxmlformats.org/officeDocument/2006/relationships/hyperlink" Target="https://ask.krafton.com/browse/ASKIT-42677" TargetMode="External"/><Relationship Id="rId23" Type="http://schemas.openxmlformats.org/officeDocument/2006/relationships/hyperlink" Target="https://ask.krafton.com/browse/ASKIT-42216" TargetMode="External"/><Relationship Id="rId28" Type="http://schemas.openxmlformats.org/officeDocument/2006/relationships/hyperlink" Target="https://ask.krafton.com/browse/ASKIT-43929" TargetMode="External"/><Relationship Id="rId36" Type="http://schemas.openxmlformats.org/officeDocument/2006/relationships/hyperlink" Target="mailto:aws-gpd1cmt-project@krafton.com(427780306826)" TargetMode="External"/><Relationship Id="rId49" Type="http://schemas.openxmlformats.org/officeDocument/2006/relationships/hyperlink" Target="mailto:aws-ignt-qa@krafton.com(956314528401)" TargetMode="External"/><Relationship Id="rId57" Type="http://schemas.openxmlformats.org/officeDocument/2006/relationships/hyperlink" Target="mailto:krafton-aif@krafton.com" TargetMode="External"/><Relationship Id="rId10" Type="http://schemas.openxmlformats.org/officeDocument/2006/relationships/hyperlink" Target="mailto:aws-ppd-ai@krafton.com(831635639393)" TargetMode="External"/><Relationship Id="rId31" Type="http://schemas.openxmlformats.org/officeDocument/2006/relationships/hyperlink" Target="mailto:Aws-9b-common-web@krafton.com(200283415652)" TargetMode="External"/><Relationship Id="rId44" Type="http://schemas.openxmlformats.org/officeDocument/2006/relationships/hyperlink" Target="https://ask.krafton.com/browse/ASKIT-44089" TargetMode="External"/><Relationship Id="rId52" Type="http://schemas.openxmlformats.org/officeDocument/2006/relationships/hyperlink" Target="https://ask.krafton.com/browse/ASKIT-44490" TargetMode="External"/><Relationship Id="rId60" Type="http://schemas.openxmlformats.org/officeDocument/2006/relationships/hyperlink" Target="mailto:aws-nautilus@krafton.com" TargetMode="External"/><Relationship Id="rId65" Type="http://schemas.openxmlformats.org/officeDocument/2006/relationships/hyperlink" Target="mailto:aws-pubg-palm-prod-01@krafton.com" TargetMode="External"/><Relationship Id="rId73" Type="http://schemas.openxmlformats.org/officeDocument/2006/relationships/hyperlink" Target="https://ask.krafton.com/browse/ASKIT-46062" TargetMode="External"/><Relationship Id="rId78" Type="http://schemas.openxmlformats.org/officeDocument/2006/relationships/comments" Target="../comments3.xml"/><Relationship Id="rId4" Type="http://schemas.openxmlformats.org/officeDocument/2006/relationships/hyperlink" Target="https://ask.krafton.com/browse/ASKIT-40464" TargetMode="External"/><Relationship Id="rId9" Type="http://schemas.openxmlformats.org/officeDocument/2006/relationships/hyperlink" Target="https://ask.krafton.com/browse/ASKIT-41058" TargetMode="External"/><Relationship Id="rId13" Type="http://schemas.openxmlformats.org/officeDocument/2006/relationships/hyperlink" Target="https://ask.krafton.com/browse/ASKIT-28412%20prod%20(live)%20&#54872;&#44221;%20&#49464;&#54021;&#51012;%20&#50948;&#54620;%20aws%20&#44228;&#51221;" TargetMode="External"/><Relationship Id="rId18" Type="http://schemas.openxmlformats.org/officeDocument/2006/relationships/hyperlink" Target="mailto:aws-ksb-project@krafton.com" TargetMode="External"/><Relationship Id="rId39" Type="http://schemas.openxmlformats.org/officeDocument/2006/relationships/hyperlink" Target="mailto:aws-blueprint-project@krafton.com(706877673977)" TargetMode="External"/><Relationship Id="rId34" Type="http://schemas.openxmlformats.org/officeDocument/2006/relationships/hyperlink" Target="https://ask.krafton.com/browse/ASKIT-44259" TargetMode="External"/><Relationship Id="rId50" Type="http://schemas.openxmlformats.org/officeDocument/2006/relationships/hyperlink" Target="https://ask.krafton.com/browse/ASKIT-45100" TargetMode="External"/><Relationship Id="rId55" Type="http://schemas.openxmlformats.org/officeDocument/2006/relationships/hyperlink" Target="mailto:aws-ignt-chess-prod@krafton.com" TargetMode="External"/><Relationship Id="rId76" Type="http://schemas.openxmlformats.org/officeDocument/2006/relationships/vmlDrawing" Target="../drawings/vmlDrawing3.vml"/><Relationship Id="rId7" Type="http://schemas.openxmlformats.org/officeDocument/2006/relationships/hyperlink" Target="https://ask.krafton.com/browse/ASKIT-41569" TargetMode="External"/><Relationship Id="rId71" Type="http://schemas.openxmlformats.org/officeDocument/2006/relationships/hyperlink" Target="https://ask.krafton.com/browse/ASKIT-46086" TargetMode="External"/><Relationship Id="rId2" Type="http://schemas.openxmlformats.org/officeDocument/2006/relationships/hyperlink" Target="https://ask.krafton.com/browse/ASKIT-41346" TargetMode="External"/><Relationship Id="rId29" Type="http://schemas.openxmlformats.org/officeDocument/2006/relationships/hyperlink" Target="mailto:aws-msn-valor-staging@pubg.com(117891393965)"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sk.krafton.com/browse/ASKIT-27918,%20askit-18641.Azure%20Databricks%20&#48516;&#49437;%20&#54872;&#44221;&#50857;%20&#44396;&#46021;" TargetMode="External"/><Relationship Id="rId13" Type="http://schemas.openxmlformats.org/officeDocument/2006/relationships/hyperlink" Target="https://ask.krafton.com/browse/ASKIT-39295" TargetMode="External"/><Relationship Id="rId18" Type="http://schemas.openxmlformats.org/officeDocument/2006/relationships/hyperlink" Target="https://ask.krafton.com/browse/ASKIT-37675" TargetMode="External"/><Relationship Id="rId26" Type="http://schemas.openxmlformats.org/officeDocument/2006/relationships/vmlDrawing" Target="../drawings/vmlDrawing4.vml"/><Relationship Id="rId3"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21" Type="http://schemas.openxmlformats.org/officeDocument/2006/relationships/hyperlink" Target="https://ask.krafton.com/browse/ASKIT-38096" TargetMode="External"/><Relationship Id="rId7"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2" Type="http://schemas.openxmlformats.org/officeDocument/2006/relationships/hyperlink" Target="https://ask.krafton.com/browse/ASKIT-33055" TargetMode="External"/><Relationship Id="rId17" Type="http://schemas.openxmlformats.org/officeDocument/2006/relationships/hyperlink" Target="https://ask.krafton.com/browse/ASKIT-37675" TargetMode="External"/><Relationship Id="rId25" Type="http://schemas.openxmlformats.org/officeDocument/2006/relationships/hyperlink" Target="https://ask.krafton.com/browse/ASKIT-45770" TargetMode="External"/><Relationship Id="rId2" Type="http://schemas.openxmlformats.org/officeDocument/2006/relationships/hyperlink" Target="https://ask.krafton.com/browse/ASKIT-29090/https:/jira.krafton.com/browse/ASKIT-24250" TargetMode="External"/><Relationship Id="rId16" Type="http://schemas.openxmlformats.org/officeDocument/2006/relationships/hyperlink" Target="https://ask.krafton.com/browse/ASKIT-39214" TargetMode="External"/><Relationship Id="rId20" Type="http://schemas.openxmlformats.org/officeDocument/2006/relationships/hyperlink" Target="https://ask.krafton.com/browse/ASKIT-38096" TargetMode="External"/><Relationship Id="rId29" Type="http://schemas.microsoft.com/office/2017/10/relationships/threadedComment" Target="../threadedComments/threadedComment4.xml"/><Relationship Id="rId1" Type="http://schemas.openxmlformats.org/officeDocument/2006/relationships/hyperlink" Target="https://jira.krafton.com/browse/ASKIT-24250" TargetMode="External"/><Relationship Id="rId6"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1" Type="http://schemas.openxmlformats.org/officeDocument/2006/relationships/hyperlink" Target="https://ask.krafton.com/browse/ASKIT-33845" TargetMode="External"/><Relationship Id="rId24" Type="http://schemas.openxmlformats.org/officeDocument/2006/relationships/hyperlink" Target="https://ask.krafton.com/browse/ASKIT-45551" TargetMode="External"/><Relationship Id="rId5"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15" Type="http://schemas.openxmlformats.org/officeDocument/2006/relationships/hyperlink" Target="https://ask.krafton.com/browse/ASKIT-37675" TargetMode="External"/><Relationship Id="rId23" Type="http://schemas.openxmlformats.org/officeDocument/2006/relationships/hyperlink" Target="https://ask.krafton.com/browse/ASKIT-43948" TargetMode="External"/><Relationship Id="rId28" Type="http://schemas.openxmlformats.org/officeDocument/2006/relationships/comments" Target="../comments4.xml"/><Relationship Id="rId10" Type="http://schemas.openxmlformats.org/officeDocument/2006/relationships/hyperlink" Target="https://ask.krafton.com/browse/ASKIT-37599" TargetMode="External"/><Relationship Id="rId19" Type="http://schemas.openxmlformats.org/officeDocument/2006/relationships/hyperlink" Target="https://ask.krafton.com/browse/ASKIT-37599" TargetMode="External"/><Relationship Id="rId4" Type="http://schemas.openxmlformats.org/officeDocument/2006/relationships/hyperlink" Target="https://ask.krafton.com/browse/ASKIT-27818,25&#45380;%205&#50900;&#48512;&#53552;%20&#51109;&#51008;&#51652;&#45784;&#51004;&#47196;%20&#48320;&#44221;,24&#45380;%202&#50900;&#48512;&#53552;&#45716;%20&#51221;&#49849;&#54840;&#45784;&#51060;%20&#45812;&#45817;" TargetMode="External"/><Relationship Id="rId9" Type="http://schemas.openxmlformats.org/officeDocument/2006/relationships/hyperlink" Target="https://ask.krafton.com/browse/ASKIT-28499" TargetMode="External"/><Relationship Id="rId14" Type="http://schemas.openxmlformats.org/officeDocument/2006/relationships/hyperlink" Target="https://ask.krafton.com/browse/ASKIT-38096" TargetMode="External"/><Relationship Id="rId22" Type="http://schemas.openxmlformats.org/officeDocument/2006/relationships/hyperlink" Target="https://ask.krafton.com/browse/ASKIT-45103" TargetMode="External"/><Relationship Id="rId27"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3" Type="http://schemas.openxmlformats.org/officeDocument/2006/relationships/hyperlink" Target="https://cloud.jira.krafton.com/browse/ASKIT-17127" TargetMode="External"/><Relationship Id="rId18" Type="http://schemas.openxmlformats.org/officeDocument/2006/relationships/hyperlink" Target="https://ask.krafton.com/browse/ASKIT-30923" TargetMode="External"/><Relationship Id="rId26" Type="http://schemas.openxmlformats.org/officeDocument/2006/relationships/hyperlink" Target="https://ask.krafton.com/browse/ASKIT-33627" TargetMode="External"/><Relationship Id="rId39" Type="http://schemas.openxmlformats.org/officeDocument/2006/relationships/hyperlink" Target="https://ask.krafton.com/browse/ASKIT-43573" TargetMode="External"/><Relationship Id="rId21" Type="http://schemas.openxmlformats.org/officeDocument/2006/relationships/hyperlink" Target="https://ask.krafton.com/browse/ASKIT-30437" TargetMode="External"/><Relationship Id="rId34" Type="http://schemas.openxmlformats.org/officeDocument/2006/relationships/hyperlink" Target="https://ask.krafton.com/browse/ASKIT-40266" TargetMode="External"/><Relationship Id="rId42" Type="http://schemas.openxmlformats.org/officeDocument/2006/relationships/hyperlink" Target="https://ask.krafton.com/projects/ASKIT/queues/issue/ASKIT-44781" TargetMode="External"/><Relationship Id="rId47" Type="http://schemas.openxmlformats.org/officeDocument/2006/relationships/vmlDrawing" Target="../drawings/vmlDrawing9.vml"/><Relationship Id="rId50" Type="http://schemas.microsoft.com/office/2017/10/relationships/threadedComment" Target="../threadedComments/threadedComment9.xml"/><Relationship Id="rId7" Type="http://schemas.openxmlformats.org/officeDocument/2006/relationships/hyperlink" Target="https://ask.krafton.com/browse/ASKIT-27727" TargetMode="External"/><Relationship Id="rId2" Type="http://schemas.openxmlformats.org/officeDocument/2006/relationships/hyperlink" Target="https://ask.krafton.com/browse/ASKIT-26386" TargetMode="External"/><Relationship Id="rId16" Type="http://schemas.openxmlformats.org/officeDocument/2006/relationships/hyperlink" Target="https://ask.krafton.com/browse/ASKIT-32553" TargetMode="External"/><Relationship Id="rId29" Type="http://schemas.openxmlformats.org/officeDocument/2006/relationships/hyperlink" Target="https://ask.krafton.com/browse/ASKIT-32979" TargetMode="External"/><Relationship Id="rId11" Type="http://schemas.openxmlformats.org/officeDocument/2006/relationships/hyperlink" Target="https://ask.krafton.com/browse/ASKIT-24217" TargetMode="External"/><Relationship Id="rId24" Type="http://schemas.openxmlformats.org/officeDocument/2006/relationships/hyperlink" Target="https://ask.krafton.com/browse/ASKIT-30204" TargetMode="External"/><Relationship Id="rId32" Type="http://schemas.openxmlformats.org/officeDocument/2006/relationships/hyperlink" Target="https://ask.krafton.com/browse/ASKIT-42161" TargetMode="External"/><Relationship Id="rId37" Type="http://schemas.openxmlformats.org/officeDocument/2006/relationships/hyperlink" Target="https://ask.krafton.com/browse/ASKIT-41373" TargetMode="External"/><Relationship Id="rId40" Type="http://schemas.openxmlformats.org/officeDocument/2006/relationships/hyperlink" Target="https://ask.krafton.com/browse/ASKIT-43110" TargetMode="External"/><Relationship Id="rId45" Type="http://schemas.openxmlformats.org/officeDocument/2006/relationships/hyperlink" Target="https://ask.krafton.com/browse/ASKIT-29358" TargetMode="External"/><Relationship Id="rId5" Type="http://schemas.openxmlformats.org/officeDocument/2006/relationships/hyperlink" Target="https://ask.krafton.com/browse/ASKIT-27729" TargetMode="External"/><Relationship Id="rId15" Type="http://schemas.openxmlformats.org/officeDocument/2006/relationships/hyperlink" Target="https://ask.krafton.com/browse/ASKIT-32782" TargetMode="External"/><Relationship Id="rId23" Type="http://schemas.openxmlformats.org/officeDocument/2006/relationships/hyperlink" Target="https://ask.krafton.com/browse/ASKIT-31967" TargetMode="External"/><Relationship Id="rId28" Type="http://schemas.openxmlformats.org/officeDocument/2006/relationships/hyperlink" Target="https://ask.krafton.com/browse/ASKIT-37996" TargetMode="External"/><Relationship Id="rId36" Type="http://schemas.openxmlformats.org/officeDocument/2006/relationships/hyperlink" Target="https://ask.krafton.com/browse/ASKIT-41944" TargetMode="External"/><Relationship Id="rId49" Type="http://schemas.openxmlformats.org/officeDocument/2006/relationships/comments" Target="../comments9.xml"/><Relationship Id="rId10" Type="http://schemas.openxmlformats.org/officeDocument/2006/relationships/hyperlink" Target="https://ask.krafton.com/browse/ASKIT-28420/LG%20CNS%20&#54616;&#48512;%20&#44228;&#51221;&#51004;&#47196;%20PoC&#51652;&#54665;%20&#51473;,%20Max%2049K&#44620;&#51648;%20Credit%20&#49548;&#51652;&#49884;&#44620;&#51648;%20&#45817;&#48516;&#44036;%20&#48708;&#50857;%20&#48156;&#49373;&#54616;&#51648;%20&#50506;&#51020;" TargetMode="External"/><Relationship Id="rId19" Type="http://schemas.openxmlformats.org/officeDocument/2006/relationships/hyperlink" Target="https://ask.krafton.com/browse/ASKIT-32260" TargetMode="External"/><Relationship Id="rId31" Type="http://schemas.openxmlformats.org/officeDocument/2006/relationships/hyperlink" Target="https://ask.krafton.com/browse/ASKIT-39345" TargetMode="External"/><Relationship Id="rId44" Type="http://schemas.openxmlformats.org/officeDocument/2006/relationships/hyperlink" Target="https://ask.krafton.com/browse/ASKIT-43210" TargetMode="External"/><Relationship Id="rId4" Type="http://schemas.openxmlformats.org/officeDocument/2006/relationships/hyperlink" Target="https://ask.krafton.com/browse/ASKIT-27850" TargetMode="External"/><Relationship Id="rId9" Type="http://schemas.openxmlformats.org/officeDocument/2006/relationships/hyperlink" Target="https://ask.krafton.com/browse/ASKIT-28425/GCP%20Kubernetes%20&#53364;&#47084;&#49828;&#53552;%20&#53580;&#49828;&#53944;%20&#48143;%20Vertex%20/%20Google%20AI%20Studio%20&#46321;%20AI%20&#49556;&#47336;&#49496;%20&#54876;&#50857;" TargetMode="External"/><Relationship Id="rId14" Type="http://schemas.openxmlformats.org/officeDocument/2006/relationships/hyperlink" Target="https://ask.krafton.com/browse/ASKIT-26336" TargetMode="External"/><Relationship Id="rId22" Type="http://schemas.openxmlformats.org/officeDocument/2006/relationships/hyperlink" Target="https://ask.krafton.com/browse/ASKIT-32261" TargetMode="External"/><Relationship Id="rId27" Type="http://schemas.openxmlformats.org/officeDocument/2006/relationships/hyperlink" Target="https://ask.krafton.com/browse/ASKIT-30216" TargetMode="External"/><Relationship Id="rId30" Type="http://schemas.openxmlformats.org/officeDocument/2006/relationships/hyperlink" Target="https://ask.krafton.com/browse/ASKIT-33889" TargetMode="External"/><Relationship Id="rId35" Type="http://schemas.openxmlformats.org/officeDocument/2006/relationships/hyperlink" Target="https://ask.krafton.com/browse/ASKIT-39534" TargetMode="External"/><Relationship Id="rId43" Type="http://schemas.openxmlformats.org/officeDocument/2006/relationships/hyperlink" Target="https://ask.krafton.com/browse/ASKIT-44801" TargetMode="External"/><Relationship Id="rId48" Type="http://schemas.openxmlformats.org/officeDocument/2006/relationships/table" Target="../tables/table8.xml"/><Relationship Id="rId8" Type="http://schemas.openxmlformats.org/officeDocument/2006/relationships/hyperlink" Target="https://ask.krafton.com/browse/ASKIT-28514" TargetMode="External"/><Relationship Id="rId3" Type="http://schemas.openxmlformats.org/officeDocument/2006/relationships/hyperlink" Target="https://ask.krafton.com/browse/ASKIT-24653" TargetMode="External"/><Relationship Id="rId12" Type="http://schemas.openxmlformats.org/officeDocument/2006/relationships/hyperlink" Target="https://ask.krafton.com/browse/ASKIT-25110" TargetMode="External"/><Relationship Id="rId17" Type="http://schemas.openxmlformats.org/officeDocument/2006/relationships/hyperlink" Target="https://ask.krafton.com/projects/ASKIT/queues/issue/ASKIT-31858" TargetMode="External"/><Relationship Id="rId25" Type="http://schemas.openxmlformats.org/officeDocument/2006/relationships/hyperlink" Target="https://ask.krafton.com/browse/ASKIT-35276" TargetMode="External"/><Relationship Id="rId33" Type="http://schemas.openxmlformats.org/officeDocument/2006/relationships/hyperlink" Target="https://ask.krafton.com/browse/ASKIT-41836" TargetMode="External"/><Relationship Id="rId38" Type="http://schemas.openxmlformats.org/officeDocument/2006/relationships/hyperlink" Target="https://ask.krafton.com/browse/ASKIT-40718" TargetMode="External"/><Relationship Id="rId46" Type="http://schemas.openxmlformats.org/officeDocument/2006/relationships/printerSettings" Target="../printerSettings/printerSettings4.bin"/><Relationship Id="rId20" Type="http://schemas.openxmlformats.org/officeDocument/2006/relationships/hyperlink" Target="https://ask.krafton.com/browse/ASKIT-33205" TargetMode="External"/><Relationship Id="rId41" Type="http://schemas.openxmlformats.org/officeDocument/2006/relationships/hyperlink" Target="https://ask.krafton.com/browse/ASKIT-42825" TargetMode="External"/><Relationship Id="rId1" Type="http://schemas.openxmlformats.org/officeDocument/2006/relationships/hyperlink" Target="https://jira.krafton.com/browse/ASKIT-24251" TargetMode="External"/><Relationship Id="rId6" Type="http://schemas.openxmlformats.org/officeDocument/2006/relationships/hyperlink" Target="https://ask.krafton.com/browse/ASKIT-27724"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8E96-5769-DC4F-BC7C-3E738CCF44D9}">
  <sheetPr codeName="Sheet1"/>
  <dimension ref="A1:AA588"/>
  <sheetViews>
    <sheetView tabSelected="1" zoomScale="120" zoomScaleNormal="120" workbookViewId="0">
      <pane xSplit="11" ySplit="3" topLeftCell="U36" activePane="bottomRight" state="frozen"/>
      <selection pane="topRight" activeCell="L1" sqref="L1"/>
      <selection pane="bottomLeft" activeCell="A4" sqref="A4"/>
      <selection pane="bottomRight" activeCell="H44" sqref="H44"/>
    </sheetView>
  </sheetViews>
  <sheetFormatPr baseColWidth="10" defaultColWidth="9" defaultRowHeight="13.5" customHeight="1"/>
  <cols>
    <col min="1" max="1" width="17.33203125" style="7" customWidth="1"/>
    <col min="2" max="2" width="13" style="7" customWidth="1"/>
    <col min="3" max="3" width="13.5" style="7" customWidth="1"/>
    <col min="4" max="4" width="31.5" style="7" customWidth="1"/>
    <col min="5" max="5" width="27.6640625" style="7" customWidth="1"/>
    <col min="6" max="6" width="17.6640625" style="7" hidden="1" customWidth="1"/>
    <col min="7" max="7" width="14.6640625" style="7" hidden="1" customWidth="1"/>
    <col min="8" max="8" width="45.1640625" style="7" customWidth="1"/>
    <col min="9" max="9" width="22.83203125" style="7" customWidth="1"/>
    <col min="10" max="10" width="16.1640625" style="7" customWidth="1"/>
    <col min="11" max="11" width="10.5" style="90" customWidth="1"/>
    <col min="12" max="12" width="17.6640625" style="86" customWidth="1"/>
    <col min="13" max="13" width="17.83203125" style="89" customWidth="1"/>
    <col min="14" max="14" width="17.1640625" style="88" customWidth="1"/>
    <col min="15" max="15" width="17.33203125" style="88" customWidth="1"/>
    <col min="16" max="16" width="17.1640625" style="88" customWidth="1"/>
    <col min="17" max="17" width="17" style="88" customWidth="1"/>
    <col min="18" max="18" width="18.5" style="88" customWidth="1"/>
    <col min="19" max="19" width="17.83203125" style="88" customWidth="1"/>
    <col min="20" max="20" width="17.1640625" style="88" bestFit="1" customWidth="1"/>
    <col min="21" max="23" width="19" style="88" customWidth="1"/>
    <col min="24" max="24" width="24.6640625" style="87" customWidth="1"/>
    <col min="25" max="25" width="15.83203125" style="7" bestFit="1" customWidth="1"/>
    <col min="26" max="26" width="14.33203125" style="7" bestFit="1" customWidth="1"/>
    <col min="27" max="27" width="12.6640625" style="7" customWidth="1"/>
    <col min="28" max="16369" width="9" style="7"/>
    <col min="16370" max="16370" width="9" style="7" bestFit="1"/>
    <col min="16371" max="16384" width="9" style="7"/>
  </cols>
  <sheetData>
    <row r="1" spans="1:27" ht="15">
      <c r="A1" s="101" t="s">
        <v>0</v>
      </c>
      <c r="B1" s="102"/>
      <c r="C1" s="102"/>
      <c r="D1" s="102"/>
      <c r="E1" s="102"/>
      <c r="F1" s="102"/>
      <c r="G1" s="102"/>
      <c r="H1" s="102"/>
      <c r="I1" s="102"/>
      <c r="J1" s="102" t="s">
        <v>1</v>
      </c>
      <c r="K1" s="103"/>
      <c r="L1" s="104"/>
      <c r="M1" s="105"/>
      <c r="N1" s="105"/>
      <c r="O1" s="105"/>
      <c r="P1" s="105"/>
      <c r="Q1" s="105"/>
      <c r="R1" s="106"/>
      <c r="S1" s="106"/>
      <c r="T1" s="106"/>
      <c r="U1" s="106"/>
      <c r="V1" s="106"/>
      <c r="W1" s="106"/>
      <c r="X1" s="107"/>
      <c r="Y1" s="108"/>
      <c r="Z1" s="102"/>
    </row>
    <row r="2" spans="1:27" ht="15">
      <c r="A2" s="109" t="s">
        <v>2</v>
      </c>
      <c r="B2" s="102"/>
      <c r="C2" s="102"/>
      <c r="D2" s="102"/>
      <c r="E2" s="102"/>
      <c r="F2" s="102"/>
      <c r="G2" s="102"/>
      <c r="H2" s="102"/>
      <c r="I2" s="102"/>
      <c r="J2" s="102"/>
      <c r="K2" s="103"/>
      <c r="L2" s="104"/>
      <c r="M2" s="104"/>
      <c r="N2" s="104"/>
      <c r="O2" s="104"/>
      <c r="P2" s="104"/>
      <c r="Q2" s="104"/>
      <c r="R2" s="104"/>
      <c r="S2" s="104"/>
      <c r="T2" s="104"/>
      <c r="U2" s="104"/>
      <c r="V2" s="104"/>
      <c r="W2" s="104"/>
      <c r="X2" s="110"/>
      <c r="Y2" s="111"/>
      <c r="Z2" s="111"/>
    </row>
    <row r="3" spans="1:27" s="171" customFormat="1" ht="47.25" customHeight="1">
      <c r="A3" s="193" t="s">
        <v>3</v>
      </c>
      <c r="B3" s="193" t="s">
        <v>4</v>
      </c>
      <c r="C3" s="193" t="s">
        <v>5</v>
      </c>
      <c r="D3" s="193" t="s">
        <v>6</v>
      </c>
      <c r="E3" s="193" t="s">
        <v>7</v>
      </c>
      <c r="F3" s="194" t="s">
        <v>8</v>
      </c>
      <c r="G3" s="195" t="s">
        <v>9</v>
      </c>
      <c r="H3" s="193" t="s">
        <v>10</v>
      </c>
      <c r="I3" s="193" t="s">
        <v>11</v>
      </c>
      <c r="J3" s="194" t="s">
        <v>12</v>
      </c>
      <c r="K3" s="193" t="s">
        <v>13</v>
      </c>
      <c r="L3" s="193" t="s">
        <v>14</v>
      </c>
      <c r="M3" s="193" t="s">
        <v>15</v>
      </c>
      <c r="N3" s="193" t="s">
        <v>16</v>
      </c>
      <c r="O3" s="193" t="s">
        <v>17</v>
      </c>
      <c r="P3" s="193" t="s">
        <v>18</v>
      </c>
      <c r="Q3" s="193" t="s">
        <v>19</v>
      </c>
      <c r="R3" s="193" t="s">
        <v>20</v>
      </c>
      <c r="S3" s="193" t="s">
        <v>21</v>
      </c>
      <c r="T3" s="194" t="s">
        <v>22</v>
      </c>
      <c r="U3" s="194" t="s">
        <v>23</v>
      </c>
      <c r="V3" s="194" t="s">
        <v>24</v>
      </c>
      <c r="W3" s="194" t="s">
        <v>6188</v>
      </c>
      <c r="X3" s="194" t="s">
        <v>6189</v>
      </c>
      <c r="Y3" s="193" t="s">
        <v>25</v>
      </c>
      <c r="Z3" s="193" t="s">
        <v>26</v>
      </c>
      <c r="AA3" s="196" t="s">
        <v>27</v>
      </c>
    </row>
    <row r="4" spans="1:27" s="8" customFormat="1" ht="15">
      <c r="A4" s="201" t="str">
        <f>VLOOKUP($H4,Akamai!$A:$H,2,0)</f>
        <v>Akamai</v>
      </c>
      <c r="B4" s="201" t="str">
        <f>VLOOKUP($H4,Akamai!$A:$H,3,0)</f>
        <v>KRAFTON HQ</v>
      </c>
      <c r="C4" s="201" t="str">
        <f>VLOOKUP($H4,Akamai!$A:$H,4,0)</f>
        <v>KRAFTON HQ</v>
      </c>
      <c r="D4" s="201" t="str">
        <f>VLOOKUP($H4,Akamai!$A:$H,5,0)</f>
        <v>Publishing Tech PM Part</v>
      </c>
      <c r="E4" s="201" t="str">
        <f>VLOOKUP($H4,Akamai!$A:$H,6,0)</f>
        <v>Dark and Darker_Mobile</v>
      </c>
      <c r="F4" s="202">
        <f>VLOOKUP(표9[[#This Row],[Team]],표1[[내역]:[코스트 센터]],2,0)</f>
        <v>101269</v>
      </c>
      <c r="G4" s="202" t="str">
        <f>VLOOKUP(표9[[#This Row],[Project]],표2[],2,0)</f>
        <v>P100030073</v>
      </c>
      <c r="H4" s="201" t="s">
        <v>28</v>
      </c>
      <c r="I4" s="201" t="str">
        <f>VLOOKUP($H4,Akamai!$A:$H,7,0)</f>
        <v>김정언</v>
      </c>
      <c r="J4" s="201" t="str">
        <f>VLOOKUP($H4,Akamai!$A:$H,8,0)</f>
        <v>김정언</v>
      </c>
      <c r="K4" s="185" t="s">
        <v>29</v>
      </c>
      <c r="L4" s="203">
        <v>191794</v>
      </c>
      <c r="M4" s="204">
        <v>12151797</v>
      </c>
      <c r="N4" s="205">
        <v>1647138</v>
      </c>
      <c r="O4" s="205">
        <v>998557</v>
      </c>
      <c r="P4" s="205">
        <v>687485</v>
      </c>
      <c r="Q4" s="205">
        <v>656031</v>
      </c>
      <c r="R4" s="205">
        <v>372478</v>
      </c>
      <c r="S4" s="205">
        <v>371022</v>
      </c>
      <c r="T4" s="205">
        <v>241926</v>
      </c>
      <c r="U4" s="205">
        <v>56897</v>
      </c>
      <c r="V4" s="205">
        <v>49010</v>
      </c>
      <c r="W4" s="205">
        <f>ROUND(표9[[#This Row],[Apr 2026 (USD or KRW)]],0)</f>
        <v>0</v>
      </c>
      <c r="X4" s="205"/>
      <c r="Y4" s="206">
        <f>표9[[#This Row],[Apr 2027(KRW)]]-표9[[#This Row],[Mar 2026(KRW)]]</f>
        <v>-49010</v>
      </c>
      <c r="Z4" s="207">
        <f t="shared" ref="Z4:Z67" si="0">IF(V4=0,"",(W4-V4)/V4)</f>
        <v>-1</v>
      </c>
      <c r="AA4" s="208">
        <f>VLOOKUP(표9[[#This Row],[Team]],표1[],3,0)</f>
        <v>1000</v>
      </c>
    </row>
    <row r="5" spans="1:27" s="8" customFormat="1" ht="15">
      <c r="A5" s="209" t="str">
        <f>VLOOKUP($H5,Akamai!$A:$H,2,0)</f>
        <v>Akamai</v>
      </c>
      <c r="B5" s="209" t="str">
        <f>VLOOKUP($H5,Akamai!$A:$H,3,0)</f>
        <v>KRAFTON HQ</v>
      </c>
      <c r="C5" s="209" t="str">
        <f>VLOOKUP($H5,Akamai!$A:$H,4,0)</f>
        <v>KRAFTON HQ</v>
      </c>
      <c r="D5" s="209" t="str">
        <f>VLOOKUP($H5,Akamai!$A:$H,5,0)</f>
        <v>IT Dept.</v>
      </c>
      <c r="E5" s="209" t="str">
        <f>VLOOKUP($H5,Akamai!$A:$H,6,0)</f>
        <v>OVERHEAD/OTHERS</v>
      </c>
      <c r="F5" s="202">
        <f>VLOOKUP(표9[[#This Row],[Team]],표1[[내역]:[코스트 센터]],2,0)</f>
        <v>100036</v>
      </c>
      <c r="G5" s="202" t="str">
        <f>VLOOKUP(표9[[#This Row],[Project]],표2[],2,0)</f>
        <v>I100099999</v>
      </c>
      <c r="H5" s="209" t="s">
        <v>30</v>
      </c>
      <c r="I5" s="209" t="str">
        <f>VLOOKUP($H5,Akamai!$A:$H,7,0)</f>
        <v>이윤슬</v>
      </c>
      <c r="J5" s="209" t="str">
        <f>VLOOKUP($H5,Akamai!$A:$H,8,0)</f>
        <v>이윤슬</v>
      </c>
      <c r="K5" s="185" t="s">
        <v>29</v>
      </c>
      <c r="L5" s="210">
        <v>2850000</v>
      </c>
      <c r="M5" s="211">
        <v>2850000</v>
      </c>
      <c r="N5" s="212">
        <v>2850000</v>
      </c>
      <c r="O5" s="212">
        <v>2850000</v>
      </c>
      <c r="P5" s="212">
        <v>2850000</v>
      </c>
      <c r="Q5" s="212">
        <v>2850000</v>
      </c>
      <c r="R5" s="212">
        <v>2850000</v>
      </c>
      <c r="S5" s="212">
        <v>2850000</v>
      </c>
      <c r="T5" s="212">
        <v>2850000</v>
      </c>
      <c r="U5" s="212">
        <v>2850000</v>
      </c>
      <c r="V5" s="205">
        <v>2935500</v>
      </c>
      <c r="W5" s="205">
        <f>ROUND(표9[[#This Row],[Apr 2026 (USD or KRW)]],0)</f>
        <v>0</v>
      </c>
      <c r="X5" s="212"/>
      <c r="Y5" s="206">
        <f>표9[[#This Row],[Apr 2027(KRW)]]-표9[[#This Row],[Mar 2026(KRW)]]</f>
        <v>-2935500</v>
      </c>
      <c r="Z5" s="213">
        <f t="shared" si="0"/>
        <v>-1</v>
      </c>
      <c r="AA5" s="208">
        <f>VLOOKUP(표9[[#This Row],[Team]],표1[],3,0)</f>
        <v>1000</v>
      </c>
    </row>
    <row r="6" spans="1:27" s="8" customFormat="1" ht="15">
      <c r="A6" s="209" t="str">
        <f>VLOOKUP($H6,Akamai!$A:$H,2,0)</f>
        <v>Akamai</v>
      </c>
      <c r="B6" s="209" t="str">
        <f>VLOOKUP($H6,Akamai!$A:$H,3,0)</f>
        <v>KRAFTON HQ</v>
      </c>
      <c r="C6" s="209" t="str">
        <f>VLOOKUP($H6,Akamai!$A:$H,4,0)</f>
        <v>KRAFTON HQ</v>
      </c>
      <c r="D6" s="209" t="str">
        <f>VLOOKUP($H6,Akamai!$A:$H,5,0)</f>
        <v>KOS Engineering Dept.</v>
      </c>
      <c r="E6" s="209" t="str">
        <f>VLOOKUP($H6,Akamai!$A:$H,6,0)</f>
        <v>GPP</v>
      </c>
      <c r="F6" s="202">
        <f>VLOOKUP(표9[[#This Row],[Team]],표1[[내역]:[코스트 센터]],2,0)</f>
        <v>100025</v>
      </c>
      <c r="G6" s="202" t="str">
        <f>VLOOKUP(표9[[#This Row],[Project]],표2[],2,0)</f>
        <v>I100090813</v>
      </c>
      <c r="H6" s="209" t="s">
        <v>31</v>
      </c>
      <c r="I6" s="209" t="str">
        <f>VLOOKUP($H6,Akamai!$A:$H,7,0)</f>
        <v>이의석</v>
      </c>
      <c r="J6" s="209" t="str">
        <f>VLOOKUP($H6,Akamai!$A:$H,8,0)</f>
        <v>이의석</v>
      </c>
      <c r="K6" s="186" t="s">
        <v>29</v>
      </c>
      <c r="L6" s="210">
        <v>16500000</v>
      </c>
      <c r="M6" s="211">
        <v>16500000</v>
      </c>
      <c r="N6" s="212">
        <v>17302333</v>
      </c>
      <c r="O6" s="212">
        <v>16500000</v>
      </c>
      <c r="P6" s="212">
        <v>16500000</v>
      </c>
      <c r="Q6" s="212">
        <v>16500000</v>
      </c>
      <c r="R6" s="212">
        <v>16500000</v>
      </c>
      <c r="S6" s="212">
        <v>19189620</v>
      </c>
      <c r="T6" s="212">
        <v>16500000</v>
      </c>
      <c r="U6" s="212">
        <v>16500000</v>
      </c>
      <c r="V6" s="205">
        <v>16995000</v>
      </c>
      <c r="W6" s="205">
        <f>ROUND(표9[[#This Row],[Apr 2026 (USD or KRW)]],0)</f>
        <v>0</v>
      </c>
      <c r="X6" s="212"/>
      <c r="Y6" s="206">
        <f>표9[[#This Row],[Apr 2027(KRW)]]-표9[[#This Row],[Mar 2026(KRW)]]</f>
        <v>-16995000</v>
      </c>
      <c r="Z6" s="213">
        <f t="shared" si="0"/>
        <v>-1</v>
      </c>
      <c r="AA6" s="208">
        <f>VLOOKUP(표9[[#This Row],[Team]],표1[],3,0)</f>
        <v>1000</v>
      </c>
    </row>
    <row r="7" spans="1:27" s="8" customFormat="1" ht="15">
      <c r="A7" s="209" t="str">
        <f>VLOOKUP($H7,Akamai!$A:$H,2,0)</f>
        <v>Akamai</v>
      </c>
      <c r="B7" s="209" t="str">
        <f>VLOOKUP($H7,Akamai!$A:$H,3,0)</f>
        <v>KRAFTON HQ</v>
      </c>
      <c r="C7" s="209" t="str">
        <f>VLOOKUP($H7,Akamai!$A:$H,4,0)</f>
        <v>KRAFTON HQ</v>
      </c>
      <c r="D7" s="209" t="str">
        <f>VLOOKUP($H7,Akamai!$A:$H,5,0)</f>
        <v>IT Dept.</v>
      </c>
      <c r="E7" s="209" t="str">
        <f>VLOOKUP($H7,Akamai!$A:$H,6,0)</f>
        <v>OVERHEAD/OTHERS</v>
      </c>
      <c r="F7" s="202">
        <f>VLOOKUP(표9[[#This Row],[Team]],표1[[내역]:[코스트 센터]],2,0)</f>
        <v>100036</v>
      </c>
      <c r="G7" s="202" t="str">
        <f>VLOOKUP(표9[[#This Row],[Project]],표2[],2,0)</f>
        <v>I100099999</v>
      </c>
      <c r="H7" s="209" t="s">
        <v>32</v>
      </c>
      <c r="I7" s="209" t="str">
        <f>VLOOKUP($H7,Akamai!$A:$H,7,0)</f>
        <v>백용원</v>
      </c>
      <c r="J7" s="209" t="str">
        <f>VLOOKUP($H7,Akamai!$A:$H,8,0)</f>
        <v>백용원</v>
      </c>
      <c r="K7" s="186" t="s">
        <v>29</v>
      </c>
      <c r="L7" s="210">
        <v>6736</v>
      </c>
      <c r="M7" s="211">
        <v>6295</v>
      </c>
      <c r="N7" s="212">
        <v>18686</v>
      </c>
      <c r="O7" s="212">
        <v>0</v>
      </c>
      <c r="P7" s="212">
        <v>0</v>
      </c>
      <c r="Q7" s="212">
        <v>0</v>
      </c>
      <c r="R7" s="212">
        <v>0</v>
      </c>
      <c r="S7" s="212">
        <v>22440</v>
      </c>
      <c r="T7" s="212">
        <v>0</v>
      </c>
      <c r="U7" s="212">
        <v>0</v>
      </c>
      <c r="V7" s="205">
        <v>0</v>
      </c>
      <c r="W7" s="205">
        <f>ROUND(표9[[#This Row],[Apr 2026 (USD or KRW)]],0)</f>
        <v>0</v>
      </c>
      <c r="X7" s="212"/>
      <c r="Y7" s="206">
        <f>표9[[#This Row],[Apr 2027(KRW)]]-표9[[#This Row],[Mar 2026(KRW)]]</f>
        <v>0</v>
      </c>
      <c r="Z7" s="213" t="str">
        <f t="shared" si="0"/>
        <v/>
      </c>
      <c r="AA7" s="208">
        <f>VLOOKUP(표9[[#This Row],[Team]],표1[],3,0)</f>
        <v>1000</v>
      </c>
    </row>
    <row r="8" spans="1:27" s="8" customFormat="1" ht="15">
      <c r="A8" s="209" t="str">
        <f>VLOOKUP($H8,Akamai!$A:$H,2,0)</f>
        <v>Akamai</v>
      </c>
      <c r="B8" s="209" t="str">
        <f>VLOOKUP($H8,Akamai!$A:$H,3,0)</f>
        <v>KRAFTON HQ</v>
      </c>
      <c r="C8" s="209" t="str">
        <f>VLOOKUP($H8,Akamai!$A:$H,4,0)</f>
        <v>PUBG NewState</v>
      </c>
      <c r="D8" s="209" t="str">
        <f>VLOOKUP($H8,Akamai!$A:$H,5,0)</f>
        <v>[N/A]New State Dev Div.</v>
      </c>
      <c r="E8" s="209" t="str">
        <f>VLOOKUP($H8,Akamai!$A:$H,6,0)</f>
        <v>PUBG:NEW STATE</v>
      </c>
      <c r="F8" s="202">
        <f>VLOOKUP(표9[[#This Row],[Team]],표1[[내역]:[코스트 센터]],2,0)</f>
        <v>100368</v>
      </c>
      <c r="G8" s="202" t="str">
        <f>VLOOKUP(표9[[#This Row],[Project]],표2[],2,0)</f>
        <v>P100030014</v>
      </c>
      <c r="H8" s="209" t="s">
        <v>33</v>
      </c>
      <c r="I8" s="209" t="s">
        <v>34</v>
      </c>
      <c r="J8" s="209" t="str">
        <f>VLOOKUP($H8,Akamai!$A:$H,8,0)</f>
        <v>김태완</v>
      </c>
      <c r="K8" s="186" t="s">
        <v>29</v>
      </c>
      <c r="L8" s="210">
        <v>6202222</v>
      </c>
      <c r="M8" s="211">
        <v>6160035</v>
      </c>
      <c r="N8" s="212">
        <v>6218633</v>
      </c>
      <c r="O8" s="212">
        <v>6584628</v>
      </c>
      <c r="P8" s="212">
        <v>5198312</v>
      </c>
      <c r="Q8" s="212">
        <v>6649060</v>
      </c>
      <c r="R8" s="212">
        <v>6806509</v>
      </c>
      <c r="S8" s="212">
        <v>5804815</v>
      </c>
      <c r="T8" s="212">
        <v>6546446</v>
      </c>
      <c r="U8" s="212">
        <v>5466648</v>
      </c>
      <c r="V8" s="205">
        <v>5759285</v>
      </c>
      <c r="W8" s="205">
        <f>ROUND(표9[[#This Row],[Apr 2026 (USD or KRW)]],0)</f>
        <v>0</v>
      </c>
      <c r="X8" s="212"/>
      <c r="Y8" s="206">
        <f>표9[[#This Row],[Apr 2027(KRW)]]-표9[[#This Row],[Mar 2026(KRW)]]</f>
        <v>-5759285</v>
      </c>
      <c r="Z8" s="213">
        <f t="shared" si="0"/>
        <v>-1</v>
      </c>
      <c r="AA8" s="208">
        <f>VLOOKUP(표9[[#This Row],[Team]],표1[],3,0)</f>
        <v>1000</v>
      </c>
    </row>
    <row r="9" spans="1:27" s="8" customFormat="1" ht="15">
      <c r="A9" s="209" t="str">
        <f>VLOOKUP($H9,Akamai!$A:$H,2,0)</f>
        <v>Akamai</v>
      </c>
      <c r="B9" s="209" t="str">
        <f>VLOOKUP($H9,Akamai!$A:$H,3,0)</f>
        <v>KRAFTON HQ</v>
      </c>
      <c r="C9" s="209" t="str">
        <f>VLOOKUP($H9,Akamai!$A:$H,4,0)</f>
        <v>KRAFTON HQ</v>
      </c>
      <c r="D9" s="209" t="str">
        <f>VLOOKUP($H9,Akamai!$A:$H,5,0)</f>
        <v>Publishing Tech PM Part</v>
      </c>
      <c r="E9" s="209" t="str">
        <f>VLOOKUP($H9,Akamai!$A:$H,6,0)</f>
        <v>OVERHEAD/OTHERS</v>
      </c>
      <c r="F9" s="202">
        <f>VLOOKUP(표9[[#This Row],[Team]],표1[[내역]:[코스트 센터]],2,0)</f>
        <v>101269</v>
      </c>
      <c r="G9" s="202" t="str">
        <f>VLOOKUP(표9[[#This Row],[Project]],표2[],2,0)</f>
        <v>I100099999</v>
      </c>
      <c r="H9" s="209" t="s">
        <v>35</v>
      </c>
      <c r="I9" s="209" t="str">
        <f>VLOOKUP($H9,Akamai!$A:$H,7,0)</f>
        <v>김정언</v>
      </c>
      <c r="J9" s="209" t="str">
        <f>VLOOKUP($H9,Akamai!$A:$H,8,0)</f>
        <v>김정언</v>
      </c>
      <c r="K9" s="186" t="s">
        <v>29</v>
      </c>
      <c r="L9" s="210"/>
      <c r="M9" s="211"/>
      <c r="N9" s="212"/>
      <c r="O9" s="212"/>
      <c r="P9" s="212">
        <v>160</v>
      </c>
      <c r="Q9" s="212">
        <v>1</v>
      </c>
      <c r="R9" s="212">
        <v>1</v>
      </c>
      <c r="S9" s="212">
        <v>1</v>
      </c>
      <c r="T9" s="212">
        <v>2</v>
      </c>
      <c r="U9" s="212">
        <v>0</v>
      </c>
      <c r="V9" s="205">
        <v>0</v>
      </c>
      <c r="W9" s="205">
        <f>ROUND(표9[[#This Row],[Apr 2026 (USD or KRW)]],0)</f>
        <v>0</v>
      </c>
      <c r="X9" s="212"/>
      <c r="Y9" s="206">
        <f>표9[[#This Row],[Apr 2027(KRW)]]-표9[[#This Row],[Mar 2026(KRW)]]</f>
        <v>0</v>
      </c>
      <c r="Z9" s="213" t="str">
        <f t="shared" si="0"/>
        <v/>
      </c>
      <c r="AA9" s="208">
        <f>VLOOKUP(표9[[#This Row],[Team]],표1[],3,0)</f>
        <v>1000</v>
      </c>
    </row>
    <row r="10" spans="1:27" s="8" customFormat="1" ht="15">
      <c r="A10" s="209" t="str">
        <f>VLOOKUP($H10,Akamai!$A:$H,2,0)</f>
        <v>Akamai</v>
      </c>
      <c r="B10" s="209" t="str">
        <f>VLOOKUP($H10,Akamai!$A:$H,3,0)</f>
        <v>KRAFTON HQ</v>
      </c>
      <c r="C10" s="209" t="str">
        <f>VLOOKUP($H10,Akamai!$A:$H,4,0)</f>
        <v>KRAFTON HQ</v>
      </c>
      <c r="D10" s="209" t="str">
        <f>VLOOKUP($H10,Akamai!$A:$H,5,0)</f>
        <v>IT Dept.</v>
      </c>
      <c r="E10" s="209" t="str">
        <f>VLOOKUP($H10,Akamai!$A:$H,6,0)</f>
        <v>OVERHEAD/OTHERS</v>
      </c>
      <c r="F10" s="202">
        <f>VLOOKUP(표9[[#This Row],[Team]],표1[[내역]:[코스트 센터]],2,0)</f>
        <v>100036</v>
      </c>
      <c r="G10" s="202" t="str">
        <f>VLOOKUP(표9[[#This Row],[Project]],표2[],2,0)</f>
        <v>I100099999</v>
      </c>
      <c r="H10" s="209" t="s">
        <v>36</v>
      </c>
      <c r="I10" s="209" t="str">
        <f>VLOOKUP($H10,Akamai!$A:$H,7,0)</f>
        <v>이윤슬</v>
      </c>
      <c r="J10" s="209" t="str">
        <f>VLOOKUP($H10,Akamai!$A:$H,8,0)</f>
        <v>이윤슬</v>
      </c>
      <c r="K10" s="185" t="s">
        <v>29</v>
      </c>
      <c r="L10" s="210">
        <v>22950000</v>
      </c>
      <c r="M10" s="211">
        <v>22950000</v>
      </c>
      <c r="N10" s="212">
        <v>22950000</v>
      </c>
      <c r="O10" s="212">
        <v>22950000</v>
      </c>
      <c r="P10" s="212">
        <v>22950000</v>
      </c>
      <c r="Q10" s="212">
        <v>22950000</v>
      </c>
      <c r="R10" s="212">
        <v>22950000</v>
      </c>
      <c r="S10" s="212">
        <v>22950000</v>
      </c>
      <c r="T10" s="212">
        <v>22950000</v>
      </c>
      <c r="U10" s="212">
        <v>22950000</v>
      </c>
      <c r="V10" s="205">
        <v>23638500</v>
      </c>
      <c r="W10" s="205">
        <f>ROUND(표9[[#This Row],[Apr 2026 (USD or KRW)]],0)</f>
        <v>0</v>
      </c>
      <c r="X10" s="212"/>
      <c r="Y10" s="206">
        <f>표9[[#This Row],[Apr 2027(KRW)]]-표9[[#This Row],[Mar 2026(KRW)]]</f>
        <v>-23638500</v>
      </c>
      <c r="Z10" s="213">
        <f t="shared" si="0"/>
        <v>-1</v>
      </c>
      <c r="AA10" s="208">
        <f>VLOOKUP(표9[[#This Row],[Team]],표1[],3,0)</f>
        <v>1000</v>
      </c>
    </row>
    <row r="11" spans="1:27" s="8" customFormat="1" ht="15">
      <c r="A11" s="209" t="str">
        <f>VLOOKUP($H11,Akamai!$A:$H,2,0)</f>
        <v>Akamai</v>
      </c>
      <c r="B11" s="209" t="str">
        <f>VLOOKUP($H11,Akamai!$A:$H,3,0)</f>
        <v>KRAFTON HQ</v>
      </c>
      <c r="C11" s="209" t="str">
        <f>VLOOKUP($H11,Akamai!$A:$H,4,0)</f>
        <v>KRAFTON HQ</v>
      </c>
      <c r="D11" s="209" t="str">
        <f>VLOOKUP($H11,Akamai!$A:$H,5,0)</f>
        <v>BGMI DevOps Team</v>
      </c>
      <c r="E11" s="209" t="str">
        <f>VLOOKUP($H11,Akamai!$A:$H,6,0)</f>
        <v>(2022)BATTLEGROUNDS_MOBILE_IN</v>
      </c>
      <c r="F11" s="202">
        <f>VLOOKUP(표9[[#This Row],[Team]],표1[[내역]:[코스트 센터]],2,0)</f>
        <v>100553</v>
      </c>
      <c r="G11" s="202" t="str">
        <f>VLOOKUP(표9[[#This Row],[Project]],표2[],2,0)</f>
        <v>P100130012</v>
      </c>
      <c r="H11" s="209" t="s">
        <v>37</v>
      </c>
      <c r="I11" s="209" t="str">
        <f>VLOOKUP($H11,Akamai!$A:$H,7,0)</f>
        <v>이돈현</v>
      </c>
      <c r="J11" s="209" t="str">
        <f>VLOOKUP($H11,Akamai!$A:$H,8,0)</f>
        <v>이돈현</v>
      </c>
      <c r="K11" s="186" t="s">
        <v>29</v>
      </c>
      <c r="L11" s="210">
        <v>717155429</v>
      </c>
      <c r="M11" s="211">
        <v>534113519</v>
      </c>
      <c r="N11" s="212">
        <v>921689465</v>
      </c>
      <c r="O11" s="212">
        <v>689008671</v>
      </c>
      <c r="P11" s="212">
        <v>899905653</v>
      </c>
      <c r="Q11" s="212">
        <v>599777963</v>
      </c>
      <c r="R11" s="212">
        <v>865196956</v>
      </c>
      <c r="S11" s="212">
        <v>616285601</v>
      </c>
      <c r="T11" s="212">
        <v>844093018</v>
      </c>
      <c r="U11" s="212">
        <v>380658986</v>
      </c>
      <c r="V11" s="205">
        <v>468732101</v>
      </c>
      <c r="W11" s="205">
        <f>ROUND(표9[[#This Row],[Apr 2026 (USD or KRW)]],0)</f>
        <v>0</v>
      </c>
      <c r="X11" s="212"/>
      <c r="Y11" s="206">
        <f>표9[[#This Row],[Apr 2027(KRW)]]-표9[[#This Row],[Mar 2026(KRW)]]</f>
        <v>-468732101</v>
      </c>
      <c r="Z11" s="213">
        <f t="shared" si="0"/>
        <v>-1</v>
      </c>
      <c r="AA11" s="208">
        <f>VLOOKUP(표9[[#This Row],[Team]],표1[],3,0)</f>
        <v>1000</v>
      </c>
    </row>
    <row r="12" spans="1:27" s="8" customFormat="1" ht="15">
      <c r="A12" s="209" t="str">
        <f>VLOOKUP($H12,Akamai!$A:$H,2,0)</f>
        <v>Akamai</v>
      </c>
      <c r="B12" s="209" t="str">
        <f>VLOOKUP($H12,Akamai!$A:$H,3,0)</f>
        <v>KRAFTON HQ</v>
      </c>
      <c r="C12" s="209" t="str">
        <f>VLOOKUP($H12,Akamai!$A:$H,4,0)</f>
        <v>KRAFTON HQ</v>
      </c>
      <c r="D12" s="209" t="str">
        <f>VLOOKUP($H12,Akamai!$A:$H,5,0)</f>
        <v>PUBG PC&amp;Console Dev Div.</v>
      </c>
      <c r="E12" s="209" t="str">
        <f>VLOOKUP($H12,Akamai!$A:$H,6,0)</f>
        <v>BATTLEGROUNDS_PC/CONSOLE</v>
      </c>
      <c r="F12" s="202">
        <f>VLOOKUP(표9[[#This Row],[Team]],표1[[내역]:[코스트 센터]],2,0)</f>
        <v>100414</v>
      </c>
      <c r="G12" s="202" t="str">
        <f>VLOOKUP(표9[[#This Row],[Project]],표2[],2,0)</f>
        <v>P100010012</v>
      </c>
      <c r="H12" s="209" t="s">
        <v>38</v>
      </c>
      <c r="I12" s="209" t="str">
        <f>VLOOKUP($H12,Akamai!$A:$H,7,0)</f>
        <v>김정헌</v>
      </c>
      <c r="J12" s="209" t="str">
        <f>VLOOKUP($H12,Akamai!$A:$H,8,0)</f>
        <v>최준석</v>
      </c>
      <c r="K12" s="186" t="s">
        <v>29</v>
      </c>
      <c r="L12" s="210">
        <v>1485849</v>
      </c>
      <c r="M12" s="211">
        <v>1439358</v>
      </c>
      <c r="N12" s="212">
        <v>1637229</v>
      </c>
      <c r="O12" s="212">
        <v>1394062</v>
      </c>
      <c r="P12" s="212">
        <v>1300651</v>
      </c>
      <c r="Q12" s="212">
        <v>1293148</v>
      </c>
      <c r="R12" s="212">
        <v>1354057</v>
      </c>
      <c r="S12" s="212">
        <v>1437475</v>
      </c>
      <c r="T12" s="212">
        <v>1357700</v>
      </c>
      <c r="U12" s="212">
        <v>1187780</v>
      </c>
      <c r="V12" s="205">
        <v>1542493</v>
      </c>
      <c r="W12" s="205">
        <f>ROUND(표9[[#This Row],[Apr 2026 (USD or KRW)]],0)</f>
        <v>0</v>
      </c>
      <c r="X12" s="212"/>
      <c r="Y12" s="206">
        <f>표9[[#This Row],[Apr 2027(KRW)]]-표9[[#This Row],[Mar 2026(KRW)]]</f>
        <v>-1542493</v>
      </c>
      <c r="Z12" s="213">
        <f t="shared" si="0"/>
        <v>-1</v>
      </c>
      <c r="AA12" s="208">
        <f>VLOOKUP(표9[[#This Row],[Team]],표1[],3,0)</f>
        <v>1000</v>
      </c>
    </row>
    <row r="13" spans="1:27" s="8" customFormat="1" ht="15">
      <c r="A13" s="209" t="str">
        <f>VLOOKUP($H13,Akamai!$A:$H,2,0)</f>
        <v>Akamai</v>
      </c>
      <c r="B13" s="209" t="str">
        <f>VLOOKUP($H13,Akamai!$A:$H,3,0)</f>
        <v>KRAFTON HQ</v>
      </c>
      <c r="C13" s="209" t="str">
        <f>VLOOKUP($H13,Akamai!$A:$H,4,0)</f>
        <v>KRAFTON HQ</v>
      </c>
      <c r="D13" s="209" t="str">
        <f>VLOOKUP($H13,Akamai!$A:$H,5,0)</f>
        <v>IT Dept.</v>
      </c>
      <c r="E13" s="209" t="str">
        <f>VLOOKUP($H13,Akamai!$A:$H,6,0)</f>
        <v>OVERHEAD/OTHERS</v>
      </c>
      <c r="F13" s="202">
        <f>VLOOKUP(표9[[#This Row],[Team]],표1[[내역]:[코스트 센터]],2,0)</f>
        <v>100036</v>
      </c>
      <c r="G13" s="202" t="str">
        <f>VLOOKUP(표9[[#This Row],[Project]],표2[],2,0)</f>
        <v>I100099999</v>
      </c>
      <c r="H13" s="209" t="s">
        <v>39</v>
      </c>
      <c r="I13" s="209" t="str">
        <f>VLOOKUP($H13,Akamai!$A:$H,7,0)</f>
        <v>이윤슬</v>
      </c>
      <c r="J13" s="209" t="str">
        <f>VLOOKUP($H13,Akamai!$A:$H,8,0)</f>
        <v>이윤슬</v>
      </c>
      <c r="K13" s="185" t="s">
        <v>29</v>
      </c>
      <c r="L13" s="210">
        <v>250000</v>
      </c>
      <c r="M13" s="211">
        <v>250000</v>
      </c>
      <c r="N13" s="212">
        <v>250000</v>
      </c>
      <c r="O13" s="212">
        <v>250000</v>
      </c>
      <c r="P13" s="212">
        <v>250000</v>
      </c>
      <c r="Q13" s="212">
        <v>250000</v>
      </c>
      <c r="R13" s="212">
        <v>250000</v>
      </c>
      <c r="S13" s="212">
        <v>250000</v>
      </c>
      <c r="T13" s="212">
        <v>250000</v>
      </c>
      <c r="U13" s="212">
        <v>250000</v>
      </c>
      <c r="V13" s="205">
        <v>257500</v>
      </c>
      <c r="W13" s="205">
        <f>ROUND(표9[[#This Row],[Apr 2026 (USD or KRW)]],0)</f>
        <v>0</v>
      </c>
      <c r="X13" s="212"/>
      <c r="Y13" s="206">
        <f>표9[[#This Row],[Apr 2027(KRW)]]-표9[[#This Row],[Mar 2026(KRW)]]</f>
        <v>-257500</v>
      </c>
      <c r="Z13" s="213">
        <f t="shared" si="0"/>
        <v>-1</v>
      </c>
      <c r="AA13" s="208">
        <f>VLOOKUP(표9[[#This Row],[Team]],표1[],3,0)</f>
        <v>1000</v>
      </c>
    </row>
    <row r="14" spans="1:27" s="8" customFormat="1" ht="15">
      <c r="A14" s="214" t="str">
        <f>VLOOKUP($H14,AWS!$A:$H,2,0)</f>
        <v>AWS</v>
      </c>
      <c r="B14" s="214" t="str">
        <f>VLOOKUP($H14,AWS!$A:$H,3,0)</f>
        <v>KRAFTON HQ</v>
      </c>
      <c r="C14" s="209" t="str">
        <f>VLOOKUP($H14,AWS!$A:$H,4,0)</f>
        <v>PUBG STUDIO</v>
      </c>
      <c r="D14" s="214" t="str">
        <f>VLOOKUP($H14,AWS!$A:$H,5,0)</f>
        <v>Game Security Engineering Dept.</v>
      </c>
      <c r="E14" s="214" t="str">
        <f>VLOOKUP($H14,AWS!$A:$H,6,0)</f>
        <v>Dark and Darker_Mobile</v>
      </c>
      <c r="F14" s="202">
        <f>VLOOKUP(표9[[#This Row],[Team]],표1[[내역]:[코스트 센터]],2,0)</f>
        <v>100415</v>
      </c>
      <c r="G14" s="202" t="str">
        <f>VLOOKUP(표9[[#This Row],[Project]],표2[],2,0)</f>
        <v>P100030073</v>
      </c>
      <c r="H14" s="214" t="s">
        <v>40</v>
      </c>
      <c r="I14" s="214" t="str">
        <f>VLOOKUP($H14,AWS!$A:$H,8,0)</f>
        <v>황범석</v>
      </c>
      <c r="J14" s="214" t="str">
        <f>VLOOKUP($H14,AWS!$A:$H,8,0)</f>
        <v>황범석</v>
      </c>
      <c r="K14" s="187" t="s">
        <v>29</v>
      </c>
      <c r="L14" s="215">
        <v>1671608</v>
      </c>
      <c r="M14" s="216">
        <v>1845569</v>
      </c>
      <c r="N14" s="217">
        <v>1915815</v>
      </c>
      <c r="O14" s="217">
        <v>1909640</v>
      </c>
      <c r="P14" s="217">
        <v>1842532</v>
      </c>
      <c r="Q14" s="217">
        <v>2014054</v>
      </c>
      <c r="R14" s="217">
        <v>1980991</v>
      </c>
      <c r="S14" s="217">
        <v>2014224</v>
      </c>
      <c r="T14" s="212">
        <v>1331949</v>
      </c>
      <c r="U14" s="212">
        <v>0</v>
      </c>
      <c r="V14" s="205">
        <v>0</v>
      </c>
      <c r="W14" s="205">
        <f>ROUND(표9[[#This Row],[Apr 2026 (USD or KRW)]],0)</f>
        <v>0</v>
      </c>
      <c r="X14" s="212"/>
      <c r="Y14" s="206">
        <f>표9[[#This Row],[Apr 2027(KRW)]]-표9[[#This Row],[Mar 2026(KRW)]]</f>
        <v>0</v>
      </c>
      <c r="Z14" s="213" t="str">
        <f t="shared" si="0"/>
        <v/>
      </c>
      <c r="AA14" s="208">
        <f>VLOOKUP(표9[[#This Row],[Team]],표1[],3,0)</f>
        <v>1000</v>
      </c>
    </row>
    <row r="15" spans="1:27" s="8" customFormat="1" ht="15">
      <c r="A15" s="209" t="str">
        <f>VLOOKUP($H15,AWS!$A:$H,2,0)</f>
        <v>AWS</v>
      </c>
      <c r="B15" s="209" t="str">
        <f>VLOOKUP($H15,AWS!$A:$H,3,0)</f>
        <v>Neptune</v>
      </c>
      <c r="C15" s="209" t="str">
        <f>VLOOKUP($H15,AWS!$A:$H,4,0)</f>
        <v>Neptune</v>
      </c>
      <c r="D15" s="214">
        <f>VLOOKUP($H15,AWS!$A:$H,5,0)</f>
        <v>0</v>
      </c>
      <c r="E15" s="214">
        <f>VLOOKUP($H15,AWS!$A:$H,6,0)</f>
        <v>0</v>
      </c>
      <c r="F15" s="202" t="e">
        <f>VLOOKUP(표9[[#This Row],[Team]],표1[[내역]:[코스트 센터]],2,0)</f>
        <v>#N/A</v>
      </c>
      <c r="G15" s="202" t="e">
        <f>VLOOKUP(표9[[#This Row],[Project]],표2[],2,0)</f>
        <v>#N/A</v>
      </c>
      <c r="H15" s="209" t="s">
        <v>41</v>
      </c>
      <c r="I15" s="209">
        <f>VLOOKUP($H15,AWS!$A:$H,7,0)</f>
        <v>0</v>
      </c>
      <c r="J15" s="214">
        <f>VLOOKUP($H15,AWS!$A:$H,8,0)</f>
        <v>0</v>
      </c>
      <c r="K15" s="186"/>
      <c r="L15" s="210"/>
      <c r="M15" s="211"/>
      <c r="N15" s="212">
        <v>18362681</v>
      </c>
      <c r="O15" s="212">
        <v>18359745</v>
      </c>
      <c r="P15" s="212">
        <v>17889520</v>
      </c>
      <c r="Q15" s="212">
        <v>19810937</v>
      </c>
      <c r="R15" s="212">
        <v>22521870</v>
      </c>
      <c r="S15" s="212">
        <v>23347104</v>
      </c>
      <c r="T15" s="212">
        <v>21843596</v>
      </c>
      <c r="U15" s="212">
        <v>17375608</v>
      </c>
      <c r="V15" s="205">
        <v>21201908</v>
      </c>
      <c r="W15" s="205">
        <f>ROUND(표9[[#This Row],[Apr 2026 (USD or KRW)]],0)</f>
        <v>0</v>
      </c>
      <c r="X15" s="212"/>
      <c r="Y15" s="206">
        <f>표9[[#This Row],[Apr 2027(KRW)]]-표9[[#This Row],[Mar 2026(KRW)]]</f>
        <v>-21201908</v>
      </c>
      <c r="Z15" s="213">
        <f t="shared" si="0"/>
        <v>-1</v>
      </c>
      <c r="AA15" s="208" t="e">
        <f>VLOOKUP(표9[[#This Row],[Team]],표1[],3,0)</f>
        <v>#N/A</v>
      </c>
    </row>
    <row r="16" spans="1:27" s="8" customFormat="1" ht="15">
      <c r="A16" s="209" t="str">
        <f>VLOOKUP($H16,AWS!$A:$H,2,0)</f>
        <v>AWS</v>
      </c>
      <c r="B16" s="209" t="str">
        <f>VLOOKUP($H16,AWS!$A:$H,3,0)</f>
        <v>Neptune</v>
      </c>
      <c r="C16" s="209" t="str">
        <f>VLOOKUP($H16,AWS!$A:$H,4,0)</f>
        <v>Neptune</v>
      </c>
      <c r="D16" s="214">
        <f>VLOOKUP($H16,AWS!$A:$H,5,0)</f>
        <v>0</v>
      </c>
      <c r="E16" s="214">
        <f>VLOOKUP($H16,AWS!$A:$H,6,0)</f>
        <v>0</v>
      </c>
      <c r="F16" s="202" t="e">
        <f>VLOOKUP(표9[[#This Row],[Team]],표1[[내역]:[코스트 센터]],2,0)</f>
        <v>#N/A</v>
      </c>
      <c r="G16" s="202" t="e">
        <f>VLOOKUP(표9[[#This Row],[Project]],표2[],2,0)</f>
        <v>#N/A</v>
      </c>
      <c r="H16" s="209" t="s">
        <v>42</v>
      </c>
      <c r="I16" s="209">
        <f>VLOOKUP($H16,AWS!$A:$H,7,0)</f>
        <v>0</v>
      </c>
      <c r="J16" s="214">
        <f>VLOOKUP($H16,AWS!$A:$H,8,0)</f>
        <v>0</v>
      </c>
      <c r="K16" s="186"/>
      <c r="L16" s="210"/>
      <c r="M16" s="211"/>
      <c r="N16" s="212">
        <v>15739959</v>
      </c>
      <c r="O16" s="212">
        <v>11897051</v>
      </c>
      <c r="P16" s="212">
        <v>14014693</v>
      </c>
      <c r="Q16" s="212">
        <v>12523100</v>
      </c>
      <c r="R16" s="212">
        <v>12159154</v>
      </c>
      <c r="S16" s="212">
        <v>14756395</v>
      </c>
      <c r="T16" s="212">
        <v>17951593</v>
      </c>
      <c r="U16" s="212">
        <v>13279139</v>
      </c>
      <c r="V16" s="205">
        <v>15292648</v>
      </c>
      <c r="W16" s="205">
        <f>ROUND(표9[[#This Row],[Apr 2026 (USD or KRW)]],0)</f>
        <v>0</v>
      </c>
      <c r="X16" s="212"/>
      <c r="Y16" s="206">
        <f>표9[[#This Row],[Apr 2027(KRW)]]-표9[[#This Row],[Mar 2026(KRW)]]</f>
        <v>-15292648</v>
      </c>
      <c r="Z16" s="213">
        <f t="shared" si="0"/>
        <v>-1</v>
      </c>
      <c r="AA16" s="208" t="e">
        <f>VLOOKUP(표9[[#This Row],[Team]],표1[],3,0)</f>
        <v>#N/A</v>
      </c>
    </row>
    <row r="17" spans="1:27" s="8" customFormat="1" ht="15">
      <c r="A17" s="209" t="str">
        <f>VLOOKUP($H17,AWS!$A:$H,2,0)</f>
        <v>AWS</v>
      </c>
      <c r="B17" s="209" t="str">
        <f>VLOOKUP($H17,AWS!$A:$H,3,0)</f>
        <v>Neptune</v>
      </c>
      <c r="C17" s="209" t="str">
        <f>VLOOKUP($H17,AWS!$A:$H,4,0)</f>
        <v>Neptune</v>
      </c>
      <c r="D17" s="214">
        <f>VLOOKUP($H17,AWS!$A:$H,5,0)</f>
        <v>0</v>
      </c>
      <c r="E17" s="214">
        <f>VLOOKUP($H17,AWS!$A:$H,6,0)</f>
        <v>0</v>
      </c>
      <c r="F17" s="202" t="e">
        <f>VLOOKUP(표9[[#This Row],[Team]],표1[[내역]:[코스트 센터]],2,0)</f>
        <v>#N/A</v>
      </c>
      <c r="G17" s="202" t="e">
        <f>VLOOKUP(표9[[#This Row],[Project]],표2[],2,0)</f>
        <v>#N/A</v>
      </c>
      <c r="H17" s="209" t="s">
        <v>43</v>
      </c>
      <c r="I17" s="209">
        <f>VLOOKUP($H17,AWS!$A:$H,7,0)</f>
        <v>0</v>
      </c>
      <c r="J17" s="214">
        <f>VLOOKUP($H17,AWS!$A:$H,8,0)</f>
        <v>0</v>
      </c>
      <c r="K17" s="186"/>
      <c r="L17" s="210"/>
      <c r="M17" s="211"/>
      <c r="N17" s="212">
        <v>2338429</v>
      </c>
      <c r="O17" s="212">
        <v>2051754</v>
      </c>
      <c r="P17" s="212">
        <v>1930885</v>
      </c>
      <c r="Q17" s="212">
        <v>2298205</v>
      </c>
      <c r="R17" s="212">
        <v>2156992</v>
      </c>
      <c r="S17" s="212">
        <v>2218858</v>
      </c>
      <c r="T17" s="212">
        <v>2139444</v>
      </c>
      <c r="U17" s="212">
        <v>1934424</v>
      </c>
      <c r="V17" s="205">
        <v>2179676</v>
      </c>
      <c r="W17" s="205">
        <f>ROUND(표9[[#This Row],[Apr 2026 (USD or KRW)]],0)</f>
        <v>0</v>
      </c>
      <c r="X17" s="212"/>
      <c r="Y17" s="206">
        <f>표9[[#This Row],[Apr 2027(KRW)]]-표9[[#This Row],[Mar 2026(KRW)]]</f>
        <v>-2179676</v>
      </c>
      <c r="Z17" s="213">
        <f t="shared" si="0"/>
        <v>-1</v>
      </c>
      <c r="AA17" s="208" t="e">
        <f>VLOOKUP(표9[[#This Row],[Team]],표1[],3,0)</f>
        <v>#N/A</v>
      </c>
    </row>
    <row r="18" spans="1:27" s="8" customFormat="1" ht="15">
      <c r="A18" s="209" t="str">
        <f>VLOOKUP($H18,AWS!$A:$H,2,0)</f>
        <v>AWS</v>
      </c>
      <c r="B18" s="209" t="str">
        <f>VLOOKUP($H18,AWS!$A:$H,3,0)</f>
        <v>Neptune</v>
      </c>
      <c r="C18" s="209" t="str">
        <f>VLOOKUP($H18,AWS!$A:$H,4,0)</f>
        <v>Neptune</v>
      </c>
      <c r="D18" s="214">
        <f>VLOOKUP($H18,AWS!$A:$H,5,0)</f>
        <v>0</v>
      </c>
      <c r="E18" s="214">
        <f>VLOOKUP($H18,AWS!$A:$H,6,0)</f>
        <v>0</v>
      </c>
      <c r="F18" s="202" t="e">
        <f>VLOOKUP(표9[[#This Row],[Team]],표1[[내역]:[코스트 센터]],2,0)</f>
        <v>#N/A</v>
      </c>
      <c r="G18" s="202" t="e">
        <f>VLOOKUP(표9[[#This Row],[Project]],표2[],2,0)</f>
        <v>#N/A</v>
      </c>
      <c r="H18" s="209" t="s">
        <v>44</v>
      </c>
      <c r="I18" s="209"/>
      <c r="J18" s="214">
        <f>VLOOKUP($H18,AWS!$A:$H,8,0)</f>
        <v>0</v>
      </c>
      <c r="K18" s="186"/>
      <c r="L18" s="210"/>
      <c r="M18" s="211"/>
      <c r="N18" s="212">
        <v>266511</v>
      </c>
      <c r="O18" s="212">
        <v>277368</v>
      </c>
      <c r="P18" s="212">
        <v>262240</v>
      </c>
      <c r="Q18" s="212">
        <v>275974</v>
      </c>
      <c r="R18" s="212">
        <v>274748</v>
      </c>
      <c r="S18" s="212">
        <v>277807</v>
      </c>
      <c r="T18" s="212">
        <v>276367</v>
      </c>
      <c r="U18" s="212">
        <v>249269</v>
      </c>
      <c r="V18" s="205">
        <v>292732</v>
      </c>
      <c r="W18" s="205">
        <f>ROUND(표9[[#This Row],[Apr 2026 (USD or KRW)]],0)</f>
        <v>0</v>
      </c>
      <c r="X18" s="212"/>
      <c r="Y18" s="206">
        <f>표9[[#This Row],[Apr 2027(KRW)]]-표9[[#This Row],[Mar 2026(KRW)]]</f>
        <v>-292732</v>
      </c>
      <c r="Z18" s="213">
        <f t="shared" si="0"/>
        <v>-1</v>
      </c>
      <c r="AA18" s="208" t="e">
        <f>VLOOKUP(표9[[#This Row],[Team]],표1[],3,0)</f>
        <v>#N/A</v>
      </c>
    </row>
    <row r="19" spans="1:27" s="8" customFormat="1" ht="15">
      <c r="A19" s="209" t="str">
        <f>VLOOKUP($H19,AWS!$A:$H,2,0)</f>
        <v>AWS</v>
      </c>
      <c r="B19" s="209" t="str">
        <f>VLOOKUP($H19,AWS!$A:$H,3,0)</f>
        <v>Neptune</v>
      </c>
      <c r="C19" s="209" t="str">
        <f>VLOOKUP($H19,AWS!$A:$H,4,0)</f>
        <v>Neptune</v>
      </c>
      <c r="D19" s="214">
        <f>VLOOKUP($H19,AWS!$A:$H,5,0)</f>
        <v>0</v>
      </c>
      <c r="E19" s="214">
        <f>VLOOKUP($H19,AWS!$A:$H,6,0)</f>
        <v>0</v>
      </c>
      <c r="F19" s="202" t="e">
        <f>VLOOKUP(표9[[#This Row],[Team]],표1[[내역]:[코스트 센터]],2,0)</f>
        <v>#N/A</v>
      </c>
      <c r="G19" s="202" t="e">
        <f>VLOOKUP(표9[[#This Row],[Project]],표2[],2,0)</f>
        <v>#N/A</v>
      </c>
      <c r="H19" s="209" t="s">
        <v>45</v>
      </c>
      <c r="I19" s="209">
        <f>VLOOKUP($H19,AWS!$A:$H,7,0)</f>
        <v>0</v>
      </c>
      <c r="J19" s="214">
        <f>VLOOKUP($H19,AWS!$A:$H,8,0)</f>
        <v>0</v>
      </c>
      <c r="K19" s="186"/>
      <c r="L19" s="210"/>
      <c r="M19" s="211"/>
      <c r="N19" s="212">
        <v>3707959</v>
      </c>
      <c r="O19" s="212">
        <v>3735238</v>
      </c>
      <c r="P19" s="212">
        <v>3645859</v>
      </c>
      <c r="Q19" s="212">
        <v>3796250</v>
      </c>
      <c r="R19" s="212">
        <v>3809735</v>
      </c>
      <c r="S19" s="212">
        <v>3804670</v>
      </c>
      <c r="T19" s="212">
        <v>3772958</v>
      </c>
      <c r="U19" s="212">
        <v>3535747</v>
      </c>
      <c r="V19" s="205">
        <v>4056545</v>
      </c>
      <c r="W19" s="205">
        <f>ROUND(표9[[#This Row],[Apr 2026 (USD or KRW)]],0)</f>
        <v>0</v>
      </c>
      <c r="X19" s="212"/>
      <c r="Y19" s="206">
        <f>표9[[#This Row],[Apr 2027(KRW)]]-표9[[#This Row],[Mar 2026(KRW)]]</f>
        <v>-4056545</v>
      </c>
      <c r="Z19" s="213">
        <f t="shared" si="0"/>
        <v>-1</v>
      </c>
      <c r="AA19" s="208" t="e">
        <f>VLOOKUP(표9[[#This Row],[Team]],표1[],3,0)</f>
        <v>#N/A</v>
      </c>
    </row>
    <row r="20" spans="1:27" s="8" customFormat="1" ht="15">
      <c r="A20" s="209" t="str">
        <f>VLOOKUP($H20,AWS!$A:$H,2,0)</f>
        <v>AWS</v>
      </c>
      <c r="B20" s="209" t="str">
        <f>VLOOKUP($H20,AWS!$A:$H,3,0)</f>
        <v>Neptune</v>
      </c>
      <c r="C20" s="209" t="str">
        <f>VLOOKUP($H20,AWS!$A:$H,4,0)</f>
        <v>Neptune</v>
      </c>
      <c r="D20" s="214">
        <f>VLOOKUP($H20,AWS!$A:$H,5,0)</f>
        <v>0</v>
      </c>
      <c r="E20" s="214">
        <f>VLOOKUP($H20,AWS!$A:$H,6,0)</f>
        <v>0</v>
      </c>
      <c r="F20" s="202" t="e">
        <f>VLOOKUP(표9[[#This Row],[Team]],표1[[내역]:[코스트 센터]],2,0)</f>
        <v>#N/A</v>
      </c>
      <c r="G20" s="202" t="e">
        <f>VLOOKUP(표9[[#This Row],[Project]],표2[],2,0)</f>
        <v>#N/A</v>
      </c>
      <c r="H20" s="209" t="s">
        <v>46</v>
      </c>
      <c r="I20" s="209">
        <f>VLOOKUP($H20,AWS!$A:$H,7,0)</f>
        <v>0</v>
      </c>
      <c r="J20" s="214">
        <f>VLOOKUP($H20,AWS!$A:$H,8,0)</f>
        <v>0</v>
      </c>
      <c r="K20" s="186"/>
      <c r="L20" s="210"/>
      <c r="M20" s="211"/>
      <c r="N20" s="212">
        <v>4392</v>
      </c>
      <c r="O20" s="212">
        <v>10885</v>
      </c>
      <c r="P20" s="212">
        <v>5102</v>
      </c>
      <c r="Q20" s="212">
        <v>5212</v>
      </c>
      <c r="R20" s="212">
        <v>5091</v>
      </c>
      <c r="S20" s="212">
        <v>4994</v>
      </c>
      <c r="T20" s="212">
        <v>5153</v>
      </c>
      <c r="U20" s="212">
        <v>4869</v>
      </c>
      <c r="V20" s="205">
        <v>5036</v>
      </c>
      <c r="W20" s="205">
        <f>ROUND(표9[[#This Row],[Apr 2026 (USD or KRW)]],0)</f>
        <v>0</v>
      </c>
      <c r="X20" s="212"/>
      <c r="Y20" s="206">
        <f>표9[[#This Row],[Apr 2027(KRW)]]-표9[[#This Row],[Mar 2026(KRW)]]</f>
        <v>-5036</v>
      </c>
      <c r="Z20" s="213">
        <f t="shared" si="0"/>
        <v>-1</v>
      </c>
      <c r="AA20" s="208" t="e">
        <f>VLOOKUP(표9[[#This Row],[Team]],표1[],3,0)</f>
        <v>#N/A</v>
      </c>
    </row>
    <row r="21" spans="1:27" s="8" customFormat="1" ht="15">
      <c r="A21" s="209" t="str">
        <f>VLOOKUP($H21,AWS!$A:$H,2,0)</f>
        <v>AWS</v>
      </c>
      <c r="B21" s="209" t="str">
        <f>VLOOKUP($H21,AWS!$A:$H,3,0)</f>
        <v>Neptune</v>
      </c>
      <c r="C21" s="209" t="str">
        <f>VLOOKUP($H21,AWS!$A:$H,4,0)</f>
        <v>Neptune</v>
      </c>
      <c r="D21" s="214">
        <f>VLOOKUP($H21,AWS!$A:$H,5,0)</f>
        <v>0</v>
      </c>
      <c r="E21" s="214">
        <f>VLOOKUP($H21,AWS!$A:$H,6,0)</f>
        <v>0</v>
      </c>
      <c r="F21" s="202" t="e">
        <f>VLOOKUP(표9[[#This Row],[Team]],표1[[내역]:[코스트 센터]],2,0)</f>
        <v>#N/A</v>
      </c>
      <c r="G21" s="202" t="e">
        <f>VLOOKUP(표9[[#This Row],[Project]],표2[],2,0)</f>
        <v>#N/A</v>
      </c>
      <c r="H21" s="209" t="s">
        <v>47</v>
      </c>
      <c r="I21" s="209">
        <f>VLOOKUP($H21,AWS!$A:$H,7,0)</f>
        <v>0</v>
      </c>
      <c r="J21" s="214">
        <f>VLOOKUP($H21,AWS!$A:$H,8,0)</f>
        <v>0</v>
      </c>
      <c r="K21" s="186"/>
      <c r="L21" s="210"/>
      <c r="M21" s="211"/>
      <c r="N21" s="212"/>
      <c r="O21" s="212">
        <v>43207</v>
      </c>
      <c r="P21" s="212">
        <v>1990105</v>
      </c>
      <c r="Q21" s="212">
        <v>2536230</v>
      </c>
      <c r="R21" s="212">
        <v>4860583</v>
      </c>
      <c r="S21" s="212">
        <v>5393691</v>
      </c>
      <c r="T21" s="212">
        <v>2881278</v>
      </c>
      <c r="U21" s="212">
        <v>2400417</v>
      </c>
      <c r="V21" s="205">
        <v>4925923</v>
      </c>
      <c r="W21" s="205">
        <f>ROUND(표9[[#This Row],[Apr 2026 (USD or KRW)]],0)</f>
        <v>0</v>
      </c>
      <c r="X21" s="212"/>
      <c r="Y21" s="206">
        <f>표9[[#This Row],[Apr 2027(KRW)]]-표9[[#This Row],[Mar 2026(KRW)]]</f>
        <v>-4925923</v>
      </c>
      <c r="Z21" s="213">
        <f t="shared" si="0"/>
        <v>-1</v>
      </c>
      <c r="AA21" s="208" t="e">
        <f>VLOOKUP(표9[[#This Row],[Team]],표1[],3,0)</f>
        <v>#N/A</v>
      </c>
    </row>
    <row r="22" spans="1:27" s="8" customFormat="1" ht="15">
      <c r="A22" s="214" t="str">
        <f>VLOOKUP($H22,AWS!$A:$H,2,0)</f>
        <v>AWS</v>
      </c>
      <c r="B22" s="214" t="str">
        <f>VLOOKUP($H22,AWS!$A:$H,3,0)</f>
        <v>KRAFTON HQ</v>
      </c>
      <c r="C22" s="209" t="str">
        <f>VLOOKUP($H22,AWS!$A:$H,4,0)</f>
        <v>KRAFTON HQ</v>
      </c>
      <c r="D22" s="214" t="str">
        <f>VLOOKUP($H22,AWS!$A:$H,5,0)</f>
        <v>IT Dept.</v>
      </c>
      <c r="E22" s="214" t="str">
        <f>VLOOKUP($H22,AWS!$A:$H,6,0)</f>
        <v>OVERHEAD/OTHERS</v>
      </c>
      <c r="F22" s="202">
        <f>VLOOKUP(표9[[#This Row],[Team]],표1[[내역]:[코스트 센터]],2,0)</f>
        <v>100036</v>
      </c>
      <c r="G22" s="202" t="str">
        <f>VLOOKUP(표9[[#This Row],[Project]],표2[],2,0)</f>
        <v>I100099999</v>
      </c>
      <c r="H22" s="214" t="s">
        <v>48</v>
      </c>
      <c r="I22" s="214" t="str">
        <f>VLOOKUP($H22,AWS!$A:$H,8,0)</f>
        <v>김승훈</v>
      </c>
      <c r="J22" s="214" t="str">
        <f>VLOOKUP($H22,AWS!$A:$H,8,0)</f>
        <v>김승훈</v>
      </c>
      <c r="K22" s="187"/>
      <c r="L22" s="215">
        <v>5134845</v>
      </c>
      <c r="M22" s="216">
        <v>5039340</v>
      </c>
      <c r="N22" s="217">
        <v>5308753</v>
      </c>
      <c r="O22" s="217">
        <v>5447553</v>
      </c>
      <c r="P22" s="217">
        <v>5572764</v>
      </c>
      <c r="Q22" s="217">
        <v>6727361</v>
      </c>
      <c r="R22" s="217">
        <v>7513091</v>
      </c>
      <c r="S22" s="217">
        <v>13408344</v>
      </c>
      <c r="T22" s="212">
        <v>14033032</v>
      </c>
      <c r="U22" s="212">
        <v>13099289</v>
      </c>
      <c r="V22" s="205">
        <v>15925469</v>
      </c>
      <c r="W22" s="205">
        <f>ROUND(표9[[#This Row],[Apr 2026 (USD or KRW)]],0)</f>
        <v>0</v>
      </c>
      <c r="X22" s="212"/>
      <c r="Y22" s="206">
        <f>표9[[#This Row],[Apr 2027(KRW)]]-표9[[#This Row],[Mar 2026(KRW)]]</f>
        <v>-15925469</v>
      </c>
      <c r="Z22" s="213">
        <f t="shared" si="0"/>
        <v>-1</v>
      </c>
      <c r="AA22" s="208">
        <f>VLOOKUP(표9[[#This Row],[Team]],표1[],3,0)</f>
        <v>1000</v>
      </c>
    </row>
    <row r="23" spans="1:27" s="8" customFormat="1" ht="15">
      <c r="A23" s="214" t="str">
        <f>VLOOKUP($H23,AWS!$A:$H,2,0)</f>
        <v>AWS</v>
      </c>
      <c r="B23" s="214" t="str">
        <f>VLOOKUP($H23,AWS!$A:$H,3,0)</f>
        <v>KRAFTON HQ</v>
      </c>
      <c r="C23" s="209" t="str">
        <f>VLOOKUP($H23,AWS!$A:$H,4,0)</f>
        <v>KRAFTON HQ</v>
      </c>
      <c r="D23" s="214" t="str">
        <f>VLOOKUP($H23,AWS!$A:$H,5,0)</f>
        <v>Global Subsidiary Management Team</v>
      </c>
      <c r="E23" s="214" t="str">
        <f>VLOOKUP($H23,AWS!$A:$H,6,0)</f>
        <v>OVERHEAD/OTHERS</v>
      </c>
      <c r="F23" s="202">
        <f>VLOOKUP(표9[[#This Row],[Team]],표1[[내역]:[코스트 센터]],2,0)</f>
        <v>101712</v>
      </c>
      <c r="G23" s="202" t="str">
        <f>VLOOKUP(표9[[#This Row],[Project]],표2[],2,0)</f>
        <v>I100099999</v>
      </c>
      <c r="H23" s="214" t="s">
        <v>49</v>
      </c>
      <c r="I23" s="214" t="str">
        <f>VLOOKUP($H23,AWS!$A:$H,8,0)</f>
        <v>김재현</v>
      </c>
      <c r="J23" s="214" t="str">
        <f>VLOOKUP($H23,AWS!$A:$H,8,0)</f>
        <v>김재현</v>
      </c>
      <c r="K23" s="187"/>
      <c r="L23" s="215">
        <v>799019</v>
      </c>
      <c r="M23" s="216">
        <v>792837</v>
      </c>
      <c r="N23" s="217">
        <v>939615</v>
      </c>
      <c r="O23" s="217">
        <v>1327074</v>
      </c>
      <c r="P23" s="217">
        <v>1391627</v>
      </c>
      <c r="Q23" s="217">
        <v>1497582</v>
      </c>
      <c r="R23" s="217">
        <v>1515281</v>
      </c>
      <c r="S23" s="217">
        <v>1595865</v>
      </c>
      <c r="T23" s="212">
        <v>1116148</v>
      </c>
      <c r="U23" s="212">
        <v>134854</v>
      </c>
      <c r="V23" s="205">
        <v>139070</v>
      </c>
      <c r="W23" s="205">
        <f>ROUND(표9[[#This Row],[Apr 2026 (USD or KRW)]],0)</f>
        <v>0</v>
      </c>
      <c r="X23" s="212"/>
      <c r="Y23" s="206">
        <f>표9[[#This Row],[Apr 2027(KRW)]]-표9[[#This Row],[Mar 2026(KRW)]]</f>
        <v>-139070</v>
      </c>
      <c r="Z23" s="213">
        <f t="shared" si="0"/>
        <v>-1</v>
      </c>
      <c r="AA23" s="208">
        <f>VLOOKUP(표9[[#This Row],[Team]],표1[],3,0)</f>
        <v>1000</v>
      </c>
    </row>
    <row r="24" spans="1:27" s="8" customFormat="1" ht="15">
      <c r="A24" s="214" t="str">
        <f>VLOOKUP($H24,AWS!$A:$H,2,0)</f>
        <v>AWS</v>
      </c>
      <c r="B24" s="214" t="str">
        <f>VLOOKUP($H24,AWS!$A:$H,3,0)</f>
        <v>KRAFTON HQ</v>
      </c>
      <c r="C24" s="209" t="str">
        <f>VLOOKUP($H24,AWS!$A:$H,4,0)</f>
        <v>SDS</v>
      </c>
      <c r="D24" s="214" t="str">
        <f>VLOOKUP($H24,AWS!$A:$H,5,0)</f>
        <v>Striking Distance Studios</v>
      </c>
      <c r="E24" s="214" t="str">
        <f>VLOOKUP($H24,AWS!$A:$H,6,0)</f>
        <v>The Callisto Protocol</v>
      </c>
      <c r="F24" s="202">
        <f>VLOOKUP(표9[[#This Row],[Team]],표1[[내역]:[코스트 센터]],2,0)</f>
        <v>100561</v>
      </c>
      <c r="G24" s="202" t="str">
        <f>VLOOKUP(표9[[#This Row],[Project]],표2[],2,0)</f>
        <v>P100010013</v>
      </c>
      <c r="H24" s="214" t="s">
        <v>50</v>
      </c>
      <c r="I24" s="214" t="str">
        <f>VLOOKUP($H24,AWS!$A:$H,8,0)</f>
        <v>Jordan Yerkes</v>
      </c>
      <c r="J24" s="214" t="str">
        <f>VLOOKUP($H24,AWS!$A:$H,8,0)</f>
        <v>Jordan Yerkes</v>
      </c>
      <c r="K24" s="187"/>
      <c r="L24" s="215">
        <v>4067515</v>
      </c>
      <c r="M24" s="216">
        <v>5393574</v>
      </c>
      <c r="N24" s="217"/>
      <c r="O24" s="217"/>
      <c r="P24" s="217"/>
      <c r="Q24" s="217"/>
      <c r="R24" s="217"/>
      <c r="S24" s="217">
        <v>0</v>
      </c>
      <c r="T24" s="212">
        <v>0</v>
      </c>
      <c r="U24" s="212">
        <v>0</v>
      </c>
      <c r="V24" s="205">
        <v>0</v>
      </c>
      <c r="W24" s="205">
        <f>ROUND(표9[[#This Row],[Apr 2026 (USD or KRW)]],0)</f>
        <v>0</v>
      </c>
      <c r="X24" s="212"/>
      <c r="Y24" s="206">
        <f>표9[[#This Row],[Apr 2027(KRW)]]-표9[[#This Row],[Mar 2026(KRW)]]</f>
        <v>0</v>
      </c>
      <c r="Z24" s="213" t="str">
        <f t="shared" si="0"/>
        <v/>
      </c>
      <c r="AA24" s="208">
        <f>VLOOKUP(표9[[#This Row],[Team]],표1[],3,0)</f>
        <v>1000</v>
      </c>
    </row>
    <row r="25" spans="1:27" s="8" customFormat="1" ht="15">
      <c r="A25" s="214" t="str">
        <f>VLOOKUP($H25,AWS!$A:$H,2,0)</f>
        <v>AWS</v>
      </c>
      <c r="B25" s="214" t="str">
        <f>VLOOKUP($H25,AWS!$A:$H,3,0)</f>
        <v>KRAFTON HQ</v>
      </c>
      <c r="C25" s="209" t="str">
        <f>VLOOKUP($H25,AWS!$A:$H,4,0)</f>
        <v>InZOI Studio</v>
      </c>
      <c r="D25" s="214" t="str">
        <f>VLOOKUP($H25,AWS!$A:$H,5,0)</f>
        <v>inZOI Server Team</v>
      </c>
      <c r="E25" s="214" t="str">
        <f>VLOOKUP($H25,AWS!$A:$H,6,0)</f>
        <v>inZOI</v>
      </c>
      <c r="F25" s="202" t="e">
        <f>VLOOKUP(표9[[#This Row],[Team]],표1[[내역]:[코스트 센터]],2,0)</f>
        <v>#N/A</v>
      </c>
      <c r="G25" s="202" t="str">
        <f>VLOOKUP(표9[[#This Row],[Project]],표2[],2,0)</f>
        <v>P100010055</v>
      </c>
      <c r="H25" s="218" t="s">
        <v>51</v>
      </c>
      <c r="I25" s="214" t="str">
        <f>VLOOKUP($H25,AWS!$A:$H,8,0)</f>
        <v>조재욱</v>
      </c>
      <c r="J25" s="214" t="str">
        <f>VLOOKUP($H25,AWS!$A:$H,8,0)</f>
        <v>조재욱</v>
      </c>
      <c r="K25" s="187"/>
      <c r="L25" s="215">
        <v>831954</v>
      </c>
      <c r="M25" s="216">
        <v>819863</v>
      </c>
      <c r="N25" s="217">
        <v>1055148</v>
      </c>
      <c r="O25" s="217">
        <v>1457941</v>
      </c>
      <c r="P25" s="217">
        <v>1458274</v>
      </c>
      <c r="Q25" s="217">
        <v>1496773</v>
      </c>
      <c r="R25" s="217">
        <v>1510606</v>
      </c>
      <c r="S25" s="217">
        <v>1884390</v>
      </c>
      <c r="T25" s="212">
        <v>2078934</v>
      </c>
      <c r="U25" s="212">
        <v>1849540</v>
      </c>
      <c r="V25" s="205">
        <v>2470019</v>
      </c>
      <c r="W25" s="205">
        <f>ROUND(표9[[#This Row],[Apr 2026 (USD or KRW)]],0)</f>
        <v>0</v>
      </c>
      <c r="X25" s="212"/>
      <c r="Y25" s="206">
        <f>표9[[#This Row],[Apr 2027(KRW)]]-표9[[#This Row],[Mar 2026(KRW)]]</f>
        <v>-2470019</v>
      </c>
      <c r="Z25" s="213">
        <f t="shared" si="0"/>
        <v>-1</v>
      </c>
      <c r="AA25" s="208" t="e">
        <f>VLOOKUP(표9[[#This Row],[Team]],표1[],3,0)</f>
        <v>#N/A</v>
      </c>
    </row>
    <row r="26" spans="1:27" s="8" customFormat="1" ht="17">
      <c r="A26" s="214" t="str">
        <f>VLOOKUP($H26,AWS!$A:$H,2,0)</f>
        <v>AWS</v>
      </c>
      <c r="B26" s="214" t="str">
        <f>VLOOKUP($H26,AWS!$A:$H,3,0)</f>
        <v>KRAFTON HQ</v>
      </c>
      <c r="C26" s="209" t="str">
        <f>VLOOKUP($H26,AWS!$A:$H,4,0)</f>
        <v>KRAFTON HQ</v>
      </c>
      <c r="D26" s="214" t="str">
        <f>VLOOKUP($H26,AWS!$A:$H,5,0)</f>
        <v>Data Engineering Dept.</v>
      </c>
      <c r="E26" s="214" t="str">
        <f>VLOOKUP($H26,AWS!$A:$H,6,0)</f>
        <v>OVERHEAD/OTHERS</v>
      </c>
      <c r="F26" s="202">
        <f>VLOOKUP(표9[[#This Row],[Team]],표1[[내역]:[코스트 센터]],2,0)</f>
        <v>100212</v>
      </c>
      <c r="G26" s="202" t="str">
        <f>VLOOKUP(표9[[#This Row],[Project]],표2[],2,0)</f>
        <v>I100099999</v>
      </c>
      <c r="H26" s="184" t="s">
        <v>52</v>
      </c>
      <c r="I26" s="214" t="str">
        <f>VLOOKUP($H26,AWS!$A:$H,8,0)</f>
        <v>김시훈</v>
      </c>
      <c r="J26" s="214" t="str">
        <f>VLOOKUP($H26,AWS!$A:$H,8,0)</f>
        <v>김시훈</v>
      </c>
      <c r="K26" s="187" t="s">
        <v>29</v>
      </c>
      <c r="L26" s="215">
        <v>307937120</v>
      </c>
      <c r="M26" s="216">
        <v>346814364</v>
      </c>
      <c r="N26" s="217">
        <v>2998736452</v>
      </c>
      <c r="O26" s="217">
        <v>408151249</v>
      </c>
      <c r="P26" s="217">
        <v>437260317</v>
      </c>
      <c r="Q26" s="217">
        <v>545351157</v>
      </c>
      <c r="R26" s="217">
        <v>547726239</v>
      </c>
      <c r="S26" s="217">
        <v>3310004714</v>
      </c>
      <c r="T26" s="212">
        <v>567365183</v>
      </c>
      <c r="U26" s="212">
        <v>1032195117</v>
      </c>
      <c r="V26" s="205">
        <v>1173899035</v>
      </c>
      <c r="W26" s="205">
        <f>ROUND(표9[[#This Row],[Apr 2026 (USD or KRW)]],0)</f>
        <v>0</v>
      </c>
      <c r="X26" s="212"/>
      <c r="Y26" s="206">
        <f>표9[[#This Row],[Apr 2027(KRW)]]-표9[[#This Row],[Mar 2026(KRW)]]</f>
        <v>-1173899035</v>
      </c>
      <c r="Z26" s="213">
        <f t="shared" si="0"/>
        <v>-1</v>
      </c>
      <c r="AA26" s="208">
        <f>VLOOKUP(표9[[#This Row],[Team]],표1[],3,0)</f>
        <v>1000</v>
      </c>
    </row>
    <row r="27" spans="1:27" s="8" customFormat="1" ht="15">
      <c r="A27" s="214" t="str">
        <f>VLOOKUP($H27,AWS!$A:$H,2,0)</f>
        <v>AWS</v>
      </c>
      <c r="B27" s="214" t="str">
        <f>VLOOKUP($H27,AWS!$A:$H,3,0)</f>
        <v>Research</v>
      </c>
      <c r="C27" s="209" t="str">
        <f>VLOOKUP($H27,AWS!$A:$H,4,0)</f>
        <v>Research</v>
      </c>
      <c r="D27" s="214" t="str">
        <f>VLOOKUP($H27,AWS!$A:$H,5,0)</f>
        <v>AI research center</v>
      </c>
      <c r="E27" s="214" t="str">
        <f>VLOOKUP($H27,AWS!$A:$H,6,0)</f>
        <v>OVERHEAD/OTHERS</v>
      </c>
      <c r="F27" s="202">
        <f>VLOOKUP(표9[[#This Row],[Team]],표1[[내역]:[코스트 센터]],2,0)</f>
        <v>100677</v>
      </c>
      <c r="G27" s="202" t="str">
        <f>VLOOKUP(표9[[#This Row],[Project]],표2[],2,0)</f>
        <v>I100099999</v>
      </c>
      <c r="H27" s="214" t="s">
        <v>53</v>
      </c>
      <c r="I27" s="214" t="str">
        <f>VLOOKUP($H27,AWS!$A:$H,8,0)</f>
        <v>김범수</v>
      </c>
      <c r="J27" s="214" t="str">
        <f>VLOOKUP($H27,AWS!$A:$H,8,0)</f>
        <v>김범수</v>
      </c>
      <c r="K27" s="187"/>
      <c r="L27" s="215">
        <v>6535</v>
      </c>
      <c r="M27" s="216">
        <v>14339</v>
      </c>
      <c r="N27" s="217">
        <v>5980</v>
      </c>
      <c r="O27" s="217">
        <v>11207</v>
      </c>
      <c r="P27" s="217">
        <v>8576</v>
      </c>
      <c r="Q27" s="217">
        <v>9012</v>
      </c>
      <c r="R27" s="217">
        <v>9819</v>
      </c>
      <c r="S27" s="217">
        <v>1937257</v>
      </c>
      <c r="T27" s="212">
        <v>1917819</v>
      </c>
      <c r="U27" s="212">
        <v>3078092</v>
      </c>
      <c r="V27" s="205">
        <v>3596090</v>
      </c>
      <c r="W27" s="205">
        <f>ROUND(표9[[#This Row],[Apr 2026 (USD or KRW)]],0)</f>
        <v>0</v>
      </c>
      <c r="X27" s="212"/>
      <c r="Y27" s="206">
        <f>표9[[#This Row],[Apr 2027(KRW)]]-표9[[#This Row],[Mar 2026(KRW)]]</f>
        <v>-3596090</v>
      </c>
      <c r="Z27" s="213">
        <f t="shared" si="0"/>
        <v>-1</v>
      </c>
      <c r="AA27" s="208">
        <f>VLOOKUP(표9[[#This Row],[Team]],표1[],3,0)</f>
        <v>1000</v>
      </c>
    </row>
    <row r="28" spans="1:27" s="8" customFormat="1" ht="15">
      <c r="A28" s="209" t="str">
        <f>VLOOKUP($H28,AWS!$A:$H,2,0)</f>
        <v>AWS</v>
      </c>
      <c r="B28" s="209" t="str">
        <f>VLOOKUP($H28,AWS!$A:$H,3,0)</f>
        <v>Risingwings</v>
      </c>
      <c r="C28" s="209" t="str">
        <f>VLOOKUP($H28,AWS!$A:$H,4,0)</f>
        <v>Risingwings</v>
      </c>
      <c r="D28" s="214" t="str">
        <f>VLOOKUP($H28,AWS!$A:$H,5,0)</f>
        <v>RW Tech Support Dept.</v>
      </c>
      <c r="E28" s="214">
        <f>VLOOKUP($H28,AWS!$A:$H,6,0)</f>
        <v>0</v>
      </c>
      <c r="F28" s="202" t="e">
        <f>VLOOKUP(표9[[#This Row],[Team]],표1[[내역]:[코스트 센터]],2,0)</f>
        <v>#N/A</v>
      </c>
      <c r="G28" s="202" t="e">
        <f>VLOOKUP(표9[[#This Row],[Project]],표2[],2,0)</f>
        <v>#N/A</v>
      </c>
      <c r="H28" s="209" t="s">
        <v>54</v>
      </c>
      <c r="I28" s="209" t="str">
        <f>VLOOKUP($H28,AWS!$A:$H,7,0)</f>
        <v>허지웅</v>
      </c>
      <c r="J28" s="214" t="str">
        <f>VLOOKUP($H28,AWS!$A:$H,8,0)</f>
        <v>허지웅</v>
      </c>
      <c r="K28" s="186"/>
      <c r="L28" s="210">
        <v>105729</v>
      </c>
      <c r="M28" s="211">
        <v>113452</v>
      </c>
      <c r="N28" s="212">
        <v>105347</v>
      </c>
      <c r="O28" s="212">
        <v>126266</v>
      </c>
      <c r="P28" s="212">
        <v>5287</v>
      </c>
      <c r="Q28" s="212"/>
      <c r="R28" s="212"/>
      <c r="S28" s="212">
        <v>0</v>
      </c>
      <c r="T28" s="212">
        <v>0</v>
      </c>
      <c r="U28" s="212">
        <v>0</v>
      </c>
      <c r="V28" s="205">
        <v>0</v>
      </c>
      <c r="W28" s="205">
        <f>ROUND(표9[[#This Row],[Apr 2026 (USD or KRW)]],0)</f>
        <v>0</v>
      </c>
      <c r="X28" s="212"/>
      <c r="Y28" s="206">
        <f>표9[[#This Row],[Apr 2027(KRW)]]-표9[[#This Row],[Mar 2026(KRW)]]</f>
        <v>0</v>
      </c>
      <c r="Z28" s="213" t="str">
        <f t="shared" si="0"/>
        <v/>
      </c>
      <c r="AA28" s="208" t="e">
        <f>VLOOKUP(표9[[#This Row],[Team]],표1[],3,0)</f>
        <v>#N/A</v>
      </c>
    </row>
    <row r="29" spans="1:27" s="8" customFormat="1" ht="15">
      <c r="A29" s="214" t="str">
        <f>VLOOKUP($H29,AWS!$A:$H,2,0)</f>
        <v>AWS</v>
      </c>
      <c r="B29" s="214" t="str">
        <f>VLOOKUP($H29,AWS!$A:$H,3,0)</f>
        <v>Research</v>
      </c>
      <c r="C29" s="209" t="str">
        <f>VLOOKUP($H29,AWS!$A:$H,4,0)</f>
        <v>Research</v>
      </c>
      <c r="D29" s="214" t="str">
        <f>VLOOKUP($H29,AWS!$A:$H,5,0)</f>
        <v>ML Sys &amp; Ops Team</v>
      </c>
      <c r="E29" s="214" t="str">
        <f>VLOOKUP($H29,AWS!$A:$H,6,0)</f>
        <v>DEEP LEARNING</v>
      </c>
      <c r="F29" s="202">
        <f>VLOOKUP(표9[[#This Row],[Team]],표1[[내역]:[코스트 센터]],2,0)</f>
        <v>100810</v>
      </c>
      <c r="G29" s="202" t="str">
        <f>VLOOKUP(표9[[#This Row],[Project]],표2[],2,0)</f>
        <v>I100090817</v>
      </c>
      <c r="H29" s="214" t="s">
        <v>55</v>
      </c>
      <c r="I29" s="214" t="str">
        <f>VLOOKUP($H29,AWS!$A:$H,8,0)</f>
        <v>김지윤</v>
      </c>
      <c r="J29" s="214" t="str">
        <f>VLOOKUP($H29,AWS!$A:$H,8,0)</f>
        <v>김지윤</v>
      </c>
      <c r="K29" s="187" t="s">
        <v>29</v>
      </c>
      <c r="L29" s="215">
        <v>4468067</v>
      </c>
      <c r="M29" s="216">
        <v>3980672</v>
      </c>
      <c r="N29" s="217">
        <v>4538114</v>
      </c>
      <c r="O29" s="217">
        <v>5204950</v>
      </c>
      <c r="P29" s="217">
        <v>5155923</v>
      </c>
      <c r="Q29" s="217">
        <v>5363119</v>
      </c>
      <c r="R29" s="217">
        <v>5440702</v>
      </c>
      <c r="S29" s="217">
        <v>5415029</v>
      </c>
      <c r="T29" s="212">
        <v>5187691</v>
      </c>
      <c r="U29" s="212">
        <v>3957122</v>
      </c>
      <c r="V29" s="205">
        <v>4330547</v>
      </c>
      <c r="W29" s="205">
        <f>ROUND(표9[[#This Row],[Apr 2026 (USD or KRW)]],0)</f>
        <v>0</v>
      </c>
      <c r="X29" s="212"/>
      <c r="Y29" s="206">
        <f>표9[[#This Row],[Apr 2027(KRW)]]-표9[[#This Row],[Mar 2026(KRW)]]</f>
        <v>-4330547</v>
      </c>
      <c r="Z29" s="213">
        <f t="shared" si="0"/>
        <v>-1</v>
      </c>
      <c r="AA29" s="208">
        <f>VLOOKUP(표9[[#This Row],[Team]],표1[],3,0)</f>
        <v>1000</v>
      </c>
    </row>
    <row r="30" spans="1:27" s="8" customFormat="1" ht="15">
      <c r="A30" s="209" t="str">
        <f>VLOOKUP($H30,AWS!$A:$H,2,0)</f>
        <v>AWS</v>
      </c>
      <c r="B30" s="209" t="str">
        <f>VLOOKUP($H30,AWS!$A:$H,3,0)</f>
        <v>Dreamotion</v>
      </c>
      <c r="C30" s="209" t="str">
        <f>VLOOKUP($H30,AWS!$A:$H,4,0)</f>
        <v>Dreamotion</v>
      </c>
      <c r="D30" s="214" t="str">
        <f>VLOOKUP($H30,AWS!$A:$H,5,0)</f>
        <v>Project MLP Team</v>
      </c>
      <c r="E30" s="214" t="str">
        <f>VLOOKUP($H30,AWS!$A:$H,6,0)</f>
        <v>Road to Valor: Empire</v>
      </c>
      <c r="F30" s="202" t="e">
        <f>VLOOKUP(표9[[#This Row],[Team]],표1[[내역]:[코스트 센터]],2,0)</f>
        <v>#N/A</v>
      </c>
      <c r="G30" s="202" t="e">
        <f>VLOOKUP(표9[[#This Row],[Project]],표2[],2,0)</f>
        <v>#N/A</v>
      </c>
      <c r="H30" s="209" t="s">
        <v>56</v>
      </c>
      <c r="I30" s="209" t="str">
        <f>VLOOKUP($H30,AWS!$A:$H,7,0)</f>
        <v>류성중</v>
      </c>
      <c r="J30" s="214" t="str">
        <f>VLOOKUP($H30,AWS!$A:$H,8,0)</f>
        <v>류성중</v>
      </c>
      <c r="K30" s="186"/>
      <c r="L30" s="210">
        <v>991576</v>
      </c>
      <c r="M30" s="211">
        <v>954507</v>
      </c>
      <c r="N30" s="212">
        <v>1187771</v>
      </c>
      <c r="O30" s="212">
        <v>989785</v>
      </c>
      <c r="P30" s="212">
        <v>971495</v>
      </c>
      <c r="Q30" s="212">
        <v>1265010</v>
      </c>
      <c r="R30" s="212">
        <v>1261521</v>
      </c>
      <c r="S30" s="212">
        <v>1246848</v>
      </c>
      <c r="T30" s="212">
        <v>1135164</v>
      </c>
      <c r="U30" s="212">
        <v>988449</v>
      </c>
      <c r="V30" s="205">
        <v>1151781</v>
      </c>
      <c r="W30" s="205">
        <f>ROUND(표9[[#This Row],[Apr 2026 (USD or KRW)]],0)</f>
        <v>0</v>
      </c>
      <c r="X30" s="212"/>
      <c r="Y30" s="206">
        <f>표9[[#This Row],[Apr 2027(KRW)]]-표9[[#This Row],[Mar 2026(KRW)]]</f>
        <v>-1151781</v>
      </c>
      <c r="Z30" s="213">
        <f t="shared" si="0"/>
        <v>-1</v>
      </c>
      <c r="AA30" s="208" t="e">
        <f>VLOOKUP(표9[[#This Row],[Team]],표1[],3,0)</f>
        <v>#N/A</v>
      </c>
    </row>
    <row r="31" spans="1:27" s="8" customFormat="1" ht="15">
      <c r="A31" s="209" t="str">
        <f>VLOOKUP($H31,AWS!$A:$H,2,0)</f>
        <v>AWS</v>
      </c>
      <c r="B31" s="209" t="str">
        <f>VLOOKUP($H31,AWS!$A:$H,3,0)</f>
        <v>Dreamotion</v>
      </c>
      <c r="C31" s="209" t="str">
        <f>VLOOKUP($H31,AWS!$A:$H,4,0)</f>
        <v>Dreamotion</v>
      </c>
      <c r="D31" s="214" t="str">
        <f>VLOOKUP($H31,AWS!$A:$H,5,0)</f>
        <v>Project MLP Team</v>
      </c>
      <c r="E31" s="214" t="str">
        <f>VLOOKUP($H31,AWS!$A:$H,6,0)</f>
        <v>GunStrider: Tap Strike</v>
      </c>
      <c r="F31" s="202" t="e">
        <f>VLOOKUP(표9[[#This Row],[Team]],표1[[내역]:[코스트 센터]],2,0)</f>
        <v>#N/A</v>
      </c>
      <c r="G31" s="202" t="e">
        <f>VLOOKUP(표9[[#This Row],[Project]],표2[],2,0)</f>
        <v>#N/A</v>
      </c>
      <c r="H31" s="209" t="s">
        <v>57</v>
      </c>
      <c r="I31" s="209" t="str">
        <f>VLOOKUP($H31,AWS!$A:$H,7,0)</f>
        <v>류성중</v>
      </c>
      <c r="J31" s="214" t="str">
        <f>VLOOKUP($H31,AWS!$A:$H,8,0)</f>
        <v>류성중</v>
      </c>
      <c r="K31" s="186"/>
      <c r="L31" s="210">
        <v>83727</v>
      </c>
      <c r="M31" s="211">
        <v>87910</v>
      </c>
      <c r="N31" s="212">
        <v>81718</v>
      </c>
      <c r="O31" s="212">
        <v>88431</v>
      </c>
      <c r="P31" s="212">
        <v>89268</v>
      </c>
      <c r="Q31" s="212">
        <v>89355</v>
      </c>
      <c r="R31" s="212">
        <v>96054</v>
      </c>
      <c r="S31" s="212">
        <v>87995</v>
      </c>
      <c r="T31" s="212">
        <v>84221</v>
      </c>
      <c r="U31" s="212">
        <v>76625</v>
      </c>
      <c r="V31" s="205">
        <v>107386</v>
      </c>
      <c r="W31" s="205">
        <f>ROUND(표9[[#This Row],[Apr 2026 (USD or KRW)]],0)</f>
        <v>0</v>
      </c>
      <c r="X31" s="212"/>
      <c r="Y31" s="206">
        <f>표9[[#This Row],[Apr 2027(KRW)]]-표9[[#This Row],[Mar 2026(KRW)]]</f>
        <v>-107386</v>
      </c>
      <c r="Z31" s="213">
        <f t="shared" si="0"/>
        <v>-1</v>
      </c>
      <c r="AA31" s="208" t="e">
        <f>VLOOKUP(표9[[#This Row],[Team]],표1[],3,0)</f>
        <v>#N/A</v>
      </c>
    </row>
    <row r="32" spans="1:27" s="8" customFormat="1" ht="15">
      <c r="A32" s="209" t="str">
        <f>VLOOKUP($H32,AWS!$A:$H,2,0)</f>
        <v>AWS</v>
      </c>
      <c r="B32" s="209" t="str">
        <f>VLOOKUP($H32,AWS!$A:$H,3,0)</f>
        <v>Dreamotion</v>
      </c>
      <c r="C32" s="209" t="str">
        <f>VLOOKUP($H32,AWS!$A:$H,4,0)</f>
        <v>Dreamotion</v>
      </c>
      <c r="D32" s="214" t="str">
        <f>VLOOKUP($H32,AWS!$A:$H,5,0)</f>
        <v>Project MLP Team</v>
      </c>
      <c r="E32" s="214" t="str">
        <f>VLOOKUP($H32,AWS!$A:$H,6,0)</f>
        <v>Road to valor : world war2</v>
      </c>
      <c r="F32" s="202" t="e">
        <f>VLOOKUP(표9[[#This Row],[Team]],표1[[내역]:[코스트 센터]],2,0)</f>
        <v>#N/A</v>
      </c>
      <c r="G32" s="202" t="e">
        <f>VLOOKUP(표9[[#This Row],[Project]],표2[],2,0)</f>
        <v>#N/A</v>
      </c>
      <c r="H32" s="209" t="s">
        <v>58</v>
      </c>
      <c r="I32" s="209" t="str">
        <f>VLOOKUP($H32,AWS!$A:$H,7,0)</f>
        <v>류성중</v>
      </c>
      <c r="J32" s="214" t="str">
        <f>VLOOKUP($H32,AWS!$A:$H,8,0)</f>
        <v>류성중</v>
      </c>
      <c r="K32" s="186"/>
      <c r="L32" s="210">
        <v>1568594</v>
      </c>
      <c r="M32" s="211">
        <v>1449646</v>
      </c>
      <c r="N32" s="212">
        <v>1606994</v>
      </c>
      <c r="O32" s="212">
        <v>1539701</v>
      </c>
      <c r="P32" s="212">
        <v>1404477</v>
      </c>
      <c r="Q32" s="212">
        <v>1613721</v>
      </c>
      <c r="R32" s="212">
        <v>1610654</v>
      </c>
      <c r="S32" s="212">
        <v>1589427</v>
      </c>
      <c r="T32" s="212">
        <v>1488166</v>
      </c>
      <c r="U32" s="212">
        <v>1366984</v>
      </c>
      <c r="V32" s="205">
        <v>1478086</v>
      </c>
      <c r="W32" s="205">
        <f>ROUND(표9[[#This Row],[Apr 2026 (USD or KRW)]],0)</f>
        <v>0</v>
      </c>
      <c r="X32" s="212"/>
      <c r="Y32" s="206">
        <f>표9[[#This Row],[Apr 2027(KRW)]]-표9[[#This Row],[Mar 2026(KRW)]]</f>
        <v>-1478086</v>
      </c>
      <c r="Z32" s="213">
        <f t="shared" si="0"/>
        <v>-1</v>
      </c>
      <c r="AA32" s="208" t="e">
        <f>VLOOKUP(표9[[#This Row],[Team]],표1[],3,0)</f>
        <v>#N/A</v>
      </c>
    </row>
    <row r="33" spans="1:27" s="8" customFormat="1" ht="15">
      <c r="A33" s="209" t="str">
        <f>VLOOKUP($H33,AWS!$A:$H,2,0)</f>
        <v>AWS</v>
      </c>
      <c r="B33" s="209" t="str">
        <f>VLOOKUP($H33,AWS!$A:$H,3,0)</f>
        <v>Dreamotion</v>
      </c>
      <c r="C33" s="209" t="str">
        <f>VLOOKUP($H33,AWS!$A:$H,4,0)</f>
        <v>Dreamotion</v>
      </c>
      <c r="D33" s="214" t="str">
        <f>VLOOKUP($H33,AWS!$A:$H,5,0)</f>
        <v>Project MLP Team</v>
      </c>
      <c r="E33" s="214" t="str">
        <f>VLOOKUP($H33,AWS!$A:$H,6,0)</f>
        <v>Ronin: The Last Samurai</v>
      </c>
      <c r="F33" s="202" t="e">
        <f>VLOOKUP(표9[[#This Row],[Team]],표1[[내역]:[코스트 센터]],2,0)</f>
        <v>#N/A</v>
      </c>
      <c r="G33" s="202" t="e">
        <f>VLOOKUP(표9[[#This Row],[Project]],표2[],2,0)</f>
        <v>#N/A</v>
      </c>
      <c r="H33" s="209" t="s">
        <v>59</v>
      </c>
      <c r="I33" s="209" t="str">
        <f>VLOOKUP($H33,AWS!$A:$H,7,0)</f>
        <v>류성중</v>
      </c>
      <c r="J33" s="214" t="str">
        <f>VLOOKUP($H33,AWS!$A:$H,8,0)</f>
        <v>류성중</v>
      </c>
      <c r="K33" s="186"/>
      <c r="L33" s="210">
        <v>1115503</v>
      </c>
      <c r="M33" s="211">
        <v>1075700</v>
      </c>
      <c r="N33" s="212">
        <v>1302948</v>
      </c>
      <c r="O33" s="212">
        <v>1104698</v>
      </c>
      <c r="P33" s="212">
        <v>1085000</v>
      </c>
      <c r="Q33" s="212">
        <v>1376322</v>
      </c>
      <c r="R33" s="212">
        <v>1376876</v>
      </c>
      <c r="S33" s="212">
        <v>1367556</v>
      </c>
      <c r="T33" s="212">
        <v>1248339</v>
      </c>
      <c r="U33" s="212">
        <v>1104470</v>
      </c>
      <c r="V33" s="205">
        <v>1266915</v>
      </c>
      <c r="W33" s="205">
        <f>ROUND(표9[[#This Row],[Apr 2026 (USD or KRW)]],0)</f>
        <v>0</v>
      </c>
      <c r="X33" s="212"/>
      <c r="Y33" s="206">
        <f>표9[[#This Row],[Apr 2027(KRW)]]-표9[[#This Row],[Mar 2026(KRW)]]</f>
        <v>-1266915</v>
      </c>
      <c r="Z33" s="213">
        <f t="shared" si="0"/>
        <v>-1</v>
      </c>
      <c r="AA33" s="208" t="e">
        <f>VLOOKUP(표9[[#This Row],[Team]],표1[],3,0)</f>
        <v>#N/A</v>
      </c>
    </row>
    <row r="34" spans="1:27" s="8" customFormat="1" ht="15">
      <c r="A34" s="214" t="str">
        <f>VLOOKUP($H34,AWS!$A:$H,2,0)</f>
        <v>AWS</v>
      </c>
      <c r="B34" s="214" t="str">
        <f>VLOOKUP($H34,AWS!$A:$H,3,0)</f>
        <v>KRAFTON HQ</v>
      </c>
      <c r="C34" s="209" t="str">
        <f>VLOOKUP($H34,AWS!$A:$H,4,0)</f>
        <v>KRAFTON HQ</v>
      </c>
      <c r="D34" s="214" t="str">
        <f>VLOOKUP($H34,AWS!$A:$H,5,0)</f>
        <v>Security Dept.</v>
      </c>
      <c r="E34" s="214" t="str">
        <f>VLOOKUP($H34,AWS!$A:$H,6,0)</f>
        <v>OVERHEAD/OTHERS</v>
      </c>
      <c r="F34" s="202">
        <f>VLOOKUP(표9[[#This Row],[Team]],표1[[내역]:[코스트 센터]],2,0)</f>
        <v>101451</v>
      </c>
      <c r="G34" s="202" t="str">
        <f>VLOOKUP(표9[[#This Row],[Project]],표2[],2,0)</f>
        <v>I100099999</v>
      </c>
      <c r="H34" s="214" t="s">
        <v>60</v>
      </c>
      <c r="I34" s="214" t="str">
        <f>VLOOKUP($H34,AWS!$A:$H,8,0)</f>
        <v>홍준화</v>
      </c>
      <c r="J34" s="214" t="str">
        <f>VLOOKUP($H34,AWS!$A:$H,8,0)</f>
        <v>홍준화</v>
      </c>
      <c r="K34" s="187" t="s">
        <v>29</v>
      </c>
      <c r="L34" s="215">
        <v>2555506</v>
      </c>
      <c r="M34" s="216">
        <v>2534955</v>
      </c>
      <c r="N34" s="217">
        <v>2522685</v>
      </c>
      <c r="O34" s="217">
        <v>2604888</v>
      </c>
      <c r="P34" s="217">
        <v>3294806</v>
      </c>
      <c r="Q34" s="217">
        <v>3017838</v>
      </c>
      <c r="R34" s="217">
        <v>2282260</v>
      </c>
      <c r="S34" s="217">
        <v>2303702</v>
      </c>
      <c r="T34" s="212">
        <v>2848630</v>
      </c>
      <c r="U34" s="212">
        <v>3687339</v>
      </c>
      <c r="V34" s="205">
        <v>6340867</v>
      </c>
      <c r="W34" s="205">
        <f>ROUND(표9[[#This Row],[Apr 2026 (USD or KRW)]],0)</f>
        <v>0</v>
      </c>
      <c r="X34" s="212"/>
      <c r="Y34" s="206">
        <f>표9[[#This Row],[Apr 2027(KRW)]]-표9[[#This Row],[Mar 2026(KRW)]]</f>
        <v>-6340867</v>
      </c>
      <c r="Z34" s="213">
        <f t="shared" si="0"/>
        <v>-1</v>
      </c>
      <c r="AA34" s="208">
        <f>VLOOKUP(표9[[#This Row],[Team]],표1[],3,0)</f>
        <v>1000</v>
      </c>
    </row>
    <row r="35" spans="1:27" s="8" customFormat="1" ht="15">
      <c r="A35" s="214" t="str">
        <f>VLOOKUP($H35,AWS!$A:$H,2,0)</f>
        <v>AWS</v>
      </c>
      <c r="B35" s="214" t="str">
        <f>VLOOKUP($H35,AWS!$A:$H,3,0)</f>
        <v>KRAFTON HQ</v>
      </c>
      <c r="C35" s="209" t="str">
        <f>VLOOKUP($H35,AWS!$A:$H,4,0)</f>
        <v>KRAFTON HQ</v>
      </c>
      <c r="D35" s="214" t="str">
        <f>VLOOKUP($H35,AWS!$A:$H,5,0)</f>
        <v>DevData Engineering Team</v>
      </c>
      <c r="E35" s="214" t="str">
        <f>VLOOKUP($H35,AWS!$A:$H,6,0)</f>
        <v>BATTLEGROUNDS_PC/CONSOLE</v>
      </c>
      <c r="F35" s="202">
        <f>VLOOKUP(표9[[#This Row],[Team]],표1[[내역]:[코스트 센터]],2,0)</f>
        <v>101721</v>
      </c>
      <c r="G35" s="202" t="str">
        <f>VLOOKUP(표9[[#This Row],[Project]],표2[],2,0)</f>
        <v>P100010012</v>
      </c>
      <c r="H35" s="214" t="s">
        <v>61</v>
      </c>
      <c r="I35" s="214" t="str">
        <f>VLOOKUP($H35,AWS!$A:$H,8,0)</f>
        <v>안연주</v>
      </c>
      <c r="J35" s="214" t="str">
        <f>VLOOKUP($H35,AWS!$A:$H,8,0)</f>
        <v>안연주</v>
      </c>
      <c r="K35" s="187"/>
      <c r="L35" s="215">
        <v>2817722</v>
      </c>
      <c r="M35" s="216">
        <v>2727336</v>
      </c>
      <c r="N35" s="217">
        <v>2845993</v>
      </c>
      <c r="O35" s="217">
        <v>2883454</v>
      </c>
      <c r="P35" s="217">
        <v>3008796</v>
      </c>
      <c r="Q35" s="217">
        <v>2956316</v>
      </c>
      <c r="R35" s="217">
        <v>2739119</v>
      </c>
      <c r="S35" s="217">
        <v>3008046</v>
      </c>
      <c r="T35" s="212">
        <v>3093269</v>
      </c>
      <c r="U35" s="212">
        <v>2983882</v>
      </c>
      <c r="V35" s="205">
        <v>3672617</v>
      </c>
      <c r="W35" s="205">
        <f>ROUND(표9[[#This Row],[Apr 2026 (USD or KRW)]],0)</f>
        <v>0</v>
      </c>
      <c r="X35" s="212"/>
      <c r="Y35" s="206">
        <f>표9[[#This Row],[Apr 2027(KRW)]]-표9[[#This Row],[Mar 2026(KRW)]]</f>
        <v>-3672617</v>
      </c>
      <c r="Z35" s="213">
        <f t="shared" si="0"/>
        <v>-1</v>
      </c>
      <c r="AA35" s="208">
        <f>VLOOKUP(표9[[#This Row],[Team]],표1[],3,0)</f>
        <v>1000</v>
      </c>
    </row>
    <row r="36" spans="1:27" s="8" customFormat="1" ht="15">
      <c r="A36" s="214" t="str">
        <f>VLOOKUP($H36,AWS!$A:$H,2,0)</f>
        <v>AWS</v>
      </c>
      <c r="B36" s="214" t="str">
        <f>VLOOKUP($H36,AWS!$A:$H,3,0)</f>
        <v>BLUEHOLE</v>
      </c>
      <c r="C36" s="209" t="str">
        <f>VLOOKUP($H36,AWS!$A:$H,4,0)</f>
        <v>BLUEHOLE</v>
      </c>
      <c r="D36" s="214" t="str">
        <f>VLOOKUP($H36,AWS!$A:$H,5,0)</f>
        <v>[N/A] AB Unit</v>
      </c>
      <c r="E36" s="214" t="str">
        <f>VLOOKUP($H36,AWS!$A:$H,6,0)</f>
        <v>Dark and Darker_Mobile</v>
      </c>
      <c r="F36" s="202">
        <f>VLOOKUP(표9[[#This Row],[Team]],표1[[내역]:[코스트 센터]],2,0)</f>
        <v>110099</v>
      </c>
      <c r="G36" s="202" t="str">
        <f>VLOOKUP(표9[[#This Row],[Project]],표2[],2,0)</f>
        <v>P100030073</v>
      </c>
      <c r="H36" s="218" t="s">
        <v>62</v>
      </c>
      <c r="I36" s="214" t="str">
        <f>VLOOKUP($H36,AWS!$A:$H,8,0)</f>
        <v>이민재</v>
      </c>
      <c r="J36" s="214" t="str">
        <f>VLOOKUP($H36,AWS!$A:$H,8,0)</f>
        <v>이민재</v>
      </c>
      <c r="K36" s="187"/>
      <c r="L36" s="215">
        <v>42095789</v>
      </c>
      <c r="M36" s="216">
        <v>45747688</v>
      </c>
      <c r="N36" s="217">
        <v>42442625</v>
      </c>
      <c r="O36" s="217">
        <v>38897801</v>
      </c>
      <c r="P36" s="217">
        <v>34960534</v>
      </c>
      <c r="Q36" s="217">
        <v>37665835</v>
      </c>
      <c r="R36" s="217">
        <v>34825214</v>
      </c>
      <c r="S36" s="217">
        <v>37528129</v>
      </c>
      <c r="T36" s="212">
        <v>33286868</v>
      </c>
      <c r="U36" s="212">
        <v>6640088</v>
      </c>
      <c r="V36" s="205">
        <v>7603373</v>
      </c>
      <c r="W36" s="205">
        <f>ROUND(표9[[#This Row],[Apr 2026 (USD or KRW)]],0)</f>
        <v>0</v>
      </c>
      <c r="X36" s="212"/>
      <c r="Y36" s="206">
        <f>표9[[#This Row],[Apr 2027(KRW)]]-표9[[#This Row],[Mar 2026(KRW)]]</f>
        <v>-7603373</v>
      </c>
      <c r="Z36" s="213">
        <f t="shared" si="0"/>
        <v>-1</v>
      </c>
      <c r="AA36" s="208">
        <f>VLOOKUP(표9[[#This Row],[Team]],표1[],3,0)</f>
        <v>1100</v>
      </c>
    </row>
    <row r="37" spans="1:27" s="8" customFormat="1" ht="15">
      <c r="A37" s="214" t="str">
        <f>VLOOKUP($H37,AWS!$A:$H,2,0)</f>
        <v>AWS</v>
      </c>
      <c r="B37" s="214" t="str">
        <f>VLOOKUP($H37,AWS!$A:$H,3,0)</f>
        <v>KRAFTON HQ</v>
      </c>
      <c r="C37" s="209" t="str">
        <f>VLOOKUP($H37,AWS!$A:$H,4,0)</f>
        <v>KRAFTON HQ</v>
      </c>
      <c r="D37" s="214" t="str">
        <f>VLOOKUP($H37,AWS!$A:$H,5,0)</f>
        <v>Data Engineering Dept.</v>
      </c>
      <c r="E37" s="214" t="str">
        <f>VLOOKUP($H37,AWS!$A:$H,6,0)</f>
        <v>OVERHEAD/OTHERS</v>
      </c>
      <c r="F37" s="202">
        <f>VLOOKUP(표9[[#This Row],[Team]],표1[[내역]:[코스트 센터]],2,0)</f>
        <v>100212</v>
      </c>
      <c r="G37" s="202" t="str">
        <f>VLOOKUP(표9[[#This Row],[Project]],표2[],2,0)</f>
        <v>I100099999</v>
      </c>
      <c r="H37" s="214" t="s">
        <v>63</v>
      </c>
      <c r="I37" s="214" t="str">
        <f>VLOOKUP($H37,AWS!$A:$H,8,0)</f>
        <v>김시훈</v>
      </c>
      <c r="J37" s="214" t="str">
        <f>VLOOKUP($H37,AWS!$A:$H,8,0)</f>
        <v>김시훈</v>
      </c>
      <c r="K37" s="187" t="s">
        <v>29</v>
      </c>
      <c r="L37" s="215">
        <v>8195128</v>
      </c>
      <c r="M37" s="216">
        <v>8153395</v>
      </c>
      <c r="N37" s="217">
        <v>8860559</v>
      </c>
      <c r="O37" s="217">
        <v>8606579</v>
      </c>
      <c r="P37" s="217">
        <v>6658898</v>
      </c>
      <c r="Q37" s="217">
        <v>6363951</v>
      </c>
      <c r="R37" s="217">
        <v>6407382</v>
      </c>
      <c r="S37" s="217">
        <v>6319086</v>
      </c>
      <c r="T37" s="212">
        <v>6012372</v>
      </c>
      <c r="U37" s="212">
        <v>5550141</v>
      </c>
      <c r="V37" s="205">
        <v>6396490</v>
      </c>
      <c r="W37" s="205">
        <f>ROUND(표9[[#This Row],[Apr 2026 (USD or KRW)]],0)</f>
        <v>0</v>
      </c>
      <c r="X37" s="212"/>
      <c r="Y37" s="206">
        <f>표9[[#This Row],[Apr 2027(KRW)]]-표9[[#This Row],[Mar 2026(KRW)]]</f>
        <v>-6396490</v>
      </c>
      <c r="Z37" s="213">
        <f t="shared" si="0"/>
        <v>-1</v>
      </c>
      <c r="AA37" s="208">
        <f>VLOOKUP(표9[[#This Row],[Team]],표1[],3,0)</f>
        <v>1000</v>
      </c>
    </row>
    <row r="38" spans="1:27" s="8" customFormat="1" ht="15">
      <c r="A38" s="214" t="str">
        <f>VLOOKUP($H38,AWS!$A:$H,2,0)</f>
        <v>AWS</v>
      </c>
      <c r="B38" s="214" t="str">
        <f>VLOOKUP($H38,AWS!$A:$H,3,0)</f>
        <v>KRAFTON HQ</v>
      </c>
      <c r="C38" s="209" t="str">
        <f>VLOOKUP($H38,AWS!$A:$H,4,0)</f>
        <v>PUBG STUDIO</v>
      </c>
      <c r="D38" s="214" t="str">
        <f>VLOOKUP($H38,AWS!$A:$H,5,0)</f>
        <v>[N/A] IN Publishing Production Team_HQ</v>
      </c>
      <c r="E38" s="214" t="str">
        <f>VLOOKUP($H38,AWS!$A:$H,6,0)</f>
        <v>BULLET ECHO</v>
      </c>
      <c r="F38" s="202">
        <f>VLOOKUP(표9[[#This Row],[Team]],표1[[내역]:[코스트 센터]],2,0)</f>
        <v>101716</v>
      </c>
      <c r="G38" s="202" t="str">
        <f>VLOOKUP(표9[[#This Row],[Project]],표2[],2,0)</f>
        <v>P100030851</v>
      </c>
      <c r="H38" s="8" t="s">
        <v>64</v>
      </c>
      <c r="I38" s="214" t="str">
        <f>VLOOKUP($H38,AWS!$A:$H,8,0)</f>
        <v>박지현</v>
      </c>
      <c r="J38" s="214" t="str">
        <f>VLOOKUP($H38,AWS!$A:$H,8,0)</f>
        <v>박지현</v>
      </c>
      <c r="K38" s="187"/>
      <c r="L38" s="215">
        <v>6193</v>
      </c>
      <c r="M38" s="216">
        <v>14057</v>
      </c>
      <c r="N38" s="217">
        <v>5893</v>
      </c>
      <c r="O38" s="217">
        <v>11055</v>
      </c>
      <c r="P38" s="217">
        <v>8537</v>
      </c>
      <c r="Q38" s="217">
        <v>9001</v>
      </c>
      <c r="R38" s="217">
        <v>9888</v>
      </c>
      <c r="S38" s="217">
        <v>8685</v>
      </c>
      <c r="T38" s="212">
        <v>10668</v>
      </c>
      <c r="U38" s="212">
        <v>9183</v>
      </c>
      <c r="V38" s="205">
        <v>3764</v>
      </c>
      <c r="W38" s="205">
        <f>ROUND(표9[[#This Row],[Apr 2026 (USD or KRW)]],0)</f>
        <v>0</v>
      </c>
      <c r="X38" s="212"/>
      <c r="Y38" s="206">
        <f>표9[[#This Row],[Apr 2027(KRW)]]-표9[[#This Row],[Mar 2026(KRW)]]</f>
        <v>-3764</v>
      </c>
      <c r="Z38" s="213">
        <f t="shared" si="0"/>
        <v>-1</v>
      </c>
      <c r="AA38" s="208">
        <f>VLOOKUP(표9[[#This Row],[Team]],표1[],3,0)</f>
        <v>1000</v>
      </c>
    </row>
    <row r="39" spans="1:27" s="8" customFormat="1" ht="15">
      <c r="A39" s="214" t="str">
        <f>VLOOKUP($H39,AWS!$A:$H,2,0)</f>
        <v>AWS</v>
      </c>
      <c r="B39" s="214" t="str">
        <f>VLOOKUP($H39,AWS!$A:$H,3,0)</f>
        <v>KRAFTON HQ</v>
      </c>
      <c r="C39" s="209" t="str">
        <f>VLOOKUP($H39,AWS!$A:$H,4,0)</f>
        <v>KRAFTON HQ</v>
      </c>
      <c r="D39" s="214" t="str">
        <f>VLOOKUP($H39,AWS!$A:$H,5,0)</f>
        <v>IT Platform Engineering Team</v>
      </c>
      <c r="E39" s="214" t="str">
        <f>VLOOKUP($H39,AWS!$A:$H,6,0)</f>
        <v>OVERHEAD/OTHERS</v>
      </c>
      <c r="F39" s="202">
        <f>VLOOKUP(표9[[#This Row],[Team]],표1[[내역]:[코스트 센터]],2,0)</f>
        <v>100024</v>
      </c>
      <c r="G39" s="202" t="str">
        <f>VLOOKUP(표9[[#This Row],[Project]],표2[],2,0)</f>
        <v>I100099999</v>
      </c>
      <c r="H39" s="214" t="s">
        <v>65</v>
      </c>
      <c r="I39" s="214" t="str">
        <f>VLOOKUP($H39,AWS!$A:$H,8,0)</f>
        <v>김주한</v>
      </c>
      <c r="J39" s="214" t="str">
        <f>VLOOKUP($H39,AWS!$A:$H,8,0)</f>
        <v>김주한</v>
      </c>
      <c r="K39" s="187" t="s">
        <v>29</v>
      </c>
      <c r="L39" s="215"/>
      <c r="M39" s="216"/>
      <c r="N39" s="217"/>
      <c r="O39" s="217"/>
      <c r="P39" s="217"/>
      <c r="Q39" s="217"/>
      <c r="R39" s="217"/>
      <c r="S39" s="217">
        <v>252601</v>
      </c>
      <c r="T39" s="212">
        <v>432633</v>
      </c>
      <c r="U39" s="212">
        <v>90580</v>
      </c>
      <c r="V39" s="205">
        <v>3452</v>
      </c>
      <c r="W39" s="205">
        <f>ROUND(표9[[#This Row],[Apr 2026 (USD or KRW)]],0)</f>
        <v>0</v>
      </c>
      <c r="X39" s="212"/>
      <c r="Y39" s="206">
        <f>표9[[#This Row],[Apr 2027(KRW)]]-표9[[#This Row],[Mar 2026(KRW)]]</f>
        <v>-3452</v>
      </c>
      <c r="Z39" s="213">
        <f t="shared" si="0"/>
        <v>-1</v>
      </c>
      <c r="AA39" s="208">
        <f>VLOOKUP(표9[[#This Row],[Team]],표1[],3,0)</f>
        <v>1000</v>
      </c>
    </row>
    <row r="40" spans="1:27" s="8" customFormat="1" ht="15">
      <c r="A40" s="214" t="str">
        <f>VLOOKUP($H40,AWS!$A:$H,2,0)</f>
        <v>AWS</v>
      </c>
      <c r="B40" s="214" t="str">
        <f>VLOOKUP($H40,AWS!$A:$H,3,0)</f>
        <v>KRAFTON HQ</v>
      </c>
      <c r="C40" s="209" t="str">
        <f>VLOOKUP($H40,AWS!$A:$H,4,0)</f>
        <v>KRAFTON HQ</v>
      </c>
      <c r="D40" s="214" t="str">
        <f>VLOOKUP($H40,AWS!$A:$H,5,0)</f>
        <v>IT Platform Engineering Team</v>
      </c>
      <c r="E40" s="214" t="str">
        <f>VLOOKUP($H40,AWS!$A:$H,6,0)</f>
        <v>OVERHEAD/OTHERS</v>
      </c>
      <c r="F40" s="202">
        <f>VLOOKUP(표9[[#This Row],[Team]],표1[[내역]:[코스트 센터]],2,0)</f>
        <v>100024</v>
      </c>
      <c r="G40" s="202" t="str">
        <f>VLOOKUP(표9[[#This Row],[Project]],표2[],2,0)</f>
        <v>I100099999</v>
      </c>
      <c r="H40" s="214" t="s">
        <v>66</v>
      </c>
      <c r="I40" s="214" t="str">
        <f>VLOOKUP($H40,AWS!$A:$H,8,0)</f>
        <v>김주한</v>
      </c>
      <c r="J40" s="214" t="str">
        <f>VLOOKUP($H40,AWS!$A:$H,8,0)</f>
        <v>김주한</v>
      </c>
      <c r="K40" s="187" t="s">
        <v>29</v>
      </c>
      <c r="L40" s="215"/>
      <c r="M40" s="216"/>
      <c r="N40" s="217"/>
      <c r="O40" s="217"/>
      <c r="P40" s="217"/>
      <c r="Q40" s="217"/>
      <c r="R40" s="217"/>
      <c r="S40" s="217">
        <v>167431</v>
      </c>
      <c r="T40" s="212">
        <v>465435</v>
      </c>
      <c r="U40" s="212">
        <v>274896</v>
      </c>
      <c r="V40" s="205">
        <v>51198</v>
      </c>
      <c r="W40" s="205">
        <f>ROUND(표9[[#This Row],[Apr 2026 (USD or KRW)]],0)</f>
        <v>0</v>
      </c>
      <c r="X40" s="212"/>
      <c r="Y40" s="206">
        <f>표9[[#This Row],[Apr 2027(KRW)]]-표9[[#This Row],[Mar 2026(KRW)]]</f>
        <v>-51198</v>
      </c>
      <c r="Z40" s="213">
        <f t="shared" si="0"/>
        <v>-1</v>
      </c>
      <c r="AA40" s="208">
        <f>VLOOKUP(표9[[#This Row],[Team]],표1[],3,0)</f>
        <v>1000</v>
      </c>
    </row>
    <row r="41" spans="1:27" s="8" customFormat="1" ht="15">
      <c r="A41" s="214" t="str">
        <f>VLOOKUP($H41,AWS!$A:$H,2,0)</f>
        <v>AWS</v>
      </c>
      <c r="B41" s="214" t="str">
        <f>VLOOKUP($H41,AWS!$A:$H,3,0)</f>
        <v>KRAFTON HQ</v>
      </c>
      <c r="C41" s="209" t="str">
        <f>VLOOKUP($H41,AWS!$A:$H,4,0)</f>
        <v>KRAFTON HQ</v>
      </c>
      <c r="D41" s="214" t="str">
        <f>VLOOKUP($H41,AWS!$A:$H,5,0)</f>
        <v>IT Platform Engineering Team</v>
      </c>
      <c r="E41" s="214" t="str">
        <f>VLOOKUP($H41,AWS!$A:$H,6,0)</f>
        <v>OVERHEAD/OTHERS</v>
      </c>
      <c r="F41" s="202">
        <f>VLOOKUP(표9[[#This Row],[Team]],표1[[내역]:[코스트 센터]],2,0)</f>
        <v>100024</v>
      </c>
      <c r="G41" s="202" t="str">
        <f>VLOOKUP(표9[[#This Row],[Project]],표2[],2,0)</f>
        <v>I100099999</v>
      </c>
      <c r="H41" s="214" t="s">
        <v>67</v>
      </c>
      <c r="I41" s="214" t="str">
        <f>VLOOKUP($H41,AWS!$A:$H,8,0)</f>
        <v>김주한</v>
      </c>
      <c r="J41" s="214" t="str">
        <f>VLOOKUP($H41,AWS!$A:$H,8,0)</f>
        <v>김주한</v>
      </c>
      <c r="K41" s="187" t="s">
        <v>29</v>
      </c>
      <c r="L41" s="215"/>
      <c r="M41" s="216"/>
      <c r="N41" s="217"/>
      <c r="O41" s="217"/>
      <c r="P41" s="217"/>
      <c r="Q41" s="217"/>
      <c r="R41" s="217"/>
      <c r="S41" s="217">
        <v>94509</v>
      </c>
      <c r="T41" s="212">
        <v>473328</v>
      </c>
      <c r="U41" s="212">
        <v>492975</v>
      </c>
      <c r="V41" s="205">
        <v>39542</v>
      </c>
      <c r="W41" s="205">
        <f>ROUND(표9[[#This Row],[Apr 2026 (USD or KRW)]],0)</f>
        <v>0</v>
      </c>
      <c r="X41" s="212"/>
      <c r="Y41" s="206">
        <f>표9[[#This Row],[Apr 2027(KRW)]]-표9[[#This Row],[Mar 2026(KRW)]]</f>
        <v>-39542</v>
      </c>
      <c r="Z41" s="213">
        <f t="shared" si="0"/>
        <v>-1</v>
      </c>
      <c r="AA41" s="208">
        <f>VLOOKUP(표9[[#This Row],[Team]],표1[],3,0)</f>
        <v>1000</v>
      </c>
    </row>
    <row r="42" spans="1:27" s="8" customFormat="1" ht="15">
      <c r="A42" s="214" t="str">
        <f>VLOOKUP($H42,AWS!$A:$H,2,0)</f>
        <v>AWS</v>
      </c>
      <c r="B42" s="214" t="str">
        <f>VLOOKUP($H42,AWS!$A:$H,3,0)</f>
        <v>KRAFTON HQ</v>
      </c>
      <c r="C42" s="209" t="str">
        <f>VLOOKUP($H42,AWS!$A:$H,4,0)</f>
        <v>KRAFTON HQ</v>
      </c>
      <c r="D42" s="214" t="str">
        <f>VLOOKUP($H42,AWS!$A:$H,5,0)</f>
        <v>IT Platform Engineering Team</v>
      </c>
      <c r="E42" s="214" t="str">
        <f>VLOOKUP($H42,AWS!$A:$H,6,0)</f>
        <v>OVERHEAD/OTHERS</v>
      </c>
      <c r="F42" s="202">
        <f>VLOOKUP(표9[[#This Row],[Team]],표1[[내역]:[코스트 센터]],2,0)</f>
        <v>100024</v>
      </c>
      <c r="G42" s="202" t="str">
        <f>VLOOKUP(표9[[#This Row],[Project]],표2[],2,0)</f>
        <v>I100099999</v>
      </c>
      <c r="H42" s="214" t="s">
        <v>68</v>
      </c>
      <c r="I42" s="214" t="str">
        <f>VLOOKUP($H42,AWS!$A:$H,8,0)</f>
        <v>김주한</v>
      </c>
      <c r="J42" s="214" t="str">
        <f>VLOOKUP($H42,AWS!$A:$H,8,0)</f>
        <v>김주한</v>
      </c>
      <c r="K42" s="187" t="s">
        <v>29</v>
      </c>
      <c r="L42" s="215"/>
      <c r="M42" s="216"/>
      <c r="N42" s="217"/>
      <c r="O42" s="217"/>
      <c r="P42" s="217"/>
      <c r="Q42" s="217"/>
      <c r="R42" s="217"/>
      <c r="S42" s="217">
        <v>175726</v>
      </c>
      <c r="T42" s="212">
        <v>999907</v>
      </c>
      <c r="U42" s="212">
        <v>866113</v>
      </c>
      <c r="V42" s="205">
        <v>1125</v>
      </c>
      <c r="W42" s="205">
        <f>ROUND(표9[[#This Row],[Apr 2026 (USD or KRW)]],0)</f>
        <v>0</v>
      </c>
      <c r="X42" s="212"/>
      <c r="Y42" s="206">
        <f>표9[[#This Row],[Apr 2027(KRW)]]-표9[[#This Row],[Mar 2026(KRW)]]</f>
        <v>-1125</v>
      </c>
      <c r="Z42" s="213">
        <f t="shared" si="0"/>
        <v>-1</v>
      </c>
      <c r="AA42" s="208">
        <f>VLOOKUP(표9[[#This Row],[Team]],표1[],3,0)</f>
        <v>1000</v>
      </c>
    </row>
    <row r="43" spans="1:27" s="8" customFormat="1" ht="15">
      <c r="A43" s="214" t="str">
        <f>VLOOKUP($H43,AWS!$A:$H,2,0)</f>
        <v>AWS</v>
      </c>
      <c r="B43" s="214" t="str">
        <f>VLOOKUP($H43,AWS!$A:$H,3,0)</f>
        <v>KRAFTON HQ</v>
      </c>
      <c r="C43" s="209" t="str">
        <f>VLOOKUP($H43,AWS!$A:$H,4,0)</f>
        <v>KRAFTON HQ</v>
      </c>
      <c r="D43" s="214" t="str">
        <f>VLOOKUP($H43,AWS!$A:$H,5,0)</f>
        <v>Data Engineering Dept.</v>
      </c>
      <c r="E43" s="214" t="str">
        <f>VLOOKUP($H43,AWS!$A:$H,6,0)</f>
        <v>OVERHEAD/OTHERS</v>
      </c>
      <c r="F43" s="202">
        <f>VLOOKUP(표9[[#This Row],[Team]],표1[[내역]:[코스트 센터]],2,0)</f>
        <v>100212</v>
      </c>
      <c r="G43" s="202" t="str">
        <f>VLOOKUP(표9[[#This Row],[Project]],표2[],2,0)</f>
        <v>I100099999</v>
      </c>
      <c r="H43" s="214" t="s">
        <v>69</v>
      </c>
      <c r="I43" s="214" t="str">
        <f>VLOOKUP($H43,AWS!$A:$H,8,0)</f>
        <v>김시훈</v>
      </c>
      <c r="J43" s="214" t="str">
        <f>VLOOKUP($H43,AWS!$A:$H,8,0)</f>
        <v>김시훈</v>
      </c>
      <c r="K43" s="187" t="s">
        <v>29</v>
      </c>
      <c r="L43" s="215">
        <v>8811025</v>
      </c>
      <c r="M43" s="216">
        <v>8416881</v>
      </c>
      <c r="N43" s="217">
        <v>9154650</v>
      </c>
      <c r="O43" s="217">
        <v>9848766</v>
      </c>
      <c r="P43" s="217">
        <v>9558762</v>
      </c>
      <c r="Q43" s="217">
        <v>10799380</v>
      </c>
      <c r="R43" s="217">
        <v>10620630</v>
      </c>
      <c r="S43" s="217">
        <v>10857476</v>
      </c>
      <c r="T43" s="212">
        <v>9001074</v>
      </c>
      <c r="U43" s="212">
        <v>10267576</v>
      </c>
      <c r="V43" s="205">
        <v>15194049</v>
      </c>
      <c r="W43" s="205">
        <f>ROUND(표9[[#This Row],[Apr 2026 (USD or KRW)]],0)</f>
        <v>0</v>
      </c>
      <c r="X43" s="212"/>
      <c r="Y43" s="206">
        <f>표9[[#This Row],[Apr 2027(KRW)]]-표9[[#This Row],[Mar 2026(KRW)]]</f>
        <v>-15194049</v>
      </c>
      <c r="Z43" s="213">
        <f t="shared" si="0"/>
        <v>-1</v>
      </c>
      <c r="AA43" s="208">
        <f>VLOOKUP(표9[[#This Row],[Team]],표1[],3,0)</f>
        <v>1000</v>
      </c>
    </row>
    <row r="44" spans="1:27" s="8" customFormat="1" ht="15">
      <c r="A44" s="214" t="str">
        <f>VLOOKUP($H44,AWS!$A:$H,2,0)</f>
        <v>AWS</v>
      </c>
      <c r="B44" s="214" t="str">
        <f>VLOOKUP($H44,AWS!$A:$H,3,0)</f>
        <v>KRAFTON HQ</v>
      </c>
      <c r="C44" s="209" t="str">
        <f>VLOOKUP($H44,AWS!$A:$H,4,0)</f>
        <v>KRAFTON HQ</v>
      </c>
      <c r="D44" s="214" t="str">
        <f>VLOOKUP($H44,AWS!$A:$H,5,0)</f>
        <v>KOS Engineering Dept.</v>
      </c>
      <c r="E44" s="214" t="str">
        <f>VLOOKUP($H44,AWS!$A:$H,6,0)</f>
        <v>GPP</v>
      </c>
      <c r="F44" s="202">
        <f>VLOOKUP(표9[[#This Row],[Team]],표1[[내역]:[코스트 센터]],2,0)</f>
        <v>100025</v>
      </c>
      <c r="G44" s="202" t="str">
        <f>VLOOKUP(표9[[#This Row],[Project]],표2[],2,0)</f>
        <v>I100090813</v>
      </c>
      <c r="H44" s="214" t="s">
        <v>70</v>
      </c>
      <c r="I44" s="214" t="str">
        <f>VLOOKUP($H44,AWS!$A:$H,8,0)</f>
        <v>신근우</v>
      </c>
      <c r="J44" s="214" t="str">
        <f>VLOOKUP($H44,AWS!$A:$H,8,0)</f>
        <v>신근우</v>
      </c>
      <c r="K44" s="187"/>
      <c r="L44" s="215">
        <v>62954383</v>
      </c>
      <c r="M44" s="216">
        <v>44294844</v>
      </c>
      <c r="N44" s="217">
        <v>50179558</v>
      </c>
      <c r="O44" s="217">
        <v>55992370</v>
      </c>
      <c r="P44" s="217">
        <v>63412696</v>
      </c>
      <c r="Q44" s="217">
        <v>66946988</v>
      </c>
      <c r="R44" s="217">
        <v>65622863</v>
      </c>
      <c r="S44" s="217">
        <v>71243757</v>
      </c>
      <c r="T44" s="212">
        <v>65973314</v>
      </c>
      <c r="U44" s="212">
        <v>53607916</v>
      </c>
      <c r="V44" s="205">
        <v>65843939</v>
      </c>
      <c r="W44" s="205">
        <f>ROUND(표9[[#This Row],[Apr 2026 (USD or KRW)]],0)</f>
        <v>0</v>
      </c>
      <c r="X44" s="212"/>
      <c r="Y44" s="206">
        <f>표9[[#This Row],[Apr 2027(KRW)]]-표9[[#This Row],[Mar 2026(KRW)]]</f>
        <v>-65843939</v>
      </c>
      <c r="Z44" s="213">
        <f t="shared" si="0"/>
        <v>-1</v>
      </c>
      <c r="AA44" s="208">
        <f>VLOOKUP(표9[[#This Row],[Team]],표1[],3,0)</f>
        <v>1000</v>
      </c>
    </row>
    <row r="45" spans="1:27" s="8" customFormat="1" ht="15">
      <c r="A45" s="214" t="str">
        <f>VLOOKUP($H45,AWS!$A:$H,2,0)</f>
        <v>AWS</v>
      </c>
      <c r="B45" s="214" t="str">
        <f>VLOOKUP($H45,AWS!$A:$H,3,0)</f>
        <v>Research</v>
      </c>
      <c r="C45" s="209" t="str">
        <f>VLOOKUP($H45,AWS!$A:$H,4,0)</f>
        <v>Research</v>
      </c>
      <c r="D45" s="214" t="str">
        <f>VLOOKUP($H45,AWS!$A:$H,5,0)</f>
        <v>AI Product Dev Chapter Dept.</v>
      </c>
      <c r="E45" s="214" t="str">
        <f>VLOOKUP($H45,AWS!$A:$H,6,0)</f>
        <v>DEEP LEARNING</v>
      </c>
      <c r="F45" s="202">
        <f>VLOOKUP(표9[[#This Row],[Team]],표1[[내역]:[코스트 센터]],2,0)</f>
        <v>102159</v>
      </c>
      <c r="G45" s="202" t="str">
        <f>VLOOKUP(표9[[#This Row],[Project]],표2[],2,0)</f>
        <v>I100090817</v>
      </c>
      <c r="H45" s="209" t="s">
        <v>71</v>
      </c>
      <c r="I45" s="214" t="str">
        <f>VLOOKUP($H45,AWS!$A:$H,8,0)</f>
        <v>박준규</v>
      </c>
      <c r="J45" s="214" t="str">
        <f>VLOOKUP($H45,AWS!$A:$H,8,0)</f>
        <v>박준규</v>
      </c>
      <c r="K45" s="187"/>
      <c r="L45" s="215">
        <v>14525020</v>
      </c>
      <c r="M45" s="216">
        <v>15729050</v>
      </c>
      <c r="N45" s="217">
        <v>17535570</v>
      </c>
      <c r="O45" s="217">
        <v>17842263</v>
      </c>
      <c r="P45" s="217">
        <v>18912195</v>
      </c>
      <c r="Q45" s="217">
        <v>19650581</v>
      </c>
      <c r="R45" s="217">
        <v>17815676</v>
      </c>
      <c r="S45" s="217">
        <v>20659940</v>
      </c>
      <c r="T45" s="212">
        <v>21967984</v>
      </c>
      <c r="U45" s="212">
        <v>22633853</v>
      </c>
      <c r="V45" s="205">
        <v>34700138</v>
      </c>
      <c r="W45" s="205">
        <f>ROUND(표9[[#This Row],[Apr 2026 (USD or KRW)]],0)</f>
        <v>0</v>
      </c>
      <c r="X45" s="212"/>
      <c r="Y45" s="206">
        <f>표9[[#This Row],[Apr 2027(KRW)]]-표9[[#This Row],[Mar 2026(KRW)]]</f>
        <v>-34700138</v>
      </c>
      <c r="Z45" s="213">
        <f t="shared" si="0"/>
        <v>-1</v>
      </c>
      <c r="AA45" s="208">
        <f>VLOOKUP(표9[[#This Row],[Team]],표1[],3,0)</f>
        <v>1000</v>
      </c>
    </row>
    <row r="46" spans="1:27" s="8" customFormat="1" ht="15">
      <c r="A46" s="214" t="str">
        <f>VLOOKUP($H46,AWS!$A:$H,2,0)</f>
        <v>AWS</v>
      </c>
      <c r="B46" s="214" t="str">
        <f>VLOOKUP($H46,AWS!$A:$H,3,0)</f>
        <v>KRAFTON HQ</v>
      </c>
      <c r="C46" s="209" t="str">
        <f>VLOOKUP($H46,AWS!$A:$H,4,0)</f>
        <v>KRAFTON HQ</v>
      </c>
      <c r="D46" s="214" t="str">
        <f>VLOOKUP($H46,AWS!$A:$H,5,0)</f>
        <v>Data Engineering Dept.</v>
      </c>
      <c r="E46" s="214" t="str">
        <f>VLOOKUP($H46,AWS!$A:$H,6,0)</f>
        <v>OVERHEAD/OTHERS</v>
      </c>
      <c r="F46" s="202">
        <f>VLOOKUP(표9[[#This Row],[Team]],표1[[내역]:[코스트 센터]],2,0)</f>
        <v>100212</v>
      </c>
      <c r="G46" s="202" t="str">
        <f>VLOOKUP(표9[[#This Row],[Project]],표2[],2,0)</f>
        <v>I100099999</v>
      </c>
      <c r="H46" s="214" t="s">
        <v>72</v>
      </c>
      <c r="I46" s="214" t="str">
        <f>VLOOKUP($H46,AWS!$A:$H,8,0)</f>
        <v>김시훈</v>
      </c>
      <c r="J46" s="214" t="str">
        <f>VLOOKUP($H46,AWS!$A:$H,8,0)</f>
        <v>김시훈</v>
      </c>
      <c r="K46" s="187" t="s">
        <v>29</v>
      </c>
      <c r="L46" s="215">
        <v>15849268</v>
      </c>
      <c r="M46" s="216">
        <v>15374256</v>
      </c>
      <c r="N46" s="217">
        <v>22077166</v>
      </c>
      <c r="O46" s="217">
        <v>16352942</v>
      </c>
      <c r="P46" s="217">
        <v>14594241</v>
      </c>
      <c r="Q46" s="217">
        <v>11522792</v>
      </c>
      <c r="R46" s="217">
        <v>12934575</v>
      </c>
      <c r="S46" s="217">
        <v>11283907</v>
      </c>
      <c r="T46" s="212">
        <v>11418594</v>
      </c>
      <c r="U46" s="212">
        <v>10614802</v>
      </c>
      <c r="V46" s="205">
        <v>11584204</v>
      </c>
      <c r="W46" s="205">
        <f>ROUND(표9[[#This Row],[Apr 2026 (USD or KRW)]],0)</f>
        <v>0</v>
      </c>
      <c r="X46" s="212"/>
      <c r="Y46" s="206">
        <f>표9[[#This Row],[Apr 2027(KRW)]]-표9[[#This Row],[Mar 2026(KRW)]]</f>
        <v>-11584204</v>
      </c>
      <c r="Z46" s="213">
        <f t="shared" si="0"/>
        <v>-1</v>
      </c>
      <c r="AA46" s="208">
        <f>VLOOKUP(표9[[#This Row],[Team]],표1[],3,0)</f>
        <v>1000</v>
      </c>
    </row>
    <row r="47" spans="1:27" s="8" customFormat="1" ht="15">
      <c r="A47" s="214" t="str">
        <f>VLOOKUP($H47,AWS!$A:$H,2,0)</f>
        <v>AWS</v>
      </c>
      <c r="B47" s="214" t="str">
        <f>VLOOKUP($H47,AWS!$A:$H,3,0)</f>
        <v>KRAFTON HQ</v>
      </c>
      <c r="C47" s="209" t="str">
        <f>VLOOKUP($H47,AWS!$A:$H,4,0)</f>
        <v>Mad Glory</v>
      </c>
      <c r="D47" s="214" t="str">
        <f>VLOOKUP($H47,AWS!$A:$H,5,0)</f>
        <v>Valor Art Dept.</v>
      </c>
      <c r="E47" s="214" t="str">
        <f>VLOOKUP($H47,AWS!$A:$H,6,0)</f>
        <v>Valor_Console</v>
      </c>
      <c r="F47" s="202">
        <f>VLOOKUP(표9[[#This Row],[Team]],표1[[내역]:[코스트 센터]],2,0)</f>
        <v>100762</v>
      </c>
      <c r="G47" s="202" t="str">
        <f>VLOOKUP(표9[[#This Row],[Project]],표2[],2,0)</f>
        <v>P100020081</v>
      </c>
      <c r="H47" s="214" t="s">
        <v>73</v>
      </c>
      <c r="I47" s="214" t="str">
        <f>VLOOKUP($H47,AWS!$A:$H,8,0)</f>
        <v>Arthur Low (AJ)</v>
      </c>
      <c r="J47" s="214" t="str">
        <f>VLOOKUP($H47,AWS!$A:$H,8,0)</f>
        <v>Arthur Low (AJ)</v>
      </c>
      <c r="K47" s="187"/>
      <c r="L47" s="215">
        <v>7654818</v>
      </c>
      <c r="M47" s="216">
        <v>6913775</v>
      </c>
      <c r="N47" s="217">
        <v>10378012</v>
      </c>
      <c r="O47" s="217">
        <v>16392501</v>
      </c>
      <c r="P47" s="217">
        <v>19757718</v>
      </c>
      <c r="Q47" s="217">
        <v>19787353</v>
      </c>
      <c r="R47" s="217">
        <v>14566944</v>
      </c>
      <c r="S47" s="217">
        <v>17775376</v>
      </c>
      <c r="T47" s="212">
        <v>18442442</v>
      </c>
      <c r="U47" s="212">
        <v>16378922</v>
      </c>
      <c r="V47" s="205">
        <v>19993451</v>
      </c>
      <c r="W47" s="205">
        <f>ROUND(표9[[#This Row],[Apr 2026 (USD or KRW)]],0)</f>
        <v>0</v>
      </c>
      <c r="X47" s="212"/>
      <c r="Y47" s="206">
        <f>표9[[#This Row],[Apr 2027(KRW)]]-표9[[#This Row],[Mar 2026(KRW)]]</f>
        <v>-19993451</v>
      </c>
      <c r="Z47" s="213">
        <f t="shared" si="0"/>
        <v>-1</v>
      </c>
      <c r="AA47" s="208">
        <f>VLOOKUP(표9[[#This Row],[Team]],표1[],3,0)</f>
        <v>1000</v>
      </c>
    </row>
    <row r="48" spans="1:27" s="8" customFormat="1" ht="15">
      <c r="A48" s="214" t="str">
        <f>VLOOKUP($H48,AWS!$A:$H,2,0)</f>
        <v>AWS</v>
      </c>
      <c r="B48" s="214" t="str">
        <f>VLOOKUP($H48,AWS!$A:$H,3,0)</f>
        <v>KRAFTON HQ</v>
      </c>
      <c r="C48" s="209" t="str">
        <f>VLOOKUP($H48,AWS!$A:$H,4,0)</f>
        <v>KRAFTON HQ</v>
      </c>
      <c r="D48" s="214" t="str">
        <f>VLOOKUP($H48,AWS!$A:$H,5,0)</f>
        <v>KOS Engineering Dept.</v>
      </c>
      <c r="E48" s="214" t="str">
        <f>VLOOKUP($H48,AWS!$A:$H,6,0)</f>
        <v>GPP</v>
      </c>
      <c r="F48" s="202">
        <f>VLOOKUP(표9[[#This Row],[Team]],표1[[내역]:[코스트 센터]],2,0)</f>
        <v>100025</v>
      </c>
      <c r="G48" s="202" t="str">
        <f>VLOOKUP(표9[[#This Row],[Project]],표2[],2,0)</f>
        <v>I100090813</v>
      </c>
      <c r="H48" s="214" t="s">
        <v>74</v>
      </c>
      <c r="I48" s="214" t="str">
        <f>VLOOKUP($H48,AWS!$A:$H,8,0)</f>
        <v>신근우</v>
      </c>
      <c r="J48" s="214" t="str">
        <f>VLOOKUP($H48,AWS!$A:$H,8,0)</f>
        <v>신근우</v>
      </c>
      <c r="K48" s="187"/>
      <c r="L48" s="215">
        <v>16239086</v>
      </c>
      <c r="M48" s="216">
        <v>14014268</v>
      </c>
      <c r="N48" s="217">
        <v>16069905</v>
      </c>
      <c r="O48" s="217">
        <v>15756664</v>
      </c>
      <c r="P48" s="217">
        <v>14705559</v>
      </c>
      <c r="Q48" s="217">
        <v>15585459</v>
      </c>
      <c r="R48" s="217">
        <v>15858055</v>
      </c>
      <c r="S48" s="217">
        <v>17363473</v>
      </c>
      <c r="T48" s="212">
        <v>14639135</v>
      </c>
      <c r="U48" s="212">
        <v>12405001</v>
      </c>
      <c r="V48" s="205">
        <v>14586392</v>
      </c>
      <c r="W48" s="205">
        <f>ROUND(표9[[#This Row],[Apr 2026 (USD or KRW)]],0)</f>
        <v>0</v>
      </c>
      <c r="X48" s="212"/>
      <c r="Y48" s="206">
        <f>표9[[#This Row],[Apr 2027(KRW)]]-표9[[#This Row],[Mar 2026(KRW)]]</f>
        <v>-14586392</v>
      </c>
      <c r="Z48" s="213">
        <f t="shared" si="0"/>
        <v>-1</v>
      </c>
      <c r="AA48" s="208">
        <f>VLOOKUP(표9[[#This Row],[Team]],표1[],3,0)</f>
        <v>1000</v>
      </c>
    </row>
    <row r="49" spans="1:27" s="8" customFormat="1" ht="15">
      <c r="A49" s="214" t="str">
        <f>VLOOKUP($H49,AWS!$A:$H,2,0)</f>
        <v>AWS</v>
      </c>
      <c r="B49" s="214" t="str">
        <f>VLOOKUP($H49,AWS!$A:$H,3,0)</f>
        <v>KRAFTON HQ</v>
      </c>
      <c r="C49" s="209" t="str">
        <f>VLOOKUP($H49,AWS!$A:$H,4,0)</f>
        <v>KRAFTON HQ</v>
      </c>
      <c r="D49" s="214" t="str">
        <f>VLOOKUP($H49,AWS!$A:$H,5,0)</f>
        <v>KOS Engineering Dept.</v>
      </c>
      <c r="E49" s="214" t="str">
        <f>VLOOKUP($H49,AWS!$A:$H,6,0)</f>
        <v>GPP</v>
      </c>
      <c r="F49" s="202">
        <f>VLOOKUP(표9[[#This Row],[Team]],표1[[내역]:[코스트 센터]],2,0)</f>
        <v>100025</v>
      </c>
      <c r="G49" s="202" t="str">
        <f>VLOOKUP(표9[[#This Row],[Project]],표2[],2,0)</f>
        <v>I100090813</v>
      </c>
      <c r="H49" s="214" t="s">
        <v>75</v>
      </c>
      <c r="I49" s="214" t="str">
        <f>VLOOKUP($H49,AWS!$A:$H,8,0)</f>
        <v>신근우</v>
      </c>
      <c r="J49" s="214" t="str">
        <f>VLOOKUP($H49,AWS!$A:$H,8,0)</f>
        <v>신근우</v>
      </c>
      <c r="K49" s="187"/>
      <c r="L49" s="215">
        <v>20962</v>
      </c>
      <c r="M49" s="216">
        <v>24950</v>
      </c>
      <c r="N49" s="217">
        <v>16035</v>
      </c>
      <c r="O49" s="217">
        <v>21296</v>
      </c>
      <c r="P49" s="217">
        <v>18446</v>
      </c>
      <c r="Q49" s="217">
        <v>18544</v>
      </c>
      <c r="R49" s="217">
        <v>19483</v>
      </c>
      <c r="S49" s="217">
        <v>9129</v>
      </c>
      <c r="T49" s="212">
        <v>0</v>
      </c>
      <c r="U49" s="212">
        <v>0</v>
      </c>
      <c r="V49" s="205">
        <v>0</v>
      </c>
      <c r="W49" s="205">
        <f>ROUND(표9[[#This Row],[Apr 2026 (USD or KRW)]],0)</f>
        <v>0</v>
      </c>
      <c r="X49" s="212"/>
      <c r="Y49" s="206">
        <f>표9[[#This Row],[Apr 2027(KRW)]]-표9[[#This Row],[Mar 2026(KRW)]]</f>
        <v>0</v>
      </c>
      <c r="Z49" s="213" t="str">
        <f t="shared" si="0"/>
        <v/>
      </c>
      <c r="AA49" s="208">
        <f>VLOOKUP(표9[[#This Row],[Team]],표1[],3,0)</f>
        <v>1000</v>
      </c>
    </row>
    <row r="50" spans="1:27" s="8" customFormat="1" ht="15">
      <c r="A50" s="209" t="str">
        <f>VLOOKUP($H50,AWS!$A:$H,2,0)</f>
        <v>AWS</v>
      </c>
      <c r="B50" s="209" t="str">
        <f>VLOOKUP($H50,AWS!$A:$H,3,0)</f>
        <v>Neptune</v>
      </c>
      <c r="C50" s="209" t="str">
        <f>VLOOKUP($H50,AWS!$A:$H,4,0)</f>
        <v>Neptune</v>
      </c>
      <c r="D50" s="214">
        <f>VLOOKUP($H50,AWS!$A:$H,5,0)</f>
        <v>0</v>
      </c>
      <c r="E50" s="214">
        <f>VLOOKUP($H50,AWS!$A:$H,6,0)</f>
        <v>0</v>
      </c>
      <c r="F50" s="202" t="e">
        <f>VLOOKUP(표9[[#This Row],[Team]],표1[[내역]:[코스트 센터]],2,0)</f>
        <v>#N/A</v>
      </c>
      <c r="G50" s="202" t="e">
        <f>VLOOKUP(표9[[#This Row],[Project]],표2[],2,0)</f>
        <v>#N/A</v>
      </c>
      <c r="H50" s="209" t="s">
        <v>76</v>
      </c>
      <c r="I50" s="209">
        <f>VLOOKUP($H50,AWS!$A:$H,7,0)</f>
        <v>0</v>
      </c>
      <c r="J50" s="214">
        <f>VLOOKUP($H50,AWS!$A:$H,8,0)</f>
        <v>0</v>
      </c>
      <c r="K50" s="186"/>
      <c r="L50" s="210"/>
      <c r="M50" s="211"/>
      <c r="N50" s="212">
        <v>2393615</v>
      </c>
      <c r="O50" s="212">
        <v>2224132</v>
      </c>
      <c r="P50" s="212">
        <v>2247661</v>
      </c>
      <c r="Q50" s="212">
        <v>2419923</v>
      </c>
      <c r="R50" s="212">
        <v>2414398</v>
      </c>
      <c r="S50" s="212">
        <v>2459171</v>
      </c>
      <c r="T50" s="212">
        <v>2362541</v>
      </c>
      <c r="U50" s="212">
        <v>2103906</v>
      </c>
      <c r="V50" s="205">
        <v>2412256</v>
      </c>
      <c r="W50" s="205">
        <f>ROUND(표9[[#This Row],[Apr 2026 (USD or KRW)]],0)</f>
        <v>0</v>
      </c>
      <c r="X50" s="212"/>
      <c r="Y50" s="206">
        <f>표9[[#This Row],[Apr 2027(KRW)]]-표9[[#This Row],[Mar 2026(KRW)]]</f>
        <v>-2412256</v>
      </c>
      <c r="Z50" s="213">
        <f t="shared" si="0"/>
        <v>-1</v>
      </c>
      <c r="AA50" s="208" t="e">
        <f>VLOOKUP(표9[[#This Row],[Team]],표1[],3,0)</f>
        <v>#N/A</v>
      </c>
    </row>
    <row r="51" spans="1:27" s="8" customFormat="1" ht="15">
      <c r="A51" s="209" t="str">
        <f>VLOOKUP($H51,AWS!$A:$H,2,0)</f>
        <v>AWS</v>
      </c>
      <c r="B51" s="209" t="str">
        <f>VLOOKUP($H51,AWS!$A:$H,3,0)</f>
        <v>Neptune</v>
      </c>
      <c r="C51" s="209" t="str">
        <f>VLOOKUP($H51,AWS!$A:$H,4,0)</f>
        <v>Neptune</v>
      </c>
      <c r="D51" s="214">
        <f>VLOOKUP($H51,AWS!$A:$H,5,0)</f>
        <v>0</v>
      </c>
      <c r="E51" s="214">
        <f>VLOOKUP($H51,AWS!$A:$H,6,0)</f>
        <v>0</v>
      </c>
      <c r="F51" s="202" t="e">
        <f>VLOOKUP(표9[[#This Row],[Team]],표1[[내역]:[코스트 센터]],2,0)</f>
        <v>#N/A</v>
      </c>
      <c r="G51" s="202" t="e">
        <f>VLOOKUP(표9[[#This Row],[Project]],표2[],2,0)</f>
        <v>#N/A</v>
      </c>
      <c r="H51" s="209" t="s">
        <v>77</v>
      </c>
      <c r="I51" s="209">
        <f>VLOOKUP($H51,AWS!$A:$H,7,0)</f>
        <v>0</v>
      </c>
      <c r="J51" s="214">
        <f>VLOOKUP($H51,AWS!$A:$H,8,0)</f>
        <v>0</v>
      </c>
      <c r="K51" s="186"/>
      <c r="L51" s="210"/>
      <c r="M51" s="211"/>
      <c r="N51" s="212">
        <v>43983</v>
      </c>
      <c r="O51" s="212">
        <v>50701</v>
      </c>
      <c r="P51" s="212">
        <v>45451</v>
      </c>
      <c r="Q51" s="212">
        <v>47304</v>
      </c>
      <c r="R51" s="212">
        <v>47421</v>
      </c>
      <c r="S51" s="212">
        <v>47468</v>
      </c>
      <c r="T51" s="212">
        <v>46733</v>
      </c>
      <c r="U51" s="212">
        <v>45755</v>
      </c>
      <c r="V51" s="205">
        <v>49475</v>
      </c>
      <c r="W51" s="205">
        <f>ROUND(표9[[#This Row],[Apr 2026 (USD or KRW)]],0)</f>
        <v>0</v>
      </c>
      <c r="X51" s="212"/>
      <c r="Y51" s="206">
        <f>표9[[#This Row],[Apr 2027(KRW)]]-표9[[#This Row],[Mar 2026(KRW)]]</f>
        <v>-49475</v>
      </c>
      <c r="Z51" s="213">
        <f t="shared" si="0"/>
        <v>-1</v>
      </c>
      <c r="AA51" s="208" t="e">
        <f>VLOOKUP(표9[[#This Row],[Team]],표1[],3,0)</f>
        <v>#N/A</v>
      </c>
    </row>
    <row r="52" spans="1:27" s="8" customFormat="1" ht="15">
      <c r="A52" s="209" t="str">
        <f>VLOOKUP($H52,AWS!$A:$H,2,0)</f>
        <v>AWS</v>
      </c>
      <c r="B52" s="209" t="str">
        <f>VLOOKUP($H52,AWS!$A:$H,3,0)</f>
        <v>Neptune</v>
      </c>
      <c r="C52" s="209" t="str">
        <f>VLOOKUP($H52,AWS!$A:$H,4,0)</f>
        <v>Neptune</v>
      </c>
      <c r="D52" s="214">
        <f>VLOOKUP($H52,AWS!$A:$H,5,0)</f>
        <v>0</v>
      </c>
      <c r="E52" s="214">
        <f>VLOOKUP($H52,AWS!$A:$H,6,0)</f>
        <v>0</v>
      </c>
      <c r="F52" s="202" t="e">
        <f>VLOOKUP(표9[[#This Row],[Team]],표1[[내역]:[코스트 센터]],2,0)</f>
        <v>#N/A</v>
      </c>
      <c r="G52" s="202" t="e">
        <f>VLOOKUP(표9[[#This Row],[Project]],표2[],2,0)</f>
        <v>#N/A</v>
      </c>
      <c r="H52" s="209" t="s">
        <v>78</v>
      </c>
      <c r="I52" s="209">
        <f>VLOOKUP($H52,AWS!$A:$H,7,0)</f>
        <v>0</v>
      </c>
      <c r="J52" s="214">
        <f>VLOOKUP($H52,AWS!$A:$H,8,0)</f>
        <v>0</v>
      </c>
      <c r="K52" s="186"/>
      <c r="L52" s="210"/>
      <c r="M52" s="211"/>
      <c r="N52" s="212">
        <v>708774</v>
      </c>
      <c r="O52" s="212">
        <v>707098</v>
      </c>
      <c r="P52" s="212">
        <v>689832</v>
      </c>
      <c r="Q52" s="212">
        <v>743266</v>
      </c>
      <c r="R52" s="212">
        <v>736703</v>
      </c>
      <c r="S52" s="212">
        <v>748435</v>
      </c>
      <c r="T52" s="212">
        <v>701507</v>
      </c>
      <c r="U52" s="212">
        <v>620618</v>
      </c>
      <c r="V52" s="205">
        <v>687530</v>
      </c>
      <c r="W52" s="205">
        <f>ROUND(표9[[#This Row],[Apr 2026 (USD or KRW)]],0)</f>
        <v>0</v>
      </c>
      <c r="X52" s="212"/>
      <c r="Y52" s="206">
        <f>표9[[#This Row],[Apr 2027(KRW)]]-표9[[#This Row],[Mar 2026(KRW)]]</f>
        <v>-687530</v>
      </c>
      <c r="Z52" s="213">
        <f t="shared" si="0"/>
        <v>-1</v>
      </c>
      <c r="AA52" s="208" t="e">
        <f>VLOOKUP(표9[[#This Row],[Team]],표1[],3,0)</f>
        <v>#N/A</v>
      </c>
    </row>
    <row r="53" spans="1:27" s="8" customFormat="1" ht="15">
      <c r="A53" s="209" t="str">
        <f>VLOOKUP($H53,AWS!$A:$H,2,0)</f>
        <v>AWS</v>
      </c>
      <c r="B53" s="209" t="str">
        <f>VLOOKUP($H53,AWS!$A:$H,3,0)</f>
        <v>Neptune</v>
      </c>
      <c r="C53" s="209" t="str">
        <f>VLOOKUP($H53,AWS!$A:$H,4,0)</f>
        <v>Neptune</v>
      </c>
      <c r="D53" s="214">
        <f>VLOOKUP($H53,AWS!$A:$H,5,0)</f>
        <v>0</v>
      </c>
      <c r="E53" s="214">
        <f>VLOOKUP($H53,AWS!$A:$H,6,0)</f>
        <v>0</v>
      </c>
      <c r="F53" s="202" t="e">
        <f>VLOOKUP(표9[[#This Row],[Team]],표1[[내역]:[코스트 센터]],2,0)</f>
        <v>#N/A</v>
      </c>
      <c r="G53" s="202" t="e">
        <f>VLOOKUP(표9[[#This Row],[Project]],표2[],2,0)</f>
        <v>#N/A</v>
      </c>
      <c r="H53" s="209" t="s">
        <v>79</v>
      </c>
      <c r="I53" s="209">
        <f>VLOOKUP($H53,AWS!$A:$H,7,0)</f>
        <v>0</v>
      </c>
      <c r="J53" s="214">
        <f>VLOOKUP($H53,AWS!$A:$H,8,0)</f>
        <v>0</v>
      </c>
      <c r="K53" s="186"/>
      <c r="L53" s="210"/>
      <c r="M53" s="211"/>
      <c r="N53" s="212">
        <v>6659</v>
      </c>
      <c r="O53" s="212">
        <v>19074</v>
      </c>
      <c r="P53" s="212">
        <v>9966</v>
      </c>
      <c r="Q53" s="212">
        <v>10237</v>
      </c>
      <c r="R53" s="212">
        <v>9923</v>
      </c>
      <c r="S53" s="212">
        <v>156338</v>
      </c>
      <c r="T53" s="212">
        <v>233436</v>
      </c>
      <c r="U53" s="212">
        <v>145962</v>
      </c>
      <c r="V53" s="205">
        <v>264590</v>
      </c>
      <c r="W53" s="205">
        <f>ROUND(표9[[#This Row],[Apr 2026 (USD or KRW)]],0)</f>
        <v>0</v>
      </c>
      <c r="X53" s="212"/>
      <c r="Y53" s="206">
        <f>표9[[#This Row],[Apr 2027(KRW)]]-표9[[#This Row],[Mar 2026(KRW)]]</f>
        <v>-264590</v>
      </c>
      <c r="Z53" s="213">
        <f t="shared" si="0"/>
        <v>-1</v>
      </c>
      <c r="AA53" s="208" t="e">
        <f>VLOOKUP(표9[[#This Row],[Team]],표1[],3,0)</f>
        <v>#N/A</v>
      </c>
    </row>
    <row r="54" spans="1:27" s="8" customFormat="1" ht="15">
      <c r="A54" s="209" t="str">
        <f>VLOOKUP($H54,AWS!$A:$H,2,0)</f>
        <v>AWS</v>
      </c>
      <c r="B54" s="209" t="str">
        <f>VLOOKUP($H54,AWS!$A:$H,3,0)</f>
        <v>Neptune</v>
      </c>
      <c r="C54" s="209" t="str">
        <f>VLOOKUP($H54,AWS!$A:$H,4,0)</f>
        <v>Neptune</v>
      </c>
      <c r="D54" s="214">
        <f>VLOOKUP($H54,AWS!$A:$H,5,0)</f>
        <v>0</v>
      </c>
      <c r="E54" s="214">
        <f>VLOOKUP($H54,AWS!$A:$H,6,0)</f>
        <v>0</v>
      </c>
      <c r="F54" s="202" t="e">
        <f>VLOOKUP(표9[[#This Row],[Team]],표1[[내역]:[코스트 센터]],2,0)</f>
        <v>#N/A</v>
      </c>
      <c r="G54" s="202" t="e">
        <f>VLOOKUP(표9[[#This Row],[Project]],표2[],2,0)</f>
        <v>#N/A</v>
      </c>
      <c r="H54" s="209" t="s">
        <v>80</v>
      </c>
      <c r="I54" s="209">
        <f>VLOOKUP($H54,AWS!$A:$H,7,0)</f>
        <v>0</v>
      </c>
      <c r="J54" s="214">
        <f>VLOOKUP($H54,AWS!$A:$H,8,0)</f>
        <v>0</v>
      </c>
      <c r="K54" s="186"/>
      <c r="L54" s="210"/>
      <c r="M54" s="211"/>
      <c r="N54" s="212">
        <v>10719927</v>
      </c>
      <c r="O54" s="212">
        <v>9616153</v>
      </c>
      <c r="P54" s="212">
        <v>8620189</v>
      </c>
      <c r="Q54" s="212">
        <v>10422163</v>
      </c>
      <c r="R54" s="212">
        <v>10184786</v>
      </c>
      <c r="S54" s="212">
        <v>10757638</v>
      </c>
      <c r="T54" s="212">
        <v>10336035</v>
      </c>
      <c r="U54" s="212">
        <v>9380767</v>
      </c>
      <c r="V54" s="205">
        <v>11252794</v>
      </c>
      <c r="W54" s="205">
        <f>ROUND(표9[[#This Row],[Apr 2026 (USD or KRW)]],0)</f>
        <v>0</v>
      </c>
      <c r="X54" s="212"/>
      <c r="Y54" s="206">
        <f>표9[[#This Row],[Apr 2027(KRW)]]-표9[[#This Row],[Mar 2026(KRW)]]</f>
        <v>-11252794</v>
      </c>
      <c r="Z54" s="213">
        <f t="shared" si="0"/>
        <v>-1</v>
      </c>
      <c r="AA54" s="208" t="e">
        <f>VLOOKUP(표9[[#This Row],[Team]],표1[],3,0)</f>
        <v>#N/A</v>
      </c>
    </row>
    <row r="55" spans="1:27" s="8" customFormat="1" ht="15">
      <c r="A55" s="209" t="str">
        <f>VLOOKUP($H55,AWS!$A:$H,2,0)</f>
        <v>AWS</v>
      </c>
      <c r="B55" s="209" t="str">
        <f>VLOOKUP($H55,AWS!$A:$H,3,0)</f>
        <v>Neptune</v>
      </c>
      <c r="C55" s="209" t="str">
        <f>VLOOKUP($H55,AWS!$A:$H,4,0)</f>
        <v>Neptune</v>
      </c>
      <c r="D55" s="214">
        <f>VLOOKUP($H55,AWS!$A:$H,5,0)</f>
        <v>0</v>
      </c>
      <c r="E55" s="214">
        <f>VLOOKUP($H55,AWS!$A:$H,6,0)</f>
        <v>0</v>
      </c>
      <c r="F55" s="202" t="e">
        <f>VLOOKUP(표9[[#This Row],[Team]],표1[[내역]:[코스트 센터]],2,0)</f>
        <v>#N/A</v>
      </c>
      <c r="G55" s="202" t="e">
        <f>VLOOKUP(표9[[#This Row],[Project]],표2[],2,0)</f>
        <v>#N/A</v>
      </c>
      <c r="H55" s="209" t="s">
        <v>81</v>
      </c>
      <c r="I55" s="209">
        <f>VLOOKUP($H55,AWS!$A:$H,7,0)</f>
        <v>0</v>
      </c>
      <c r="J55" s="214">
        <f>VLOOKUP($H55,AWS!$A:$H,8,0)</f>
        <v>0</v>
      </c>
      <c r="K55" s="186"/>
      <c r="L55" s="210"/>
      <c r="M55" s="211"/>
      <c r="N55" s="212">
        <v>4696747</v>
      </c>
      <c r="O55" s="212">
        <v>1856183</v>
      </c>
      <c r="P55" s="212">
        <v>4683881</v>
      </c>
      <c r="Q55" s="212">
        <v>1927214</v>
      </c>
      <c r="R55" s="212">
        <v>1922466</v>
      </c>
      <c r="S55" s="212">
        <v>2024021</v>
      </c>
      <c r="T55" s="212">
        <v>11168121</v>
      </c>
      <c r="U55" s="212">
        <v>1807656</v>
      </c>
      <c r="V55" s="205">
        <v>2099874</v>
      </c>
      <c r="W55" s="205">
        <f>ROUND(표9[[#This Row],[Apr 2026 (USD or KRW)]],0)</f>
        <v>0</v>
      </c>
      <c r="X55" s="212"/>
      <c r="Y55" s="206">
        <f>표9[[#This Row],[Apr 2027(KRW)]]-표9[[#This Row],[Mar 2026(KRW)]]</f>
        <v>-2099874</v>
      </c>
      <c r="Z55" s="213">
        <f t="shared" si="0"/>
        <v>-1</v>
      </c>
      <c r="AA55" s="208" t="e">
        <f>VLOOKUP(표9[[#This Row],[Team]],표1[],3,0)</f>
        <v>#N/A</v>
      </c>
    </row>
    <row r="56" spans="1:27" s="8" customFormat="1" ht="15">
      <c r="A56" s="209" t="str">
        <f>VLOOKUP($H56,AWS!$A:$H,2,0)</f>
        <v>AWS</v>
      </c>
      <c r="B56" s="209" t="str">
        <f>VLOOKUP($H56,AWS!$A:$H,3,0)</f>
        <v>Neptune</v>
      </c>
      <c r="C56" s="209" t="str">
        <f>VLOOKUP($H56,AWS!$A:$H,4,0)</f>
        <v>Neptune</v>
      </c>
      <c r="D56" s="214">
        <f>VLOOKUP($H56,AWS!$A:$H,5,0)</f>
        <v>0</v>
      </c>
      <c r="E56" s="214">
        <f>VLOOKUP($H56,AWS!$A:$H,6,0)</f>
        <v>0</v>
      </c>
      <c r="F56" s="202" t="e">
        <f>VLOOKUP(표9[[#This Row],[Team]],표1[[내역]:[코스트 센터]],2,0)</f>
        <v>#N/A</v>
      </c>
      <c r="G56" s="202" t="e">
        <f>VLOOKUP(표9[[#This Row],[Project]],표2[],2,0)</f>
        <v>#N/A</v>
      </c>
      <c r="H56" s="209" t="s">
        <v>82</v>
      </c>
      <c r="I56" s="209">
        <f>VLOOKUP($H56,AWS!$A:$H,7,0)</f>
        <v>0</v>
      </c>
      <c r="J56" s="214">
        <f>VLOOKUP($H56,AWS!$A:$H,8,0)</f>
        <v>0</v>
      </c>
      <c r="K56" s="186"/>
      <c r="L56" s="210"/>
      <c r="M56" s="211"/>
      <c r="N56" s="212">
        <v>1882623</v>
      </c>
      <c r="O56" s="212">
        <v>1907472</v>
      </c>
      <c r="P56" s="212">
        <v>1889046</v>
      </c>
      <c r="Q56" s="212">
        <v>1932963</v>
      </c>
      <c r="R56" s="212">
        <v>1981456</v>
      </c>
      <c r="S56" s="212">
        <v>1952861</v>
      </c>
      <c r="T56" s="212">
        <v>22386598</v>
      </c>
      <c r="U56" s="212">
        <v>1919682</v>
      </c>
      <c r="V56" s="205">
        <v>2062173</v>
      </c>
      <c r="W56" s="205">
        <f>ROUND(표9[[#This Row],[Apr 2026 (USD or KRW)]],0)</f>
        <v>0</v>
      </c>
      <c r="X56" s="212"/>
      <c r="Y56" s="206">
        <f>표9[[#This Row],[Apr 2027(KRW)]]-표9[[#This Row],[Mar 2026(KRW)]]</f>
        <v>-2062173</v>
      </c>
      <c r="Z56" s="213">
        <f t="shared" si="0"/>
        <v>-1</v>
      </c>
      <c r="AA56" s="208" t="e">
        <f>VLOOKUP(표9[[#This Row],[Team]],표1[],3,0)</f>
        <v>#N/A</v>
      </c>
    </row>
    <row r="57" spans="1:27" s="8" customFormat="1" ht="15">
      <c r="A57" s="209" t="str">
        <f>VLOOKUP($H57,AWS!$A:$H,2,0)</f>
        <v>AWS</v>
      </c>
      <c r="B57" s="209" t="str">
        <f>VLOOKUP($H57,AWS!$A:$H,3,0)</f>
        <v>Neptune</v>
      </c>
      <c r="C57" s="209" t="str">
        <f>VLOOKUP($H57,AWS!$A:$H,4,0)</f>
        <v>Neptune</v>
      </c>
      <c r="D57" s="214">
        <f>VLOOKUP($H57,AWS!$A:$H,5,0)</f>
        <v>0</v>
      </c>
      <c r="E57" s="214">
        <f>VLOOKUP($H57,AWS!$A:$H,6,0)</f>
        <v>0</v>
      </c>
      <c r="F57" s="202" t="e">
        <f>VLOOKUP(표9[[#This Row],[Team]],표1[[내역]:[코스트 센터]],2,0)</f>
        <v>#N/A</v>
      </c>
      <c r="G57" s="202" t="e">
        <f>VLOOKUP(표9[[#This Row],[Project]],표2[],2,0)</f>
        <v>#N/A</v>
      </c>
      <c r="H57" s="209" t="s">
        <v>83</v>
      </c>
      <c r="I57" s="209">
        <f>VLOOKUP($H57,AWS!$A:$H,7,0)</f>
        <v>0</v>
      </c>
      <c r="J57" s="214">
        <f>VLOOKUP($H57,AWS!$A:$H,8,0)</f>
        <v>0</v>
      </c>
      <c r="K57" s="186"/>
      <c r="L57" s="210"/>
      <c r="M57" s="211"/>
      <c r="N57" s="212">
        <v>6117985</v>
      </c>
      <c r="O57" s="212">
        <v>6165927</v>
      </c>
      <c r="P57" s="212">
        <v>5994083</v>
      </c>
      <c r="Q57" s="212">
        <v>6308585</v>
      </c>
      <c r="R57" s="212">
        <v>6330290</v>
      </c>
      <c r="S57" s="212">
        <v>6350407</v>
      </c>
      <c r="T57" s="212">
        <v>6267648</v>
      </c>
      <c r="U57" s="212">
        <v>6601501</v>
      </c>
      <c r="V57" s="205">
        <v>9965451</v>
      </c>
      <c r="W57" s="205">
        <f>ROUND(표9[[#This Row],[Apr 2026 (USD or KRW)]],0)</f>
        <v>0</v>
      </c>
      <c r="X57" s="212"/>
      <c r="Y57" s="206">
        <f>표9[[#This Row],[Apr 2027(KRW)]]-표9[[#This Row],[Mar 2026(KRW)]]</f>
        <v>-9965451</v>
      </c>
      <c r="Z57" s="213">
        <f t="shared" si="0"/>
        <v>-1</v>
      </c>
      <c r="AA57" s="208" t="e">
        <f>VLOOKUP(표9[[#This Row],[Team]],표1[],3,0)</f>
        <v>#N/A</v>
      </c>
    </row>
    <row r="58" spans="1:27" s="8" customFormat="1" ht="15">
      <c r="A58" s="209" t="str">
        <f>VLOOKUP($H58,AWS!$A:$H,2,0)</f>
        <v>AWS</v>
      </c>
      <c r="B58" s="209" t="str">
        <f>VLOOKUP($H58,AWS!$A:$H,3,0)</f>
        <v>Neptune</v>
      </c>
      <c r="C58" s="209" t="str">
        <f>VLOOKUP($H58,AWS!$A:$H,4,0)</f>
        <v>Neptune</v>
      </c>
      <c r="D58" s="214">
        <f>VLOOKUP($H58,AWS!$A:$H,5,0)</f>
        <v>0</v>
      </c>
      <c r="E58" s="214">
        <f>VLOOKUP($H58,AWS!$A:$H,6,0)</f>
        <v>0</v>
      </c>
      <c r="F58" s="202" t="e">
        <f>VLOOKUP(표9[[#This Row],[Team]],표1[[내역]:[코스트 센터]],2,0)</f>
        <v>#N/A</v>
      </c>
      <c r="G58" s="202" t="e">
        <f>VLOOKUP(표9[[#This Row],[Project]],표2[],2,0)</f>
        <v>#N/A</v>
      </c>
      <c r="H58" s="209" t="s">
        <v>84</v>
      </c>
      <c r="I58" s="209">
        <f>VLOOKUP($H58,AWS!$A:$H,7,0)</f>
        <v>0</v>
      </c>
      <c r="J58" s="214">
        <f>VLOOKUP($H58,AWS!$A:$H,8,0)</f>
        <v>0</v>
      </c>
      <c r="K58" s="186"/>
      <c r="L58" s="210"/>
      <c r="M58" s="211"/>
      <c r="N58" s="212">
        <v>67784</v>
      </c>
      <c r="O58" s="212">
        <v>76989</v>
      </c>
      <c r="P58" s="212">
        <v>68021</v>
      </c>
      <c r="Q58" s="212">
        <v>68041</v>
      </c>
      <c r="R58" s="212">
        <v>66366</v>
      </c>
      <c r="S58" s="212">
        <v>66982</v>
      </c>
      <c r="T58" s="212">
        <v>64505</v>
      </c>
      <c r="U58" s="212">
        <v>58502</v>
      </c>
      <c r="V58" s="205">
        <v>63383</v>
      </c>
      <c r="W58" s="205">
        <f>ROUND(표9[[#This Row],[Apr 2026 (USD or KRW)]],0)</f>
        <v>0</v>
      </c>
      <c r="X58" s="212"/>
      <c r="Y58" s="206">
        <f>표9[[#This Row],[Apr 2027(KRW)]]-표9[[#This Row],[Mar 2026(KRW)]]</f>
        <v>-63383</v>
      </c>
      <c r="Z58" s="213">
        <f t="shared" si="0"/>
        <v>-1</v>
      </c>
      <c r="AA58" s="208" t="e">
        <f>VLOOKUP(표9[[#This Row],[Team]],표1[],3,0)</f>
        <v>#N/A</v>
      </c>
    </row>
    <row r="59" spans="1:27" s="8" customFormat="1" ht="15">
      <c r="A59" s="209" t="str">
        <f>VLOOKUP($H59,AWS!$A:$H,2,0)</f>
        <v>AWS</v>
      </c>
      <c r="B59" s="209" t="str">
        <f>VLOOKUP($H59,AWS!$A:$H,3,0)</f>
        <v>Neptune</v>
      </c>
      <c r="C59" s="209" t="str">
        <f>VLOOKUP($H59,AWS!$A:$H,4,0)</f>
        <v>Neptune</v>
      </c>
      <c r="D59" s="214">
        <f>VLOOKUP($H59,AWS!$A:$H,5,0)</f>
        <v>0</v>
      </c>
      <c r="E59" s="214">
        <f>VLOOKUP($H59,AWS!$A:$H,6,0)</f>
        <v>0</v>
      </c>
      <c r="F59" s="202" t="e">
        <f>VLOOKUP(표9[[#This Row],[Team]],표1[[내역]:[코스트 센터]],2,0)</f>
        <v>#N/A</v>
      </c>
      <c r="G59" s="202" t="e">
        <f>VLOOKUP(표9[[#This Row],[Project]],표2[],2,0)</f>
        <v>#N/A</v>
      </c>
      <c r="H59" s="209" t="s">
        <v>85</v>
      </c>
      <c r="I59" s="209">
        <f>VLOOKUP($H59,AWS!$A:$H,7,0)</f>
        <v>0</v>
      </c>
      <c r="J59" s="214">
        <f>VLOOKUP($H59,AWS!$A:$H,8,0)</f>
        <v>0</v>
      </c>
      <c r="K59" s="186"/>
      <c r="L59" s="210"/>
      <c r="M59" s="211"/>
      <c r="N59" s="212">
        <v>1461696</v>
      </c>
      <c r="O59" s="212">
        <v>1195494</v>
      </c>
      <c r="P59" s="212">
        <v>1165929</v>
      </c>
      <c r="Q59" s="212">
        <v>1075621</v>
      </c>
      <c r="R59" s="212">
        <v>673113</v>
      </c>
      <c r="S59" s="212">
        <v>672933</v>
      </c>
      <c r="T59" s="212">
        <v>651714</v>
      </c>
      <c r="U59" s="212">
        <v>609933</v>
      </c>
      <c r="V59" s="205">
        <v>672638</v>
      </c>
      <c r="W59" s="205">
        <f>ROUND(표9[[#This Row],[Apr 2026 (USD or KRW)]],0)</f>
        <v>0</v>
      </c>
      <c r="X59" s="212"/>
      <c r="Y59" s="206">
        <f>표9[[#This Row],[Apr 2027(KRW)]]-표9[[#This Row],[Mar 2026(KRW)]]</f>
        <v>-672638</v>
      </c>
      <c r="Z59" s="213">
        <f t="shared" si="0"/>
        <v>-1</v>
      </c>
      <c r="AA59" s="208" t="e">
        <f>VLOOKUP(표9[[#This Row],[Team]],표1[],3,0)</f>
        <v>#N/A</v>
      </c>
    </row>
    <row r="60" spans="1:27" s="8" customFormat="1" ht="15">
      <c r="A60" s="209" t="str">
        <f>VLOOKUP($H60,AWS!$A:$H,2,0)</f>
        <v>AWS</v>
      </c>
      <c r="B60" s="209" t="str">
        <f>VLOOKUP($H60,AWS!$A:$H,3,0)</f>
        <v>Neptune</v>
      </c>
      <c r="C60" s="209" t="str">
        <f>VLOOKUP($H60,AWS!$A:$H,4,0)</f>
        <v>Neptune</v>
      </c>
      <c r="D60" s="214">
        <f>VLOOKUP($H60,AWS!$A:$H,5,0)</f>
        <v>0</v>
      </c>
      <c r="E60" s="214">
        <f>VLOOKUP($H60,AWS!$A:$H,6,0)</f>
        <v>0</v>
      </c>
      <c r="F60" s="202" t="e">
        <f>VLOOKUP(표9[[#This Row],[Team]],표1[[내역]:[코스트 센터]],2,0)</f>
        <v>#N/A</v>
      </c>
      <c r="G60" s="202" t="e">
        <f>VLOOKUP(표9[[#This Row],[Project]],표2[],2,0)</f>
        <v>#N/A</v>
      </c>
      <c r="H60" s="209" t="s">
        <v>86</v>
      </c>
      <c r="I60" s="209">
        <f>VLOOKUP($H60,AWS!$A:$H,7,0)</f>
        <v>0</v>
      </c>
      <c r="J60" s="214">
        <f>VLOOKUP($H60,AWS!$A:$H,8,0)</f>
        <v>0</v>
      </c>
      <c r="K60" s="186"/>
      <c r="L60" s="210"/>
      <c r="M60" s="211"/>
      <c r="N60" s="212">
        <v>85058</v>
      </c>
      <c r="O60" s="212">
        <v>184594</v>
      </c>
      <c r="P60" s="212">
        <v>185569</v>
      </c>
      <c r="Q60" s="212">
        <v>204224</v>
      </c>
      <c r="R60" s="212">
        <v>215941</v>
      </c>
      <c r="S60" s="212">
        <v>196261</v>
      </c>
      <c r="T60" s="212">
        <v>190910</v>
      </c>
      <c r="U60" s="212">
        <v>179280</v>
      </c>
      <c r="V60" s="205">
        <v>191178</v>
      </c>
      <c r="W60" s="205">
        <f>ROUND(표9[[#This Row],[Apr 2026 (USD or KRW)]],0)</f>
        <v>0</v>
      </c>
      <c r="X60" s="212"/>
      <c r="Y60" s="206">
        <f>표9[[#This Row],[Apr 2027(KRW)]]-표9[[#This Row],[Mar 2026(KRW)]]</f>
        <v>-191178</v>
      </c>
      <c r="Z60" s="213">
        <f t="shared" si="0"/>
        <v>-1</v>
      </c>
      <c r="AA60" s="208" t="e">
        <f>VLOOKUP(표9[[#This Row],[Team]],표1[],3,0)</f>
        <v>#N/A</v>
      </c>
    </row>
    <row r="61" spans="1:27" s="8" customFormat="1" ht="15">
      <c r="A61" s="209" t="str">
        <f>VLOOKUP($H61,AWS!$A:$H,2,0)</f>
        <v>AWS</v>
      </c>
      <c r="B61" s="209" t="str">
        <f>VLOOKUP($H61,AWS!$A:$H,3,0)</f>
        <v>Neptune</v>
      </c>
      <c r="C61" s="209" t="str">
        <f>VLOOKUP($H61,AWS!$A:$H,4,0)</f>
        <v>Neptune</v>
      </c>
      <c r="D61" s="214">
        <f>VLOOKUP($H61,AWS!$A:$H,5,0)</f>
        <v>0</v>
      </c>
      <c r="E61" s="214">
        <f>VLOOKUP($H61,AWS!$A:$H,6,0)</f>
        <v>0</v>
      </c>
      <c r="F61" s="202" t="e">
        <f>VLOOKUP(표9[[#This Row],[Team]],표1[[내역]:[코스트 센터]],2,0)</f>
        <v>#N/A</v>
      </c>
      <c r="G61" s="202" t="e">
        <f>VLOOKUP(표9[[#This Row],[Project]],표2[],2,0)</f>
        <v>#N/A</v>
      </c>
      <c r="H61" s="209" t="s">
        <v>87</v>
      </c>
      <c r="I61" s="209">
        <f>VLOOKUP($H61,AWS!$A:$H,7,0)</f>
        <v>0</v>
      </c>
      <c r="J61" s="214">
        <f>VLOOKUP($H61,AWS!$A:$H,8,0)</f>
        <v>0</v>
      </c>
      <c r="K61" s="186"/>
      <c r="L61" s="210"/>
      <c r="M61" s="211"/>
      <c r="N61" s="212">
        <v>102146</v>
      </c>
      <c r="O61" s="212">
        <v>487316</v>
      </c>
      <c r="P61" s="212">
        <v>481770</v>
      </c>
      <c r="Q61" s="212">
        <v>451285</v>
      </c>
      <c r="R61" s="212">
        <v>2329481</v>
      </c>
      <c r="S61" s="212">
        <v>1254770</v>
      </c>
      <c r="T61" s="212">
        <v>669575</v>
      </c>
      <c r="U61" s="212">
        <v>4790372</v>
      </c>
      <c r="V61" s="205">
        <v>1277839</v>
      </c>
      <c r="W61" s="205">
        <f>ROUND(표9[[#This Row],[Apr 2026 (USD or KRW)]],0)</f>
        <v>0</v>
      </c>
      <c r="X61" s="212"/>
      <c r="Y61" s="206">
        <f>표9[[#This Row],[Apr 2027(KRW)]]-표9[[#This Row],[Mar 2026(KRW)]]</f>
        <v>-1277839</v>
      </c>
      <c r="Z61" s="213">
        <f t="shared" si="0"/>
        <v>-1</v>
      </c>
      <c r="AA61" s="208" t="e">
        <f>VLOOKUP(표9[[#This Row],[Team]],표1[],3,0)</f>
        <v>#N/A</v>
      </c>
    </row>
    <row r="62" spans="1:27" s="8" customFormat="1" ht="15">
      <c r="A62" s="209" t="str">
        <f>VLOOKUP($H62,AWS!$A:$H,2,0)</f>
        <v>AWS</v>
      </c>
      <c r="B62" s="209" t="str">
        <f>VLOOKUP($H62,AWS!$A:$H,3,0)</f>
        <v>Neptune</v>
      </c>
      <c r="C62" s="209" t="str">
        <f>VLOOKUP($H62,AWS!$A:$H,4,0)</f>
        <v>Neptune</v>
      </c>
      <c r="D62" s="214">
        <f>VLOOKUP($H62,AWS!$A:$H,5,0)</f>
        <v>0</v>
      </c>
      <c r="E62" s="214">
        <f>VLOOKUP($H62,AWS!$A:$H,6,0)</f>
        <v>0</v>
      </c>
      <c r="F62" s="202" t="e">
        <f>VLOOKUP(표9[[#This Row],[Team]],표1[[내역]:[코스트 센터]],2,0)</f>
        <v>#N/A</v>
      </c>
      <c r="G62" s="202" t="e">
        <f>VLOOKUP(표9[[#This Row],[Project]],표2[],2,0)</f>
        <v>#N/A</v>
      </c>
      <c r="H62" s="209" t="s">
        <v>88</v>
      </c>
      <c r="I62" s="209">
        <f>VLOOKUP($H62,AWS!$A:$H,7,0)</f>
        <v>0</v>
      </c>
      <c r="J62" s="214">
        <f>VLOOKUP($H62,AWS!$A:$H,8,0)</f>
        <v>0</v>
      </c>
      <c r="K62" s="186"/>
      <c r="L62" s="210"/>
      <c r="M62" s="211"/>
      <c r="N62" s="212"/>
      <c r="O62" s="212"/>
      <c r="P62" s="212">
        <v>43206</v>
      </c>
      <c r="Q62" s="212">
        <v>134536</v>
      </c>
      <c r="R62" s="212">
        <v>139827</v>
      </c>
      <c r="S62" s="212">
        <v>145072</v>
      </c>
      <c r="T62" s="212">
        <v>146677</v>
      </c>
      <c r="U62" s="212">
        <v>181822</v>
      </c>
      <c r="V62" s="205">
        <v>312363</v>
      </c>
      <c r="W62" s="205">
        <f>ROUND(표9[[#This Row],[Apr 2026 (USD or KRW)]],0)</f>
        <v>0</v>
      </c>
      <c r="X62" s="212"/>
      <c r="Y62" s="206">
        <f>표9[[#This Row],[Apr 2027(KRW)]]-표9[[#This Row],[Mar 2026(KRW)]]</f>
        <v>-312363</v>
      </c>
      <c r="Z62" s="213">
        <f t="shared" si="0"/>
        <v>-1</v>
      </c>
      <c r="AA62" s="208" t="e">
        <f>VLOOKUP(표9[[#This Row],[Team]],표1[],3,0)</f>
        <v>#N/A</v>
      </c>
    </row>
    <row r="63" spans="1:27" s="8" customFormat="1" ht="15">
      <c r="A63" s="209" t="str">
        <f>VLOOKUP($H63,AWS!$A:$H,2,0)</f>
        <v>AWS</v>
      </c>
      <c r="B63" s="209" t="str">
        <f>VLOOKUP($H63,AWS!$A:$H,3,0)</f>
        <v>Neptune</v>
      </c>
      <c r="C63" s="209" t="str">
        <f>VLOOKUP($H63,AWS!$A:$H,4,0)</f>
        <v>Neptune</v>
      </c>
      <c r="D63" s="214">
        <f>VLOOKUP($H63,AWS!$A:$H,5,0)</f>
        <v>0</v>
      </c>
      <c r="E63" s="214">
        <f>VLOOKUP($H63,AWS!$A:$H,6,0)</f>
        <v>0</v>
      </c>
      <c r="F63" s="202" t="e">
        <f>VLOOKUP(표9[[#This Row],[Team]],표1[[내역]:[코스트 센터]],2,0)</f>
        <v>#N/A</v>
      </c>
      <c r="G63" s="202" t="e">
        <f>VLOOKUP(표9[[#This Row],[Project]],표2[],2,0)</f>
        <v>#N/A</v>
      </c>
      <c r="H63" s="209" t="s">
        <v>89</v>
      </c>
      <c r="I63" s="209"/>
      <c r="J63" s="214">
        <f>VLOOKUP($H63,AWS!$A:$H,8,0)</f>
        <v>0</v>
      </c>
      <c r="K63" s="186"/>
      <c r="L63" s="210"/>
      <c r="M63" s="211"/>
      <c r="N63" s="212"/>
      <c r="O63" s="212"/>
      <c r="P63" s="212"/>
      <c r="Q63" s="212"/>
      <c r="R63" s="212"/>
      <c r="S63" s="212"/>
      <c r="T63" s="212">
        <v>22081</v>
      </c>
      <c r="U63" s="212">
        <v>72433</v>
      </c>
      <c r="V63" s="205">
        <v>129765</v>
      </c>
      <c r="W63" s="205">
        <f>ROUND(표9[[#This Row],[Apr 2026 (USD or KRW)]],0)</f>
        <v>0</v>
      </c>
      <c r="X63" s="212"/>
      <c r="Y63" s="206">
        <f>표9[[#This Row],[Apr 2027(KRW)]]-표9[[#This Row],[Mar 2026(KRW)]]</f>
        <v>-129765</v>
      </c>
      <c r="Z63" s="213">
        <f t="shared" si="0"/>
        <v>-1</v>
      </c>
      <c r="AA63" s="208" t="e">
        <f>VLOOKUP(표9[[#This Row],[Team]],표1[],3,0)</f>
        <v>#N/A</v>
      </c>
    </row>
    <row r="64" spans="1:27" s="8" customFormat="1" ht="15">
      <c r="A64" s="214" t="str">
        <f>VLOOKUP($H64,AWS!$A:$H,2,0)</f>
        <v>AWS</v>
      </c>
      <c r="B64" s="214" t="str">
        <f>VLOOKUP($H64,AWS!$A:$H,3,0)</f>
        <v>Neptune</v>
      </c>
      <c r="C64" s="209" t="str">
        <f>VLOOKUP($H64,AWS!$A:$H,4,0)</f>
        <v>Neptune</v>
      </c>
      <c r="D64" s="214">
        <f>VLOOKUP($H64,AWS!$A:$H,5,0)</f>
        <v>0</v>
      </c>
      <c r="E64" s="214">
        <f>VLOOKUP($H64,AWS!$A:$H,6,0)</f>
        <v>0</v>
      </c>
      <c r="F64" s="202" t="e">
        <f>VLOOKUP(표9[[#This Row],[Team]],표1[[내역]:[코스트 센터]],2,0)</f>
        <v>#N/A</v>
      </c>
      <c r="G64" s="202" t="e">
        <f>VLOOKUP(표9[[#This Row],[Project]],표2[],2,0)</f>
        <v>#N/A</v>
      </c>
      <c r="H64" s="214" t="s">
        <v>90</v>
      </c>
      <c r="I64" s="214">
        <f>VLOOKUP($H64,AWS!$A:$H,7,0)</f>
        <v>0</v>
      </c>
      <c r="J64" s="214">
        <f>VLOOKUP($H64,AWS!$A:$H,8,0)</f>
        <v>0</v>
      </c>
      <c r="K64" s="186"/>
      <c r="L64" s="210"/>
      <c r="M64" s="211"/>
      <c r="N64" s="212"/>
      <c r="O64" s="212"/>
      <c r="P64" s="212"/>
      <c r="Q64" s="212"/>
      <c r="R64" s="212"/>
      <c r="S64" s="212"/>
      <c r="T64" s="212"/>
      <c r="U64" s="212">
        <v>10870</v>
      </c>
      <c r="V64" s="205">
        <v>58593</v>
      </c>
      <c r="W64" s="205">
        <f>ROUND(표9[[#This Row],[Apr 2026 (USD or KRW)]],0)</f>
        <v>0</v>
      </c>
      <c r="X64" s="212"/>
      <c r="Y64" s="206">
        <f>표9[[#This Row],[Apr 2027(KRW)]]-표9[[#This Row],[Mar 2026(KRW)]]</f>
        <v>-58593</v>
      </c>
      <c r="Z64" s="213">
        <f t="shared" si="0"/>
        <v>-1</v>
      </c>
      <c r="AA64" s="208" t="e">
        <f>VLOOKUP(표9[[#This Row],[Team]],표1[],3,0)</f>
        <v>#N/A</v>
      </c>
    </row>
    <row r="65" spans="1:27" s="8" customFormat="1" ht="15">
      <c r="A65" s="209" t="str">
        <f>VLOOKUP($H65,AWS!$A:$H,2,0)</f>
        <v>AWS</v>
      </c>
      <c r="B65" s="209" t="str">
        <f>VLOOKUP($H65,AWS!$A:$H,3,0)</f>
        <v>OVERDARE</v>
      </c>
      <c r="C65" s="209" t="str">
        <f>VLOOKUP($H65,AWS!$A:$H,4,0)</f>
        <v>OVERDARE</v>
      </c>
      <c r="D65" s="214" t="str">
        <f>VLOOKUP($H65,AWS!$A:$H,5,0)</f>
        <v>SBX Platform Team</v>
      </c>
      <c r="E65" s="214" t="str">
        <f>VLOOKUP($H65,AWS!$A:$H,6,0)</f>
        <v>OVERHEAD/OTHERS</v>
      </c>
      <c r="F65" s="202" t="e">
        <f>VLOOKUP(표9[[#This Row],[Team]],표1[[내역]:[코스트 센터]],2,0)</f>
        <v>#N/A</v>
      </c>
      <c r="G65" s="202" t="str">
        <f>VLOOKUP(표9[[#This Row],[Project]],표2[],2,0)</f>
        <v>I100099999</v>
      </c>
      <c r="H65" s="209" t="s">
        <v>91</v>
      </c>
      <c r="I65" s="209" t="str">
        <f>VLOOKUP($H65,AWS!$A:$H,7,0)</f>
        <v>이제우</v>
      </c>
      <c r="J65" s="214" t="str">
        <f>VLOOKUP($H65,AWS!$A:$H,8,0)</f>
        <v>이제우</v>
      </c>
      <c r="K65" s="186"/>
      <c r="L65" s="210">
        <v>17173427</v>
      </c>
      <c r="M65" s="211">
        <v>14722787</v>
      </c>
      <c r="N65" s="212">
        <v>16560861</v>
      </c>
      <c r="O65" s="212">
        <v>153771001</v>
      </c>
      <c r="P65" s="212">
        <v>15029004</v>
      </c>
      <c r="Q65" s="212">
        <v>15643639</v>
      </c>
      <c r="R65" s="212">
        <v>15361494</v>
      </c>
      <c r="S65" s="212">
        <v>14754268</v>
      </c>
      <c r="T65" s="212">
        <v>13537216</v>
      </c>
      <c r="U65" s="212">
        <v>10831839</v>
      </c>
      <c r="V65" s="205">
        <v>12843327</v>
      </c>
      <c r="W65" s="205">
        <f>ROUND(표9[[#This Row],[Apr 2026 (USD or KRW)]],0)</f>
        <v>0</v>
      </c>
      <c r="X65" s="212"/>
      <c r="Y65" s="206">
        <f>표9[[#This Row],[Apr 2027(KRW)]]-표9[[#This Row],[Mar 2026(KRW)]]</f>
        <v>-12843327</v>
      </c>
      <c r="Z65" s="213">
        <f t="shared" si="0"/>
        <v>-1</v>
      </c>
      <c r="AA65" s="208" t="e">
        <f>VLOOKUP(표9[[#This Row],[Team]],표1[],3,0)</f>
        <v>#N/A</v>
      </c>
    </row>
    <row r="66" spans="1:27" s="8" customFormat="1" ht="15">
      <c r="A66" s="209" t="str">
        <f>VLOOKUP($H66,AWS!$A:$H,2,0)</f>
        <v>AWS</v>
      </c>
      <c r="B66" s="209" t="str">
        <f>VLOOKUP($H66,AWS!$A:$H,3,0)</f>
        <v>OVERDARE</v>
      </c>
      <c r="C66" s="209" t="str">
        <f>VLOOKUP($H66,AWS!$A:$H,4,0)</f>
        <v>OVERDARE</v>
      </c>
      <c r="D66" s="214" t="str">
        <f>VLOOKUP($H66,AWS!$A:$H,5,0)</f>
        <v>OVDR Platform Engineering Team</v>
      </c>
      <c r="E66" s="214" t="str">
        <f>VLOOKUP($H66,AWS!$A:$H,6,0)</f>
        <v>OVERHEAD/OTHERS</v>
      </c>
      <c r="F66" s="202">
        <f>VLOOKUP(표9[[#This Row],[Team]],표1[[내역]:[코스트 센터]],2,0)</f>
        <v>460005</v>
      </c>
      <c r="G66" s="202" t="str">
        <f>VLOOKUP(표9[[#This Row],[Project]],표2[],2,0)</f>
        <v>I100099999</v>
      </c>
      <c r="H66" s="209" t="s">
        <v>92</v>
      </c>
      <c r="I66" s="209" t="str">
        <f>VLOOKUP($H66,AWS!$A:$H,7,0)</f>
        <v>이제우</v>
      </c>
      <c r="J66" s="214" t="str">
        <f>VLOOKUP($H66,AWS!$A:$H,8,0)</f>
        <v>이제우</v>
      </c>
      <c r="K66" s="186"/>
      <c r="L66" s="210">
        <v>5150060</v>
      </c>
      <c r="M66" s="211">
        <v>4942369</v>
      </c>
      <c r="N66" s="212">
        <v>6144990</v>
      </c>
      <c r="O66" s="212">
        <v>6043126</v>
      </c>
      <c r="P66" s="212">
        <v>6479336</v>
      </c>
      <c r="Q66" s="212">
        <v>6665285</v>
      </c>
      <c r="R66" s="212">
        <v>6204265</v>
      </c>
      <c r="S66" s="212">
        <v>6157569</v>
      </c>
      <c r="T66" s="212">
        <v>6727043</v>
      </c>
      <c r="U66" s="212">
        <v>4641130</v>
      </c>
      <c r="V66" s="205">
        <v>7097831</v>
      </c>
      <c r="W66" s="205">
        <f>ROUND(표9[[#This Row],[Apr 2026 (USD or KRW)]],0)</f>
        <v>0</v>
      </c>
      <c r="X66" s="212"/>
      <c r="Y66" s="206">
        <f>표9[[#This Row],[Apr 2027(KRW)]]-표9[[#This Row],[Mar 2026(KRW)]]</f>
        <v>-7097831</v>
      </c>
      <c r="Z66" s="213">
        <f t="shared" si="0"/>
        <v>-1</v>
      </c>
      <c r="AA66" s="208">
        <f>VLOOKUP(표9[[#This Row],[Team]],표1[],3,0)</f>
        <v>4600</v>
      </c>
    </row>
    <row r="67" spans="1:27" s="8" customFormat="1" ht="15">
      <c r="A67" s="209" t="str">
        <f>VLOOKUP($H67,AWS!$A:$H,2,0)</f>
        <v>AWS</v>
      </c>
      <c r="B67" s="209" t="str">
        <f>VLOOKUP($H67,AWS!$A:$H,3,0)</f>
        <v>Neptune</v>
      </c>
      <c r="C67" s="209" t="str">
        <f>VLOOKUP($H67,AWS!$A:$H,4,0)</f>
        <v>Neptune</v>
      </c>
      <c r="D67" s="214">
        <f>VLOOKUP($H67,AWS!$A:$H,5,0)</f>
        <v>0</v>
      </c>
      <c r="E67" s="214">
        <f>VLOOKUP($H67,AWS!$A:$H,6,0)</f>
        <v>0</v>
      </c>
      <c r="F67" s="202" t="e">
        <f>VLOOKUP(표9[[#This Row],[Team]],표1[[내역]:[코스트 센터]],2,0)</f>
        <v>#N/A</v>
      </c>
      <c r="G67" s="202" t="e">
        <f>VLOOKUP(표9[[#This Row],[Project]],표2[],2,0)</f>
        <v>#N/A</v>
      </c>
      <c r="H67" s="209" t="s">
        <v>93</v>
      </c>
      <c r="I67" s="209">
        <f>VLOOKUP($H67,AWS!$A:$H,7,0)</f>
        <v>0</v>
      </c>
      <c r="J67" s="214">
        <f>VLOOKUP($H67,AWS!$A:$H,8,0)</f>
        <v>0</v>
      </c>
      <c r="K67" s="186"/>
      <c r="L67" s="210"/>
      <c r="M67" s="211"/>
      <c r="N67" s="212">
        <v>99247972</v>
      </c>
      <c r="O67" s="212">
        <v>100760033</v>
      </c>
      <c r="P67" s="212">
        <v>76062119</v>
      </c>
      <c r="Q67" s="212">
        <v>88483326</v>
      </c>
      <c r="R67" s="212">
        <v>94636395</v>
      </c>
      <c r="S67" s="212">
        <v>92578957</v>
      </c>
      <c r="T67" s="212">
        <v>93492141</v>
      </c>
      <c r="U67" s="212">
        <v>90426830</v>
      </c>
      <c r="V67" s="205">
        <v>102337466</v>
      </c>
      <c r="W67" s="205">
        <f>ROUND(표9[[#This Row],[Apr 2026 (USD or KRW)]],0)</f>
        <v>0</v>
      </c>
      <c r="X67" s="212"/>
      <c r="Y67" s="206">
        <f>표9[[#This Row],[Apr 2027(KRW)]]-표9[[#This Row],[Mar 2026(KRW)]]</f>
        <v>-102337466</v>
      </c>
      <c r="Z67" s="213">
        <f t="shared" si="0"/>
        <v>-1</v>
      </c>
      <c r="AA67" s="208" t="e">
        <f>VLOOKUP(표9[[#This Row],[Team]],표1[],3,0)</f>
        <v>#N/A</v>
      </c>
    </row>
    <row r="68" spans="1:27" s="8" customFormat="1" ht="15">
      <c r="A68" s="209" t="str">
        <f>VLOOKUP($H68,AWS!$A:$H,2,0)</f>
        <v>AWS</v>
      </c>
      <c r="B68" s="209" t="str">
        <f>VLOOKUP($H68,AWS!$A:$H,3,0)</f>
        <v>Neptune</v>
      </c>
      <c r="C68" s="209" t="str">
        <f>VLOOKUP($H68,AWS!$A:$H,4,0)</f>
        <v>Neptune</v>
      </c>
      <c r="D68" s="214">
        <f>VLOOKUP($H68,AWS!$A:$H,5,0)</f>
        <v>0</v>
      </c>
      <c r="E68" s="214">
        <f>VLOOKUP($H68,AWS!$A:$H,6,0)</f>
        <v>0</v>
      </c>
      <c r="F68" s="202" t="e">
        <f>VLOOKUP(표9[[#This Row],[Team]],표1[[내역]:[코스트 센터]],2,0)</f>
        <v>#N/A</v>
      </c>
      <c r="G68" s="202" t="e">
        <f>VLOOKUP(표9[[#This Row],[Project]],표2[],2,0)</f>
        <v>#N/A</v>
      </c>
      <c r="H68" s="209" t="s">
        <v>94</v>
      </c>
      <c r="I68" s="209">
        <f>VLOOKUP($H68,AWS!$A:$H,7,0)</f>
        <v>0</v>
      </c>
      <c r="J68" s="214">
        <f>VLOOKUP($H68,AWS!$A:$H,8,0)</f>
        <v>0</v>
      </c>
      <c r="K68" s="186"/>
      <c r="L68" s="210"/>
      <c r="M68" s="211"/>
      <c r="N68" s="212">
        <v>2385378</v>
      </c>
      <c r="O68" s="212">
        <v>1942929</v>
      </c>
      <c r="P68" s="212">
        <v>1751954</v>
      </c>
      <c r="Q68" s="212">
        <v>2469498</v>
      </c>
      <c r="R68" s="212">
        <v>1930848</v>
      </c>
      <c r="S68" s="212">
        <v>2286334</v>
      </c>
      <c r="T68" s="212">
        <v>2554566</v>
      </c>
      <c r="U68" s="212">
        <v>2070064</v>
      </c>
      <c r="V68" s="205">
        <v>2124815</v>
      </c>
      <c r="W68" s="205">
        <f>ROUND(표9[[#This Row],[Apr 2026 (USD or KRW)]],0)</f>
        <v>0</v>
      </c>
      <c r="X68" s="212"/>
      <c r="Y68" s="206">
        <f>표9[[#This Row],[Apr 2027(KRW)]]-표9[[#This Row],[Mar 2026(KRW)]]</f>
        <v>-2124815</v>
      </c>
      <c r="Z68" s="213">
        <f t="shared" ref="Z68:Z131" si="1">IF(V68=0,"",(W68-V68)/V68)</f>
        <v>-1</v>
      </c>
      <c r="AA68" s="208" t="e">
        <f>VLOOKUP(표9[[#This Row],[Team]],표1[],3,0)</f>
        <v>#N/A</v>
      </c>
    </row>
    <row r="69" spans="1:27" s="8" customFormat="1" ht="15">
      <c r="A69" s="214" t="str">
        <f>VLOOKUP($H69,AWS!$A:$H,2,0)</f>
        <v>AWS</v>
      </c>
      <c r="B69" s="214" t="str">
        <f>VLOOKUP($H69,AWS!$A:$H,3,0)</f>
        <v>KRAFTON HQ</v>
      </c>
      <c r="C69" s="209" t="str">
        <f>VLOOKUP($H69,AWS!$A:$H,4,0)</f>
        <v>PUBG STUDIO</v>
      </c>
      <c r="D69" s="214" t="str">
        <f>VLOOKUP($H69,AWS!$A:$H,5,0)</f>
        <v>Black Budget Div.</v>
      </c>
      <c r="E69" s="214" t="str">
        <f>VLOOKUP($H69,AWS!$A:$H,6,0)</f>
        <v>BLACK BUDGET</v>
      </c>
      <c r="F69" s="202">
        <f>VLOOKUP(표9[[#This Row],[Team]],표1[[내역]:[코스트 센터]],2,0)</f>
        <v>100829</v>
      </c>
      <c r="G69" s="202" t="str">
        <f>VLOOKUP(표9[[#This Row],[Project]],표2[],2,0)</f>
        <v>P100010048</v>
      </c>
      <c r="H69" s="214" t="s">
        <v>95</v>
      </c>
      <c r="I69" s="214" t="str">
        <f>VLOOKUP($H69,AWS!$A:$H,8,0)</f>
        <v>조원빈</v>
      </c>
      <c r="J69" s="214" t="str">
        <f>VLOOKUP($H69,AWS!$A:$H,8,0)</f>
        <v>조원빈</v>
      </c>
      <c r="K69" s="187" t="s">
        <v>29</v>
      </c>
      <c r="L69" s="215">
        <v>36341246</v>
      </c>
      <c r="M69" s="216">
        <v>37748146</v>
      </c>
      <c r="N69" s="217">
        <v>45437913</v>
      </c>
      <c r="O69" s="217">
        <v>41810910</v>
      </c>
      <c r="P69" s="217">
        <v>36774849</v>
      </c>
      <c r="Q69" s="217">
        <v>42905643</v>
      </c>
      <c r="R69" s="217">
        <v>46810584</v>
      </c>
      <c r="S69" s="217">
        <v>68389359</v>
      </c>
      <c r="T69" s="212">
        <v>51534106</v>
      </c>
      <c r="U69" s="212">
        <v>47075699</v>
      </c>
      <c r="V69" s="205">
        <v>61773111</v>
      </c>
      <c r="W69" s="205">
        <f>ROUND(표9[[#This Row],[Apr 2026 (USD or KRW)]],0)</f>
        <v>0</v>
      </c>
      <c r="X69" s="212"/>
      <c r="Y69" s="206">
        <f>표9[[#This Row],[Apr 2027(KRW)]]-표9[[#This Row],[Mar 2026(KRW)]]</f>
        <v>-61773111</v>
      </c>
      <c r="Z69" s="213">
        <f t="shared" si="1"/>
        <v>-1</v>
      </c>
      <c r="AA69" s="208">
        <f>VLOOKUP(표9[[#This Row],[Team]],표1[],3,0)</f>
        <v>1000</v>
      </c>
    </row>
    <row r="70" spans="1:27" s="8" customFormat="1" ht="15">
      <c r="A70" s="214" t="str">
        <f>VLOOKUP($H70,AWS!$A:$H,2,0)</f>
        <v>AWS</v>
      </c>
      <c r="B70" s="214" t="str">
        <f>VLOOKUP($H70,AWS!$A:$H,3,0)</f>
        <v>KRAFTON HQ</v>
      </c>
      <c r="C70" s="209" t="str">
        <f>VLOOKUP($H70,AWS!$A:$H,4,0)</f>
        <v>PUBG STUDIO</v>
      </c>
      <c r="D70" s="214" t="str">
        <f>VLOOKUP($H70,AWS!$A:$H,5,0)</f>
        <v>IT Dept.</v>
      </c>
      <c r="E70" s="214" t="str">
        <f>VLOOKUP($H70,AWS!$A:$H,6,0)</f>
        <v>BLACK BUDGET</v>
      </c>
      <c r="F70" s="202">
        <f>VLOOKUP(표9[[#This Row],[Team]],표1[[내역]:[코스트 센터]],2,0)</f>
        <v>100036</v>
      </c>
      <c r="G70" s="202" t="str">
        <f>VLOOKUP(표9[[#This Row],[Project]],표2[],2,0)</f>
        <v>P100010048</v>
      </c>
      <c r="H70" s="8" t="s">
        <v>96</v>
      </c>
      <c r="I70" s="214" t="str">
        <f>VLOOKUP($H70,AWS!$A:$H,8,0)</f>
        <v>이윤슬</v>
      </c>
      <c r="J70" s="214" t="str">
        <f>VLOOKUP($H70,AWS!$A:$H,8,0)</f>
        <v>이윤슬</v>
      </c>
      <c r="K70" s="187"/>
      <c r="L70" s="215">
        <v>4867850</v>
      </c>
      <c r="M70" s="216">
        <v>10264584</v>
      </c>
      <c r="N70" s="217">
        <v>10601108</v>
      </c>
      <c r="O70" s="217">
        <v>20686391</v>
      </c>
      <c r="P70" s="217">
        <v>20956881</v>
      </c>
      <c r="Q70" s="217">
        <v>21975460</v>
      </c>
      <c r="R70" s="217">
        <v>22546217</v>
      </c>
      <c r="S70" s="217">
        <v>22059201</v>
      </c>
      <c r="T70" s="212">
        <v>21880021</v>
      </c>
      <c r="U70" s="212">
        <v>21741135</v>
      </c>
      <c r="V70" s="205">
        <v>23879504</v>
      </c>
      <c r="W70" s="205">
        <f>ROUND(표9[[#This Row],[Apr 2026 (USD or KRW)]],0)</f>
        <v>0</v>
      </c>
      <c r="X70" s="212"/>
      <c r="Y70" s="206">
        <f>표9[[#This Row],[Apr 2027(KRW)]]-표9[[#This Row],[Mar 2026(KRW)]]</f>
        <v>-23879504</v>
      </c>
      <c r="Z70" s="213">
        <f t="shared" si="1"/>
        <v>-1</v>
      </c>
      <c r="AA70" s="208">
        <f>VLOOKUP(표9[[#This Row],[Team]],표1[],3,0)</f>
        <v>1000</v>
      </c>
    </row>
    <row r="71" spans="1:27" s="8" customFormat="1" ht="15">
      <c r="A71" s="214" t="str">
        <f>VLOOKUP($H71,AWS!$A:$H,2,0)</f>
        <v>AWS</v>
      </c>
      <c r="B71" s="214" t="str">
        <f>VLOOKUP($H71,AWS!$A:$H,3,0)</f>
        <v>KRAFTON HQ</v>
      </c>
      <c r="C71" s="209" t="str">
        <f>VLOOKUP($H71,AWS!$A:$H,4,0)</f>
        <v>SDS</v>
      </c>
      <c r="D71" s="214" t="str">
        <f>VLOOKUP($H71,AWS!$A:$H,5,0)</f>
        <v>Striking Distance Studios</v>
      </c>
      <c r="E71" s="214" t="str">
        <f>VLOOKUP($H71,AWS!$A:$H,6,0)</f>
        <v>The Callisto Protocol</v>
      </c>
      <c r="F71" s="202">
        <f>VLOOKUP(표9[[#This Row],[Team]],표1[[내역]:[코스트 센터]],2,0)</f>
        <v>100561</v>
      </c>
      <c r="G71" s="202" t="str">
        <f>VLOOKUP(표9[[#This Row],[Project]],표2[],2,0)</f>
        <v>P100010013</v>
      </c>
      <c r="H71" s="214" t="s">
        <v>97</v>
      </c>
      <c r="I71" s="214" t="str">
        <f>VLOOKUP($H71,AWS!$A:$H,8,0)</f>
        <v>Jordan Yerkes</v>
      </c>
      <c r="J71" s="214" t="str">
        <f>VLOOKUP($H71,AWS!$A:$H,8,0)</f>
        <v>Jordan Yerkes</v>
      </c>
      <c r="K71" s="187"/>
      <c r="L71" s="215">
        <v>1749001</v>
      </c>
      <c r="M71" s="216">
        <v>1676890</v>
      </c>
      <c r="N71" s="217">
        <v>1741987</v>
      </c>
      <c r="O71" s="217">
        <v>1688595</v>
      </c>
      <c r="P71" s="217">
        <v>1640992</v>
      </c>
      <c r="Q71" s="217">
        <v>1704249</v>
      </c>
      <c r="R71" s="217">
        <v>1724642</v>
      </c>
      <c r="S71" s="217">
        <v>1276463</v>
      </c>
      <c r="T71" s="212">
        <v>0</v>
      </c>
      <c r="U71" s="212">
        <v>0</v>
      </c>
      <c r="V71" s="205">
        <v>0</v>
      </c>
      <c r="W71" s="205">
        <f>ROUND(표9[[#This Row],[Apr 2026 (USD or KRW)]],0)</f>
        <v>0</v>
      </c>
      <c r="X71" s="212"/>
      <c r="Y71" s="206">
        <f>표9[[#This Row],[Apr 2027(KRW)]]-표9[[#This Row],[Mar 2026(KRW)]]</f>
        <v>0</v>
      </c>
      <c r="Z71" s="213" t="str">
        <f t="shared" si="1"/>
        <v/>
      </c>
      <c r="AA71" s="208">
        <f>VLOOKUP(표9[[#This Row],[Team]],표1[],3,0)</f>
        <v>1000</v>
      </c>
    </row>
    <row r="72" spans="1:27" s="8" customFormat="1" ht="15">
      <c r="A72" s="214" t="str">
        <f>VLOOKUP($H72,AWS!$A:$H,2,0)</f>
        <v>AWS</v>
      </c>
      <c r="B72" s="214" t="str">
        <f>VLOOKUP($H72,AWS!$A:$H,3,0)</f>
        <v>KRAFTON HQ</v>
      </c>
      <c r="C72" s="209" t="str">
        <f>VLOOKUP($H72,AWS!$A:$H,4,0)</f>
        <v>SDS</v>
      </c>
      <c r="D72" s="214" t="str">
        <f>VLOOKUP($H72,AWS!$A:$H,5,0)</f>
        <v>Striking Distance Studios</v>
      </c>
      <c r="E72" s="214" t="str">
        <f>VLOOKUP($H72,AWS!$A:$H,6,0)</f>
        <v>The Callisto Protocol</v>
      </c>
      <c r="F72" s="202">
        <f>VLOOKUP(표9[[#This Row],[Team]],표1[[내역]:[코스트 센터]],2,0)</f>
        <v>100561</v>
      </c>
      <c r="G72" s="202" t="str">
        <f>VLOOKUP(표9[[#This Row],[Project]],표2[],2,0)</f>
        <v>P100010013</v>
      </c>
      <c r="H72" s="214" t="s">
        <v>98</v>
      </c>
      <c r="I72" s="214" t="str">
        <f>VLOOKUP($H72,AWS!$A:$H,8,0)</f>
        <v>Jordan Yerkes</v>
      </c>
      <c r="J72" s="214" t="str">
        <f>VLOOKUP($H72,AWS!$A:$H,8,0)</f>
        <v>Jordan Yerkes</v>
      </c>
      <c r="K72" s="187"/>
      <c r="L72" s="215">
        <v>421074</v>
      </c>
      <c r="M72" s="216">
        <v>403501</v>
      </c>
      <c r="N72" s="217">
        <v>422217</v>
      </c>
      <c r="O72" s="217">
        <v>433785</v>
      </c>
      <c r="P72" s="217">
        <v>418167</v>
      </c>
      <c r="Q72" s="217">
        <v>438034</v>
      </c>
      <c r="R72" s="217">
        <v>441884</v>
      </c>
      <c r="S72" s="217">
        <v>241385</v>
      </c>
      <c r="T72" s="212">
        <v>0</v>
      </c>
      <c r="U72" s="212">
        <v>0</v>
      </c>
      <c r="V72" s="205">
        <v>0</v>
      </c>
      <c r="W72" s="205">
        <f>ROUND(표9[[#This Row],[Apr 2026 (USD or KRW)]],0)</f>
        <v>0</v>
      </c>
      <c r="X72" s="212"/>
      <c r="Y72" s="206">
        <f>표9[[#This Row],[Apr 2027(KRW)]]-표9[[#This Row],[Mar 2026(KRW)]]</f>
        <v>0</v>
      </c>
      <c r="Z72" s="213" t="str">
        <f t="shared" si="1"/>
        <v/>
      </c>
      <c r="AA72" s="208">
        <f>VLOOKUP(표9[[#This Row],[Team]],표1[],3,0)</f>
        <v>1000</v>
      </c>
    </row>
    <row r="73" spans="1:27" s="8" customFormat="1" ht="15">
      <c r="A73" s="214" t="str">
        <f>VLOOKUP($H73,AWS!$A:$H,2,0)</f>
        <v>AWS</v>
      </c>
      <c r="B73" s="214" t="str">
        <f>VLOOKUP($H73,AWS!$A:$H,3,0)</f>
        <v>KRAFTON HQ</v>
      </c>
      <c r="C73" s="209" t="str">
        <f>VLOOKUP($H73,AWS!$A:$H,4,0)</f>
        <v>SDS</v>
      </c>
      <c r="D73" s="214" t="str">
        <f>VLOOKUP($H73,AWS!$A:$H,5,0)</f>
        <v>Striking Distance Studios</v>
      </c>
      <c r="E73" s="214" t="str">
        <f>VLOOKUP($H73,AWS!$A:$H,6,0)</f>
        <v>The Callisto Protocol</v>
      </c>
      <c r="F73" s="202">
        <f>VLOOKUP(표9[[#This Row],[Team]],표1[[내역]:[코스트 센터]],2,0)</f>
        <v>100561</v>
      </c>
      <c r="G73" s="202" t="str">
        <f>VLOOKUP(표9[[#This Row],[Project]],표2[],2,0)</f>
        <v>P100010013</v>
      </c>
      <c r="H73" s="214" t="s">
        <v>99</v>
      </c>
      <c r="I73" s="214" t="str">
        <f>VLOOKUP($H73,AWS!$A:$H,8,0)</f>
        <v>Jordan Yerkes</v>
      </c>
      <c r="J73" s="214" t="str">
        <f>VLOOKUP($H73,AWS!$A:$H,8,0)</f>
        <v>Jordan Yerkes</v>
      </c>
      <c r="K73" s="187"/>
      <c r="L73" s="215">
        <v>464019</v>
      </c>
      <c r="M73" s="216">
        <v>442939</v>
      </c>
      <c r="N73" s="217">
        <v>462346</v>
      </c>
      <c r="O73" s="217">
        <v>477250</v>
      </c>
      <c r="P73" s="217">
        <v>459921</v>
      </c>
      <c r="Q73" s="217">
        <v>480817</v>
      </c>
      <c r="R73" s="217">
        <v>485882</v>
      </c>
      <c r="S73" s="217">
        <v>344447</v>
      </c>
      <c r="T73" s="212">
        <v>0</v>
      </c>
      <c r="U73" s="212">
        <v>0</v>
      </c>
      <c r="V73" s="205">
        <v>0</v>
      </c>
      <c r="W73" s="205">
        <f>ROUND(표9[[#This Row],[Apr 2026 (USD or KRW)]],0)</f>
        <v>0</v>
      </c>
      <c r="X73" s="212"/>
      <c r="Y73" s="206">
        <f>표9[[#This Row],[Apr 2027(KRW)]]-표9[[#This Row],[Mar 2026(KRW)]]</f>
        <v>0</v>
      </c>
      <c r="Z73" s="213" t="str">
        <f t="shared" si="1"/>
        <v/>
      </c>
      <c r="AA73" s="208">
        <f>VLOOKUP(표9[[#This Row],[Team]],표1[],3,0)</f>
        <v>1000</v>
      </c>
    </row>
    <row r="74" spans="1:27" s="8" customFormat="1" ht="15">
      <c r="A74" s="214" t="str">
        <f>VLOOKUP($H74,AWS!$A:$H,2,0)</f>
        <v>AWS</v>
      </c>
      <c r="B74" s="214" t="str">
        <f>VLOOKUP($H74,AWS!$A:$H,3,0)</f>
        <v>KRAFTON HQ</v>
      </c>
      <c r="C74" s="209" t="str">
        <f>VLOOKUP($H74,AWS!$A:$H,4,0)</f>
        <v>SDS</v>
      </c>
      <c r="D74" s="214" t="str">
        <f>VLOOKUP($H74,AWS!$A:$H,5,0)</f>
        <v>Striking Distance Studios</v>
      </c>
      <c r="E74" s="214" t="str">
        <f>VLOOKUP($H74,AWS!$A:$H,6,0)</f>
        <v>The Callisto Protocol</v>
      </c>
      <c r="F74" s="202">
        <f>VLOOKUP(표9[[#This Row],[Team]],표1[[내역]:[코스트 센터]],2,0)</f>
        <v>100561</v>
      </c>
      <c r="G74" s="202" t="str">
        <f>VLOOKUP(표9[[#This Row],[Project]],표2[],2,0)</f>
        <v>P100010013</v>
      </c>
      <c r="H74" s="214" t="s">
        <v>100</v>
      </c>
      <c r="I74" s="214" t="str">
        <f>VLOOKUP($H74,AWS!$A:$H,8,0)</f>
        <v>Jordan Yerkes</v>
      </c>
      <c r="J74" s="214" t="str">
        <f>VLOOKUP($H74,AWS!$A:$H,8,0)</f>
        <v>Jordan Yerkes</v>
      </c>
      <c r="K74" s="187"/>
      <c r="L74" s="215">
        <v>17111</v>
      </c>
      <c r="M74" s="216">
        <v>5497</v>
      </c>
      <c r="N74" s="217">
        <v>5587</v>
      </c>
      <c r="O74" s="217">
        <v>11651</v>
      </c>
      <c r="P74" s="217">
        <v>8717</v>
      </c>
      <c r="Q74" s="217">
        <v>9143</v>
      </c>
      <c r="R74" s="217">
        <v>9956</v>
      </c>
      <c r="S74" s="217">
        <v>6891</v>
      </c>
      <c r="T74" s="212">
        <v>0</v>
      </c>
      <c r="U74" s="212">
        <v>0</v>
      </c>
      <c r="V74" s="205">
        <v>0</v>
      </c>
      <c r="W74" s="205">
        <f>ROUND(표9[[#This Row],[Apr 2026 (USD or KRW)]],0)</f>
        <v>0</v>
      </c>
      <c r="X74" s="212"/>
      <c r="Y74" s="206">
        <f>표9[[#This Row],[Apr 2027(KRW)]]-표9[[#This Row],[Mar 2026(KRW)]]</f>
        <v>0</v>
      </c>
      <c r="Z74" s="213" t="str">
        <f t="shared" si="1"/>
        <v/>
      </c>
      <c r="AA74" s="208">
        <f>VLOOKUP(표9[[#This Row],[Team]],표1[],3,0)</f>
        <v>1000</v>
      </c>
    </row>
    <row r="75" spans="1:27" s="8" customFormat="1" ht="17">
      <c r="A75" s="214" t="str">
        <f>VLOOKUP($H75,AWS!$A:$H,2,0)</f>
        <v>AWS</v>
      </c>
      <c r="B75" s="214" t="str">
        <f>VLOOKUP($H75,AWS!$A:$H,3,0)</f>
        <v>KRAFTON HQ</v>
      </c>
      <c r="C75" s="209" t="str">
        <f>VLOOKUP($H75,AWS!$A:$H,4,0)</f>
        <v>KRAFTON HQ</v>
      </c>
      <c r="D75" s="214" t="str">
        <f>VLOOKUP($H75,AWS!$A:$H,5,0)</f>
        <v>Game Security Engineering Dept.</v>
      </c>
      <c r="E75" s="214" t="str">
        <f>VLOOKUP($H75,AWS!$A:$H,6,0)</f>
        <v>BATTLEGROUNDS_PC/CONSOLE</v>
      </c>
      <c r="F75" s="202">
        <f>VLOOKUP(표9[[#This Row],[Team]],표1[[내역]:[코스트 센터]],2,0)</f>
        <v>100415</v>
      </c>
      <c r="G75" s="202" t="str">
        <f>VLOOKUP(표9[[#This Row],[Project]],표2[],2,0)</f>
        <v>P100010012</v>
      </c>
      <c r="H75" s="250" t="s">
        <v>101</v>
      </c>
      <c r="I75" s="214" t="str">
        <f>VLOOKUP($H75,AWS!$A:$H,8,0)</f>
        <v>황범석</v>
      </c>
      <c r="J75" s="214" t="str">
        <f>VLOOKUP($H75,AWS!$A:$H,8,0)</f>
        <v>황범석</v>
      </c>
      <c r="K75" s="187" t="s">
        <v>29</v>
      </c>
      <c r="L75" s="215">
        <v>58517804</v>
      </c>
      <c r="M75" s="216">
        <v>58986691</v>
      </c>
      <c r="N75" s="217">
        <v>66751810</v>
      </c>
      <c r="O75" s="217">
        <v>69921937</v>
      </c>
      <c r="P75" s="217">
        <v>64748446</v>
      </c>
      <c r="Q75" s="217">
        <v>68843344</v>
      </c>
      <c r="R75" s="217">
        <v>68664593</v>
      </c>
      <c r="S75" s="217">
        <v>71296717</v>
      </c>
      <c r="T75" s="212">
        <v>73708695</v>
      </c>
      <c r="U75" s="212">
        <v>63509523</v>
      </c>
      <c r="V75" s="205">
        <v>82532834</v>
      </c>
      <c r="W75" s="205">
        <f>ROUND(표9[[#This Row],[Apr 2026 (USD or KRW)]],0)</f>
        <v>0</v>
      </c>
      <c r="X75" s="212"/>
      <c r="Y75" s="206">
        <f>표9[[#This Row],[Apr 2027(KRW)]]-표9[[#This Row],[Mar 2026(KRW)]]</f>
        <v>-82532834</v>
      </c>
      <c r="Z75" s="213">
        <f t="shared" si="1"/>
        <v>-1</v>
      </c>
      <c r="AA75" s="208">
        <f>VLOOKUP(표9[[#This Row],[Team]],표1[],3,0)</f>
        <v>1000</v>
      </c>
    </row>
    <row r="76" spans="1:27" s="8" customFormat="1" ht="15">
      <c r="A76" s="214" t="str">
        <f>VLOOKUP($H76,AWS!$A:$H,2,0)</f>
        <v>AWS</v>
      </c>
      <c r="B76" s="214" t="str">
        <f>VLOOKUP($H76,AWS!$A:$H,3,0)</f>
        <v>KRAFTON HQ</v>
      </c>
      <c r="C76" s="209" t="str">
        <f>VLOOKUP($H76,AWS!$A:$H,4,0)</f>
        <v>KRAFTON HQ</v>
      </c>
      <c r="D76" s="214" t="str">
        <f>VLOOKUP($H76,AWS!$A:$H,5,0)</f>
        <v>Platform Dept.</v>
      </c>
      <c r="E76" s="214" t="str">
        <f>VLOOKUP($H76,AWS!$A:$H,6,0)</f>
        <v>BATTLEGROUNDS_PC/CONSOLE</v>
      </c>
      <c r="F76" s="202">
        <f>VLOOKUP(표9[[#This Row],[Team]],표1[[내역]:[코스트 센터]],2,0)</f>
        <v>100355</v>
      </c>
      <c r="G76" s="202" t="str">
        <f>VLOOKUP(표9[[#This Row],[Project]],표2[],2,0)</f>
        <v>P100010012</v>
      </c>
      <c r="H76" s="214" t="s">
        <v>102</v>
      </c>
      <c r="I76" s="214" t="str">
        <f>VLOOKUP($H76,AWS!$A:$H,8,0)</f>
        <v>최준석</v>
      </c>
      <c r="J76" s="214" t="str">
        <f>VLOOKUP($H76,AWS!$A:$H,8,0)</f>
        <v>최준석</v>
      </c>
      <c r="K76" s="186"/>
      <c r="L76" s="215">
        <v>4752091</v>
      </c>
      <c r="M76" s="216">
        <v>4466014</v>
      </c>
      <c r="N76" s="217">
        <v>4570841</v>
      </c>
      <c r="O76" s="217">
        <v>4437309</v>
      </c>
      <c r="P76" s="217">
        <v>4379762</v>
      </c>
      <c r="Q76" s="217">
        <v>4801060</v>
      </c>
      <c r="R76" s="217">
        <v>5447512</v>
      </c>
      <c r="S76" s="217">
        <v>5817327</v>
      </c>
      <c r="T76" s="212">
        <v>5718803</v>
      </c>
      <c r="U76" s="212">
        <v>5370644</v>
      </c>
      <c r="V76" s="205">
        <v>6520159</v>
      </c>
      <c r="W76" s="205">
        <f>ROUND(표9[[#This Row],[Apr 2026 (USD or KRW)]],0)</f>
        <v>0</v>
      </c>
      <c r="X76" s="212"/>
      <c r="Y76" s="206">
        <f>표9[[#This Row],[Apr 2027(KRW)]]-표9[[#This Row],[Mar 2026(KRW)]]</f>
        <v>-6520159</v>
      </c>
      <c r="Z76" s="213">
        <f t="shared" si="1"/>
        <v>-1</v>
      </c>
      <c r="AA76" s="208">
        <f>VLOOKUP(표9[[#This Row],[Team]],표1[],3,0)</f>
        <v>1000</v>
      </c>
    </row>
    <row r="77" spans="1:27" s="8" customFormat="1" ht="17">
      <c r="A77" s="214" t="str">
        <f>VLOOKUP($H77,AWS!$A:$H,2,0)</f>
        <v>AWS</v>
      </c>
      <c r="B77" s="214" t="str">
        <f>VLOOKUP($H77,AWS!$A:$H,3,0)</f>
        <v>KRAFTON HQ</v>
      </c>
      <c r="C77" s="209" t="str">
        <f>VLOOKUP($H77,AWS!$A:$H,4,0)</f>
        <v>KRAFTON HQ</v>
      </c>
      <c r="D77" s="214" t="str">
        <f>VLOOKUP($H77,AWS!$A:$H,5,0)</f>
        <v>Game Security Engineering Dept.</v>
      </c>
      <c r="E77" s="214" t="str">
        <f>VLOOKUP($H77,AWS!$A:$H,6,0)</f>
        <v>OVERHEAD/OTHERS</v>
      </c>
      <c r="F77" s="202">
        <f>VLOOKUP(표9[[#This Row],[Team]],표1[[내역]:[코스트 센터]],2,0)</f>
        <v>100415</v>
      </c>
      <c r="G77" s="202" t="str">
        <f>VLOOKUP(표9[[#This Row],[Project]],표2[],2,0)</f>
        <v>I100099999</v>
      </c>
      <c r="H77" s="250" t="s">
        <v>103</v>
      </c>
      <c r="I77" s="214" t="str">
        <f>VLOOKUP($H77,AWS!$A:$H,8,0)</f>
        <v>황범석</v>
      </c>
      <c r="J77" s="214" t="str">
        <f>VLOOKUP($H77,AWS!$A:$H,8,0)</f>
        <v>황범석</v>
      </c>
      <c r="K77" s="187" t="s">
        <v>29</v>
      </c>
      <c r="L77" s="215">
        <v>1377783</v>
      </c>
      <c r="M77" s="216">
        <v>1342159</v>
      </c>
      <c r="N77" s="217">
        <v>1540954</v>
      </c>
      <c r="O77" s="217">
        <v>1580684</v>
      </c>
      <c r="P77" s="217">
        <v>1592223</v>
      </c>
      <c r="Q77" s="217">
        <v>1654932</v>
      </c>
      <c r="R77" s="217">
        <v>3777389</v>
      </c>
      <c r="S77" s="217">
        <v>5182210</v>
      </c>
      <c r="T77" s="212">
        <v>4797217</v>
      </c>
      <c r="U77" s="212">
        <v>4049411</v>
      </c>
      <c r="V77" s="205">
        <v>2419881</v>
      </c>
      <c r="W77" s="205">
        <f>ROUND(표9[[#This Row],[Apr 2026 (USD or KRW)]],0)</f>
        <v>0</v>
      </c>
      <c r="X77" s="212"/>
      <c r="Y77" s="206">
        <f>표9[[#This Row],[Apr 2027(KRW)]]-표9[[#This Row],[Mar 2026(KRW)]]</f>
        <v>-2419881</v>
      </c>
      <c r="Z77" s="213">
        <f t="shared" si="1"/>
        <v>-1</v>
      </c>
      <c r="AA77" s="208">
        <f>VLOOKUP(표9[[#This Row],[Team]],표1[],3,0)</f>
        <v>1000</v>
      </c>
    </row>
    <row r="78" spans="1:27" s="8" customFormat="1" ht="15">
      <c r="A78" s="214" t="str">
        <f>VLOOKUP($H78,AWS!$A:$H,2,0)</f>
        <v>AWS</v>
      </c>
      <c r="B78" s="214" t="str">
        <f>VLOOKUP($H78,AWS!$A:$H,3,0)</f>
        <v>KRAFTON HQ</v>
      </c>
      <c r="C78" s="209" t="str">
        <f>VLOOKUP($H78,AWS!$A:$H,4,0)</f>
        <v>PUBG STUDIO</v>
      </c>
      <c r="D78" s="214" t="str">
        <f>VLOOKUP($H78,AWS!$A:$H,5,0)</f>
        <v>MS DevOps Team</v>
      </c>
      <c r="E78" s="214" t="str">
        <f>VLOOKUP($H78,AWS!$A:$H,6,0)</f>
        <v>OVERHEAD/OTHERS</v>
      </c>
      <c r="F78" s="202">
        <f>VLOOKUP(표9[[#This Row],[Team]],표1[[내역]:[코스트 센터]],2,0)</f>
        <v>100774</v>
      </c>
      <c r="G78" s="202" t="str">
        <f>VLOOKUP(표9[[#This Row],[Project]],표2[],2,0)</f>
        <v>I100099999</v>
      </c>
      <c r="H78" s="214" t="s">
        <v>104</v>
      </c>
      <c r="I78" s="214" t="str">
        <f>VLOOKUP($H78,AWS!$A:$H,8,0)</f>
        <v>최보성</v>
      </c>
      <c r="J78" s="214" t="str">
        <f>VLOOKUP($H78,AWS!$A:$H,8,0)</f>
        <v>최보성</v>
      </c>
      <c r="K78" s="187" t="s">
        <v>29</v>
      </c>
      <c r="L78" s="215">
        <v>18680493</v>
      </c>
      <c r="M78" s="216">
        <v>16088647</v>
      </c>
      <c r="N78" s="217">
        <v>15572834</v>
      </c>
      <c r="O78" s="217">
        <v>38703979</v>
      </c>
      <c r="P78" s="217">
        <v>13157917</v>
      </c>
      <c r="Q78" s="217">
        <v>11536552</v>
      </c>
      <c r="R78" s="217">
        <v>11479617</v>
      </c>
      <c r="S78" s="217">
        <v>14547767</v>
      </c>
      <c r="T78" s="212">
        <v>13646510</v>
      </c>
      <c r="U78" s="212">
        <v>6455869</v>
      </c>
      <c r="V78" s="205">
        <v>7077408</v>
      </c>
      <c r="W78" s="205">
        <f>ROUND(표9[[#This Row],[Apr 2026 (USD or KRW)]],0)</f>
        <v>0</v>
      </c>
      <c r="X78" s="212"/>
      <c r="Y78" s="206">
        <f>표9[[#This Row],[Apr 2027(KRW)]]-표9[[#This Row],[Mar 2026(KRW)]]</f>
        <v>-7077408</v>
      </c>
      <c r="Z78" s="213">
        <f t="shared" si="1"/>
        <v>-1</v>
      </c>
      <c r="AA78" s="208">
        <f>VLOOKUP(표9[[#This Row],[Team]],표1[],3,0)</f>
        <v>1000</v>
      </c>
    </row>
    <row r="79" spans="1:27" s="8" customFormat="1" ht="15">
      <c r="A79" s="214" t="str">
        <f>VLOOKUP($H79,AWS!$A:$H,2,0)</f>
        <v>AWS</v>
      </c>
      <c r="B79" s="214" t="str">
        <f>VLOOKUP($H79,AWS!$A:$H,3,0)</f>
        <v>KRAFTON HQ</v>
      </c>
      <c r="C79" s="209" t="str">
        <f>VLOOKUP($H79,AWS!$A:$H,4,0)</f>
        <v>PUBG STUDIO</v>
      </c>
      <c r="D79" s="214" t="str">
        <f>VLOOKUP($H79,AWS!$A:$H,5,0)</f>
        <v>PUBG PC&amp;Console Dev Div.</v>
      </c>
      <c r="E79" s="214" t="str">
        <f>VLOOKUP($H79,AWS!$A:$H,6,0)</f>
        <v>BATTLEGROUNDS_PC/CONSOLE</v>
      </c>
      <c r="F79" s="202">
        <f>VLOOKUP(표9[[#This Row],[Team]],표1[[내역]:[코스트 센터]],2,0)</f>
        <v>100414</v>
      </c>
      <c r="G79" s="202" t="str">
        <f>VLOOKUP(표9[[#This Row],[Project]],표2[],2,0)</f>
        <v>P100010012</v>
      </c>
      <c r="H79" s="209" t="s">
        <v>105</v>
      </c>
      <c r="I79" s="214" t="str">
        <f>VLOOKUP($H79,AWS!$A:$H,8,0)</f>
        <v>최준석</v>
      </c>
      <c r="J79" s="214" t="str">
        <f>VLOOKUP($H79,AWS!$A:$H,8,0)</f>
        <v>최준석</v>
      </c>
      <c r="K79" s="186"/>
      <c r="L79" s="215">
        <v>312515855</v>
      </c>
      <c r="M79" s="216">
        <v>329158611</v>
      </c>
      <c r="N79" s="217">
        <v>404531909</v>
      </c>
      <c r="O79" s="217">
        <v>403926585</v>
      </c>
      <c r="P79" s="217">
        <v>467304989</v>
      </c>
      <c r="Q79" s="217">
        <v>526362766</v>
      </c>
      <c r="R79" s="217">
        <v>601252156</v>
      </c>
      <c r="S79" s="217">
        <v>688362735</v>
      </c>
      <c r="T79" s="212">
        <v>557711188</v>
      </c>
      <c r="U79" s="212">
        <v>492471628</v>
      </c>
      <c r="V79" s="205">
        <v>595148736</v>
      </c>
      <c r="W79" s="205">
        <f>ROUND(표9[[#This Row],[Apr 2026 (USD or KRW)]],0)</f>
        <v>0</v>
      </c>
      <c r="X79" s="212"/>
      <c r="Y79" s="206">
        <f>표9[[#This Row],[Apr 2027(KRW)]]-표9[[#This Row],[Mar 2026(KRW)]]</f>
        <v>-595148736</v>
      </c>
      <c r="Z79" s="213">
        <f t="shared" si="1"/>
        <v>-1</v>
      </c>
      <c r="AA79" s="208">
        <f>VLOOKUP(표9[[#This Row],[Team]],표1[],3,0)</f>
        <v>1000</v>
      </c>
    </row>
    <row r="80" spans="1:27" s="8" customFormat="1" ht="15">
      <c r="A80" s="214" t="str">
        <f>VLOOKUP($H80,AWS!$A:$H,2,0)</f>
        <v>AWS</v>
      </c>
      <c r="B80" s="214" t="str">
        <f>VLOOKUP($H80,AWS!$A:$H,3,0)</f>
        <v>KRAFTON HQ</v>
      </c>
      <c r="C80" s="209" t="str">
        <f>VLOOKUP($H80,AWS!$A:$H,4,0)</f>
        <v>PUBG STUDIO</v>
      </c>
      <c r="D80" s="214" t="str">
        <f>VLOOKUP($H80,AWS!$A:$H,5,0)</f>
        <v>Platform Dept.</v>
      </c>
      <c r="E80" s="214" t="str">
        <f>VLOOKUP($H80,AWS!$A:$H,6,0)</f>
        <v>BATTLEGROUNDS_PC/CONSOLE</v>
      </c>
      <c r="F80" s="202">
        <f>VLOOKUP(표9[[#This Row],[Team]],표1[[내역]:[코스트 센터]],2,0)</f>
        <v>100355</v>
      </c>
      <c r="G80" s="202" t="str">
        <f>VLOOKUP(표9[[#This Row],[Project]],표2[],2,0)</f>
        <v>P100010012</v>
      </c>
      <c r="H80" s="214" t="s">
        <v>106</v>
      </c>
      <c r="I80" s="214" t="str">
        <f>VLOOKUP($H80,AWS!$A:$H,8,0)</f>
        <v>최준석</v>
      </c>
      <c r="J80" s="214" t="str">
        <f>VLOOKUP($H80,AWS!$A:$H,8,0)</f>
        <v>최준석</v>
      </c>
      <c r="K80" s="186"/>
      <c r="L80" s="215">
        <v>23582306</v>
      </c>
      <c r="M80" s="216">
        <v>22009625</v>
      </c>
      <c r="N80" s="217">
        <v>23519917</v>
      </c>
      <c r="O80" s="217">
        <v>23654972</v>
      </c>
      <c r="P80" s="217">
        <v>23464410</v>
      </c>
      <c r="Q80" s="217">
        <v>26023327</v>
      </c>
      <c r="R80" s="217">
        <v>26218175</v>
      </c>
      <c r="S80" s="217">
        <v>28490889</v>
      </c>
      <c r="T80" s="212">
        <v>25774592</v>
      </c>
      <c r="U80" s="212">
        <v>23049305</v>
      </c>
      <c r="V80" s="205">
        <v>27776004</v>
      </c>
      <c r="W80" s="205">
        <f>ROUND(표9[[#This Row],[Apr 2026 (USD or KRW)]],0)</f>
        <v>0</v>
      </c>
      <c r="X80" s="212"/>
      <c r="Y80" s="206">
        <f>표9[[#This Row],[Apr 2027(KRW)]]-표9[[#This Row],[Mar 2026(KRW)]]</f>
        <v>-27776004</v>
      </c>
      <c r="Z80" s="213">
        <f t="shared" si="1"/>
        <v>-1</v>
      </c>
      <c r="AA80" s="208">
        <f>VLOOKUP(표9[[#This Row],[Team]],표1[],3,0)</f>
        <v>1000</v>
      </c>
    </row>
    <row r="81" spans="1:27" s="8" customFormat="1" ht="15">
      <c r="A81" s="214" t="str">
        <f>VLOOKUP($H81,AWS!$A:$H,2,0)</f>
        <v>AWS</v>
      </c>
      <c r="B81" s="214" t="str">
        <f>VLOOKUP($H81,AWS!$A:$H,3,0)</f>
        <v>KRAFTON HQ</v>
      </c>
      <c r="C81" s="209" t="str">
        <f>VLOOKUP($H81,AWS!$A:$H,4,0)</f>
        <v>PUBG STUDIO</v>
      </c>
      <c r="D81" s="214" t="str">
        <f>VLOOKUP($H81,AWS!$A:$H,5,0)</f>
        <v>PUBG PC&amp;Console Dev Div.</v>
      </c>
      <c r="E81" s="214" t="str">
        <f>VLOOKUP($H81,AWS!$A:$H,6,0)</f>
        <v>BATTLEGROUNDS_PC/CONSOLE</v>
      </c>
      <c r="F81" s="202">
        <f>VLOOKUP(표9[[#This Row],[Team]],표1[[내역]:[코스트 센터]],2,0)</f>
        <v>100414</v>
      </c>
      <c r="G81" s="202" t="str">
        <f>VLOOKUP(표9[[#This Row],[Project]],표2[],2,0)</f>
        <v>P100010012</v>
      </c>
      <c r="H81" s="214" t="s">
        <v>107</v>
      </c>
      <c r="I81" s="214" t="str">
        <f>VLOOKUP($H81,AWS!$A:$H,8,0)</f>
        <v>최준석</v>
      </c>
      <c r="J81" s="214" t="str">
        <f>VLOOKUP($H81,AWS!$A:$H,8,0)</f>
        <v>최준석</v>
      </c>
      <c r="K81" s="186"/>
      <c r="L81" s="215">
        <v>45853707</v>
      </c>
      <c r="M81" s="216">
        <v>42158618</v>
      </c>
      <c r="N81" s="217">
        <v>45045851</v>
      </c>
      <c r="O81" s="217">
        <v>44344802</v>
      </c>
      <c r="P81" s="217">
        <v>43448123</v>
      </c>
      <c r="Q81" s="217">
        <v>47003015</v>
      </c>
      <c r="R81" s="217">
        <v>45493075</v>
      </c>
      <c r="S81" s="217">
        <v>48448779</v>
      </c>
      <c r="T81" s="212">
        <v>45265114</v>
      </c>
      <c r="U81" s="212">
        <v>35569694</v>
      </c>
      <c r="V81" s="205">
        <v>37856008</v>
      </c>
      <c r="W81" s="205">
        <f>ROUND(표9[[#This Row],[Apr 2026 (USD or KRW)]],0)</f>
        <v>0</v>
      </c>
      <c r="X81" s="212"/>
      <c r="Y81" s="206">
        <f>표9[[#This Row],[Apr 2027(KRW)]]-표9[[#This Row],[Mar 2026(KRW)]]</f>
        <v>-37856008</v>
      </c>
      <c r="Z81" s="213">
        <f t="shared" si="1"/>
        <v>-1</v>
      </c>
      <c r="AA81" s="208">
        <f>VLOOKUP(표9[[#This Row],[Team]],표1[],3,0)</f>
        <v>1000</v>
      </c>
    </row>
    <row r="82" spans="1:27" s="8" customFormat="1" ht="15">
      <c r="A82" s="214" t="str">
        <f>VLOOKUP($H82,AWS!$A:$H,2,0)</f>
        <v>AWS</v>
      </c>
      <c r="B82" s="214" t="str">
        <f>VLOOKUP($H82,AWS!$A:$H,3,0)</f>
        <v>KRAFTON HQ</v>
      </c>
      <c r="C82" s="209" t="str">
        <f>VLOOKUP($H82,AWS!$A:$H,4,0)</f>
        <v>KRAFTON HQ</v>
      </c>
      <c r="D82" s="214" t="str">
        <f>VLOOKUP($H82,AWS!$A:$H,5,0)</f>
        <v>Service DevOps Team</v>
      </c>
      <c r="E82" s="214" t="str">
        <f>VLOOKUP($H82,AWS!$A:$H,6,0)</f>
        <v>BATTLEGROUNDS_PC/CONSOLE</v>
      </c>
      <c r="F82" s="202">
        <f>VLOOKUP(표9[[#This Row],[Team]],표1[[내역]:[코스트 센터]],2,0)</f>
        <v>100033</v>
      </c>
      <c r="G82" s="202" t="str">
        <f>VLOOKUP(표9[[#This Row],[Project]],표2[],2,0)</f>
        <v>P100010012</v>
      </c>
      <c r="H82" s="214" t="s">
        <v>108</v>
      </c>
      <c r="I82" s="214" t="str">
        <f>VLOOKUP($H82,AWS!$A:$H,8,0)</f>
        <v>엄기성</v>
      </c>
      <c r="J82" s="214" t="str">
        <f>VLOOKUP($H82,AWS!$A:$H,8,0)</f>
        <v>엄기성</v>
      </c>
      <c r="K82" s="187"/>
      <c r="L82" s="215">
        <v>9905226</v>
      </c>
      <c r="M82" s="216">
        <v>8724022</v>
      </c>
      <c r="N82" s="217">
        <v>13378227</v>
      </c>
      <c r="O82" s="217">
        <v>11374059</v>
      </c>
      <c r="P82" s="217">
        <v>12672283</v>
      </c>
      <c r="Q82" s="217">
        <v>12429577</v>
      </c>
      <c r="R82" s="217">
        <v>10968733</v>
      </c>
      <c r="S82" s="217">
        <v>15230796</v>
      </c>
      <c r="T82" s="212">
        <v>10181633</v>
      </c>
      <c r="U82" s="212">
        <v>7423344</v>
      </c>
      <c r="V82" s="205">
        <v>8620454</v>
      </c>
      <c r="W82" s="205">
        <f>ROUND(표9[[#This Row],[Apr 2026 (USD or KRW)]],0)</f>
        <v>0</v>
      </c>
      <c r="X82" s="212"/>
      <c r="Y82" s="206">
        <f>표9[[#This Row],[Apr 2027(KRW)]]-표9[[#This Row],[Mar 2026(KRW)]]</f>
        <v>-8620454</v>
      </c>
      <c r="Z82" s="213">
        <f t="shared" si="1"/>
        <v>-1</v>
      </c>
      <c r="AA82" s="208">
        <f>VLOOKUP(표9[[#This Row],[Team]],표1[],3,0)</f>
        <v>1000</v>
      </c>
    </row>
    <row r="83" spans="1:27" s="8" customFormat="1" ht="15">
      <c r="A83" s="214" t="str">
        <f>VLOOKUP($H83,AWS!$A:$H,2,0)</f>
        <v>AWS</v>
      </c>
      <c r="B83" s="214" t="str">
        <f>VLOOKUP($H83,AWS!$A:$H,3,0)</f>
        <v>KRAFTON HQ</v>
      </c>
      <c r="C83" s="209" t="str">
        <f>VLOOKUP($H83,AWS!$A:$H,4,0)</f>
        <v>PUBG STUDIO</v>
      </c>
      <c r="D83" s="214" t="str">
        <f>VLOOKUP($H83,AWS!$A:$H,5,0)</f>
        <v>Data Engineering Dept.</v>
      </c>
      <c r="E83" s="214" t="str">
        <f>VLOOKUP($H83,AWS!$A:$H,6,0)</f>
        <v>BATTLEGROUNDS_PC/CONSOLE</v>
      </c>
      <c r="F83" s="202">
        <f>VLOOKUP(표9[[#This Row],[Team]],표1[[내역]:[코스트 센터]],2,0)</f>
        <v>100212</v>
      </c>
      <c r="G83" s="202" t="str">
        <f>VLOOKUP(표9[[#This Row],[Project]],표2[],2,0)</f>
        <v>P100010012</v>
      </c>
      <c r="H83" s="214" t="s">
        <v>109</v>
      </c>
      <c r="I83" s="214" t="str">
        <f>VLOOKUP($H83,AWS!$A:$H,8,0)</f>
        <v>김시훈</v>
      </c>
      <c r="J83" s="214" t="str">
        <f>VLOOKUP($H83,AWS!$A:$H,8,0)</f>
        <v>김시훈</v>
      </c>
      <c r="K83" s="187" t="s">
        <v>29</v>
      </c>
      <c r="L83" s="215">
        <v>46980600</v>
      </c>
      <c r="M83" s="216">
        <v>46614275</v>
      </c>
      <c r="N83" s="217">
        <v>44201032</v>
      </c>
      <c r="O83" s="217">
        <v>44813477</v>
      </c>
      <c r="P83" s="217">
        <v>44567698</v>
      </c>
      <c r="Q83" s="217">
        <v>46351173</v>
      </c>
      <c r="R83" s="217">
        <v>46981230</v>
      </c>
      <c r="S83" s="217">
        <v>46822296</v>
      </c>
      <c r="T83" s="212">
        <v>46386799</v>
      </c>
      <c r="U83" s="212">
        <v>44982288</v>
      </c>
      <c r="V83" s="205">
        <v>49193633</v>
      </c>
      <c r="W83" s="205">
        <f>ROUND(표9[[#This Row],[Apr 2026 (USD or KRW)]],0)</f>
        <v>0</v>
      </c>
      <c r="X83" s="212"/>
      <c r="Y83" s="206">
        <f>표9[[#This Row],[Apr 2027(KRW)]]-표9[[#This Row],[Mar 2026(KRW)]]</f>
        <v>-49193633</v>
      </c>
      <c r="Z83" s="213">
        <f t="shared" si="1"/>
        <v>-1</v>
      </c>
      <c r="AA83" s="208">
        <f>VLOOKUP(표9[[#This Row],[Team]],표1[],3,0)</f>
        <v>1000</v>
      </c>
    </row>
    <row r="84" spans="1:27" s="8" customFormat="1" ht="15">
      <c r="A84" s="214" t="str">
        <f>VLOOKUP($H84,AWS!$A:$H,2,0)</f>
        <v>AWS</v>
      </c>
      <c r="B84" s="214" t="str">
        <f>VLOOKUP($H84,AWS!$A:$H,3,0)</f>
        <v>KRAFTON HQ</v>
      </c>
      <c r="C84" s="209" t="str">
        <f>VLOOKUP($H84,AWS!$A:$H,4,0)</f>
        <v>PUBG STUDIO</v>
      </c>
      <c r="D84" s="214" t="str">
        <f>VLOOKUP($H84,AWS!$A:$H,5,0)</f>
        <v>PUBG PC&amp;Console Dev Div.</v>
      </c>
      <c r="E84" s="214" t="str">
        <f>VLOOKUP($H84,AWS!$A:$H,6,0)</f>
        <v>BATTLEGROUNDS_PC/CONSOLE</v>
      </c>
      <c r="F84" s="202">
        <f>VLOOKUP(표9[[#This Row],[Team]],표1[[내역]:[코스트 센터]],2,0)</f>
        <v>100414</v>
      </c>
      <c r="G84" s="202" t="str">
        <f>VLOOKUP(표9[[#This Row],[Project]],표2[],2,0)</f>
        <v>P100010012</v>
      </c>
      <c r="H84" s="214" t="s">
        <v>110</v>
      </c>
      <c r="I84" s="214" t="str">
        <f>VLOOKUP($H84,AWS!$A:$H,8,0)</f>
        <v>최준석</v>
      </c>
      <c r="J84" s="214" t="str">
        <f>VLOOKUP($H84,AWS!$A:$H,8,0)</f>
        <v>최준석</v>
      </c>
      <c r="K84" s="186"/>
      <c r="L84" s="215">
        <v>10975803</v>
      </c>
      <c r="M84" s="216">
        <v>11894295</v>
      </c>
      <c r="N84" s="217">
        <v>9013930</v>
      </c>
      <c r="O84" s="217">
        <v>6221276</v>
      </c>
      <c r="P84" s="217">
        <v>5782838</v>
      </c>
      <c r="Q84" s="217">
        <v>5417598</v>
      </c>
      <c r="R84" s="217">
        <v>3794818</v>
      </c>
      <c r="S84" s="217">
        <v>3784720</v>
      </c>
      <c r="T84" s="212">
        <v>3625689</v>
      </c>
      <c r="U84" s="212">
        <v>6225816</v>
      </c>
      <c r="V84" s="205">
        <v>3617606</v>
      </c>
      <c r="W84" s="205">
        <f>ROUND(표9[[#This Row],[Apr 2026 (USD or KRW)]],0)</f>
        <v>0</v>
      </c>
      <c r="X84" s="212"/>
      <c r="Y84" s="206">
        <f>표9[[#This Row],[Apr 2027(KRW)]]-표9[[#This Row],[Mar 2026(KRW)]]</f>
        <v>-3617606</v>
      </c>
      <c r="Z84" s="213">
        <f t="shared" si="1"/>
        <v>-1</v>
      </c>
      <c r="AA84" s="208">
        <f>VLOOKUP(표9[[#This Row],[Team]],표1[],3,0)</f>
        <v>1000</v>
      </c>
    </row>
    <row r="85" spans="1:27" s="8" customFormat="1" ht="15">
      <c r="A85" s="214" t="str">
        <f>VLOOKUP($H85,AWS!$A:$H,2,0)</f>
        <v>AWS</v>
      </c>
      <c r="B85" s="214" t="str">
        <f>VLOOKUP($H85,AWS!$A:$H,3,0)</f>
        <v>KRAFTON HQ</v>
      </c>
      <c r="C85" s="209" t="str">
        <f>VLOOKUP($H85,AWS!$A:$H,4,0)</f>
        <v>KRAFTON HQ</v>
      </c>
      <c r="D85" s="214" t="str">
        <f>VLOOKUP($H85,AWS!$A:$H,5,0)</f>
        <v>Service DevOps Team</v>
      </c>
      <c r="E85" s="214" t="str">
        <f>VLOOKUP($H85,AWS!$A:$H,6,0)</f>
        <v>BATTLEGROUNDS_MOBILE</v>
      </c>
      <c r="F85" s="202">
        <f>VLOOKUP(표9[[#This Row],[Team]],표1[[내역]:[코스트 센터]],2,0)</f>
        <v>100033</v>
      </c>
      <c r="G85" s="202" t="str">
        <f>VLOOKUP(표9[[#This Row],[Project]],표2[],2,0)</f>
        <v>P100030012</v>
      </c>
      <c r="H85" s="214" t="s">
        <v>111</v>
      </c>
      <c r="I85" s="214" t="str">
        <f>VLOOKUP($H85,AWS!$A:$H,8,0)</f>
        <v>엄기성</v>
      </c>
      <c r="J85" s="214" t="str">
        <f>VLOOKUP($H85,AWS!$A:$H,8,0)</f>
        <v>엄기성</v>
      </c>
      <c r="K85" s="187"/>
      <c r="L85" s="215">
        <v>10423391</v>
      </c>
      <c r="M85" s="216">
        <v>9764556</v>
      </c>
      <c r="N85" s="217">
        <v>10328787</v>
      </c>
      <c r="O85" s="217">
        <v>10327030</v>
      </c>
      <c r="P85" s="217">
        <v>10369678</v>
      </c>
      <c r="Q85" s="217">
        <v>10827077</v>
      </c>
      <c r="R85" s="217">
        <v>8600317</v>
      </c>
      <c r="S85" s="217">
        <v>8758181</v>
      </c>
      <c r="T85" s="212">
        <v>8411288</v>
      </c>
      <c r="U85" s="212">
        <v>7355445</v>
      </c>
      <c r="V85" s="205">
        <v>8749873</v>
      </c>
      <c r="W85" s="205">
        <f>ROUND(표9[[#This Row],[Apr 2026 (USD or KRW)]],0)</f>
        <v>0</v>
      </c>
      <c r="X85" s="212"/>
      <c r="Y85" s="206">
        <f>표9[[#This Row],[Apr 2027(KRW)]]-표9[[#This Row],[Mar 2026(KRW)]]</f>
        <v>-8749873</v>
      </c>
      <c r="Z85" s="213">
        <f t="shared" si="1"/>
        <v>-1</v>
      </c>
      <c r="AA85" s="208">
        <f>VLOOKUP(표9[[#This Row],[Team]],표1[],3,0)</f>
        <v>1000</v>
      </c>
    </row>
    <row r="86" spans="1:27" s="8" customFormat="1" ht="15">
      <c r="A86" s="209" t="str">
        <f>VLOOKUP($H86,AWS!$A:$H,2,0)</f>
        <v>AWS</v>
      </c>
      <c r="B86" s="209" t="str">
        <f>VLOOKUP($H86,AWS!$A:$H,3,0)</f>
        <v>ReLu Games</v>
      </c>
      <c r="C86" s="209" t="str">
        <f>VLOOKUP($H86,AWS!$A:$H,4,0)</f>
        <v>ReLu Games</v>
      </c>
      <c r="D86" s="214" t="str">
        <f>VLOOKUP($H86,AWS!$A:$H,5,0)</f>
        <v>ReLU Dev Dept.</v>
      </c>
      <c r="E86" s="214" t="str">
        <f>VLOOKUP($H86,AWS!$A:$H,6,0)</f>
        <v>OVERHEAD/OTHERS</v>
      </c>
      <c r="F86" s="202" t="e">
        <f>VLOOKUP(표9[[#This Row],[Team]],표1[[내역]:[코스트 센터]],2,0)</f>
        <v>#N/A</v>
      </c>
      <c r="G86" s="202" t="str">
        <f>VLOOKUP(표9[[#This Row],[Project]],표2[],2,0)</f>
        <v>I100099999</v>
      </c>
      <c r="H86" s="209" t="s">
        <v>112</v>
      </c>
      <c r="I86" s="209" t="str">
        <f>VLOOKUP($H86,AWS!$A:$H,7,0)</f>
        <v>오준석</v>
      </c>
      <c r="J86" s="214" t="str">
        <f>VLOOKUP($H86,AWS!$A:$H,8,0)</f>
        <v>오준석</v>
      </c>
      <c r="K86" s="186"/>
      <c r="L86" s="210">
        <v>2631381</v>
      </c>
      <c r="M86" s="211">
        <v>3755918</v>
      </c>
      <c r="N86" s="212">
        <v>3283790</v>
      </c>
      <c r="O86" s="212">
        <v>3361723</v>
      </c>
      <c r="P86" s="212">
        <v>3316128</v>
      </c>
      <c r="Q86" s="212">
        <v>4121836</v>
      </c>
      <c r="R86" s="212">
        <v>4631290</v>
      </c>
      <c r="S86" s="212">
        <v>4520208</v>
      </c>
      <c r="T86" s="212">
        <v>4127065</v>
      </c>
      <c r="U86" s="212">
        <v>3489944</v>
      </c>
      <c r="V86" s="205">
        <v>4321971</v>
      </c>
      <c r="W86" s="205">
        <f>ROUND(표9[[#This Row],[Apr 2026 (USD or KRW)]],0)</f>
        <v>0</v>
      </c>
      <c r="X86" s="212"/>
      <c r="Y86" s="206">
        <f>표9[[#This Row],[Apr 2027(KRW)]]-표9[[#This Row],[Mar 2026(KRW)]]</f>
        <v>-4321971</v>
      </c>
      <c r="Z86" s="213">
        <f t="shared" si="1"/>
        <v>-1</v>
      </c>
      <c r="AA86" s="208" t="e">
        <f>VLOOKUP(표9[[#This Row],[Team]],표1[],3,0)</f>
        <v>#N/A</v>
      </c>
    </row>
    <row r="87" spans="1:27" s="8" customFormat="1" ht="15">
      <c r="A87" s="209" t="str">
        <f>VLOOKUP($H87,AWS!$A:$H,2,0)</f>
        <v>AWS</v>
      </c>
      <c r="B87" s="209" t="str">
        <f>VLOOKUP($H87,AWS!$A:$H,3,0)</f>
        <v>Risingwings</v>
      </c>
      <c r="C87" s="209" t="str">
        <f>VLOOKUP($H87,AWS!$A:$H,4,0)</f>
        <v>Risingwings</v>
      </c>
      <c r="D87" s="214" t="str">
        <f>VLOOKUP($H87,AWS!$A:$H,5,0)</f>
        <v>RW Tech Support Dept.</v>
      </c>
      <c r="E87" s="214">
        <f>VLOOKUP($H87,AWS!$A:$H,6,0)</f>
        <v>0</v>
      </c>
      <c r="F87" s="202" t="e">
        <f>VLOOKUP(표9[[#This Row],[Team]],표1[[내역]:[코스트 센터]],2,0)</f>
        <v>#N/A</v>
      </c>
      <c r="G87" s="202" t="e">
        <f>VLOOKUP(표9[[#This Row],[Project]],표2[],2,0)</f>
        <v>#N/A</v>
      </c>
      <c r="H87" s="209" t="s">
        <v>113</v>
      </c>
      <c r="I87" s="209" t="str">
        <f>VLOOKUP($H87,AWS!$A:$H,7,0)</f>
        <v>허지웅</v>
      </c>
      <c r="J87" s="214" t="str">
        <f>VLOOKUP($H87,AWS!$A:$H,8,0)</f>
        <v>허지웅</v>
      </c>
      <c r="K87" s="186"/>
      <c r="L87" s="210">
        <v>58056</v>
      </c>
      <c r="M87" s="211">
        <v>67117</v>
      </c>
      <c r="N87" s="212">
        <v>57527</v>
      </c>
      <c r="O87" s="212">
        <v>73685</v>
      </c>
      <c r="P87" s="212">
        <v>71744</v>
      </c>
      <c r="Q87" s="212">
        <v>73193</v>
      </c>
      <c r="R87" s="212">
        <v>71790</v>
      </c>
      <c r="S87" s="212">
        <v>67361</v>
      </c>
      <c r="T87" s="212">
        <v>69635</v>
      </c>
      <c r="U87" s="212">
        <v>67109</v>
      </c>
      <c r="V87" s="205">
        <v>68685</v>
      </c>
      <c r="W87" s="205">
        <f>ROUND(표9[[#This Row],[Apr 2026 (USD or KRW)]],0)</f>
        <v>0</v>
      </c>
      <c r="X87" s="212"/>
      <c r="Y87" s="206">
        <f>표9[[#This Row],[Apr 2027(KRW)]]-표9[[#This Row],[Mar 2026(KRW)]]</f>
        <v>-68685</v>
      </c>
      <c r="Z87" s="213">
        <f t="shared" si="1"/>
        <v>-1</v>
      </c>
      <c r="AA87" s="208" t="e">
        <f>VLOOKUP(표9[[#This Row],[Team]],표1[],3,0)</f>
        <v>#N/A</v>
      </c>
    </row>
    <row r="88" spans="1:27" s="8" customFormat="1" ht="15">
      <c r="A88" s="214" t="str">
        <f>VLOOKUP($H88,AWS!$A:$H,2,0)</f>
        <v>AWS</v>
      </c>
      <c r="B88" s="214" t="str">
        <f>VLOOKUP($H88,AWS!$A:$H,3,0)</f>
        <v>KRAFTON HQ</v>
      </c>
      <c r="C88" s="209" t="str">
        <f>VLOOKUP($H88,AWS!$A:$H,4,0)</f>
        <v>SDS</v>
      </c>
      <c r="D88" s="214" t="str">
        <f>VLOOKUP($H88,AWS!$A:$H,5,0)</f>
        <v>Striking Distance Studios</v>
      </c>
      <c r="E88" s="214" t="str">
        <f>VLOOKUP($H88,AWS!$A:$H,6,0)</f>
        <v>The Callisto Protocol</v>
      </c>
      <c r="F88" s="202">
        <f>VLOOKUP(표9[[#This Row],[Team]],표1[[내역]:[코스트 센터]],2,0)</f>
        <v>100561</v>
      </c>
      <c r="G88" s="202" t="str">
        <f>VLOOKUP(표9[[#This Row],[Project]],표2[],2,0)</f>
        <v>P100010013</v>
      </c>
      <c r="H88" s="214" t="s">
        <v>114</v>
      </c>
      <c r="I88" s="214" t="str">
        <f>VLOOKUP($H88,AWS!$A:$H,8,0)</f>
        <v>Jordan Yerkes</v>
      </c>
      <c r="J88" s="214" t="str">
        <f>VLOOKUP($H88,AWS!$A:$H,8,0)</f>
        <v>Jordan Yerkes</v>
      </c>
      <c r="K88" s="187"/>
      <c r="L88" s="215">
        <v>13038481</v>
      </c>
      <c r="M88" s="216">
        <v>12588478</v>
      </c>
      <c r="N88" s="217">
        <v>13305868</v>
      </c>
      <c r="O88" s="217">
        <v>9888008</v>
      </c>
      <c r="P88" s="217">
        <v>9120766</v>
      </c>
      <c r="Q88" s="217">
        <v>10123189</v>
      </c>
      <c r="R88" s="217">
        <v>9726249</v>
      </c>
      <c r="S88" s="217">
        <v>9985811</v>
      </c>
      <c r="T88" s="212">
        <v>11357403</v>
      </c>
      <c r="U88" s="212">
        <v>9111993</v>
      </c>
      <c r="V88" s="205">
        <v>9069298</v>
      </c>
      <c r="W88" s="205">
        <f>ROUND(표9[[#This Row],[Apr 2026 (USD or KRW)]],0)</f>
        <v>0</v>
      </c>
      <c r="X88" s="212"/>
      <c r="Y88" s="206">
        <f>표9[[#This Row],[Apr 2027(KRW)]]-표9[[#This Row],[Mar 2026(KRW)]]</f>
        <v>-9069298</v>
      </c>
      <c r="Z88" s="213">
        <f t="shared" si="1"/>
        <v>-1</v>
      </c>
      <c r="AA88" s="208">
        <f>VLOOKUP(표9[[#This Row],[Team]],표1[],3,0)</f>
        <v>1000</v>
      </c>
    </row>
    <row r="89" spans="1:27" s="8" customFormat="1" ht="15">
      <c r="A89" s="214" t="str">
        <f>VLOOKUP($H89,AWS!$A:$H,2,0)</f>
        <v>AWS</v>
      </c>
      <c r="B89" s="214" t="str">
        <f>VLOOKUP($H89,AWS!$A:$H,3,0)</f>
        <v>KRAFTON HQ</v>
      </c>
      <c r="C89" s="209" t="str">
        <f>VLOOKUP($H89,AWS!$A:$H,4,0)</f>
        <v>SDS</v>
      </c>
      <c r="D89" s="214" t="str">
        <f>VLOOKUP($H89,AWS!$A:$H,5,0)</f>
        <v>Striking Distance Studios</v>
      </c>
      <c r="E89" s="214" t="str">
        <f>VLOOKUP($H89,AWS!$A:$H,6,0)</f>
        <v>The Callisto Protocol</v>
      </c>
      <c r="F89" s="202">
        <f>VLOOKUP(표9[[#This Row],[Team]],표1[[내역]:[코스트 센터]],2,0)</f>
        <v>100561</v>
      </c>
      <c r="G89" s="202" t="str">
        <f>VLOOKUP(표9[[#This Row],[Project]],표2[],2,0)</f>
        <v>P100010013</v>
      </c>
      <c r="H89" s="214" t="s">
        <v>115</v>
      </c>
      <c r="I89" s="214" t="str">
        <f>VLOOKUP($H89,AWS!$A:$H,8,0)</f>
        <v>Jordan Yerkes</v>
      </c>
      <c r="J89" s="214" t="str">
        <f>VLOOKUP($H89,AWS!$A:$H,8,0)</f>
        <v>Jordan Yerkes</v>
      </c>
      <c r="K89" s="187"/>
      <c r="L89" s="215">
        <v>13893</v>
      </c>
      <c r="M89" s="216">
        <v>7081</v>
      </c>
      <c r="N89" s="217">
        <v>7161</v>
      </c>
      <c r="O89" s="217">
        <v>13590</v>
      </c>
      <c r="P89" s="217">
        <v>11093</v>
      </c>
      <c r="Q89" s="217">
        <v>11591</v>
      </c>
      <c r="R89" s="217">
        <v>11711</v>
      </c>
      <c r="S89" s="217">
        <v>10696</v>
      </c>
      <c r="T89" s="212">
        <v>12673</v>
      </c>
      <c r="U89" s="212">
        <v>10998</v>
      </c>
      <c r="V89" s="205">
        <v>9759</v>
      </c>
      <c r="W89" s="205">
        <f>ROUND(표9[[#This Row],[Apr 2026 (USD or KRW)]],0)</f>
        <v>0</v>
      </c>
      <c r="X89" s="212"/>
      <c r="Y89" s="206">
        <f>표9[[#This Row],[Apr 2027(KRW)]]-표9[[#This Row],[Mar 2026(KRW)]]</f>
        <v>-9759</v>
      </c>
      <c r="Z89" s="213">
        <f t="shared" si="1"/>
        <v>-1</v>
      </c>
      <c r="AA89" s="208">
        <f>VLOOKUP(표9[[#This Row],[Team]],표1[],3,0)</f>
        <v>1000</v>
      </c>
    </row>
    <row r="90" spans="1:27" s="8" customFormat="1" ht="15">
      <c r="A90" s="214" t="str">
        <f>VLOOKUP($H90,AWS!$A:$H,2,0)</f>
        <v>AWS</v>
      </c>
      <c r="B90" s="214" t="str">
        <f>VLOOKUP($H90,AWS!$A:$H,3,0)</f>
        <v>KRAFTON HQ</v>
      </c>
      <c r="C90" s="209" t="str">
        <f>VLOOKUP($H90,AWS!$A:$H,4,0)</f>
        <v>SDS</v>
      </c>
      <c r="D90" s="214" t="str">
        <f>VLOOKUP($H90,AWS!$A:$H,5,0)</f>
        <v>Striking Distance Studios</v>
      </c>
      <c r="E90" s="214" t="str">
        <f>VLOOKUP($H90,AWS!$A:$H,6,0)</f>
        <v>The Callisto Protocol</v>
      </c>
      <c r="F90" s="202">
        <f>VLOOKUP(표9[[#This Row],[Team]],표1[[내역]:[코스트 센터]],2,0)</f>
        <v>100561</v>
      </c>
      <c r="G90" s="202" t="str">
        <f>VLOOKUP(표9[[#This Row],[Project]],표2[],2,0)</f>
        <v>P100010013</v>
      </c>
      <c r="H90" s="214" t="s">
        <v>116</v>
      </c>
      <c r="I90" s="214" t="str">
        <f>VLOOKUP($H90,AWS!$A:$H,8,0)</f>
        <v>Jordan Yerkes</v>
      </c>
      <c r="J90" s="214" t="str">
        <f>VLOOKUP($H90,AWS!$A:$H,8,0)</f>
        <v>Jordan Yerkes</v>
      </c>
      <c r="K90" s="187"/>
      <c r="L90" s="215">
        <v>6643</v>
      </c>
      <c r="M90" s="216">
        <v>5374</v>
      </c>
      <c r="N90" s="217">
        <v>5561</v>
      </c>
      <c r="O90" s="217">
        <v>17179</v>
      </c>
      <c r="P90" s="217">
        <v>9089</v>
      </c>
      <c r="Q90" s="217">
        <v>9017</v>
      </c>
      <c r="R90" s="217">
        <v>9846</v>
      </c>
      <c r="S90" s="217">
        <v>8701</v>
      </c>
      <c r="T90" s="212">
        <v>10665</v>
      </c>
      <c r="U90" s="212">
        <v>9201</v>
      </c>
      <c r="V90" s="205">
        <v>7963</v>
      </c>
      <c r="W90" s="205">
        <f>ROUND(표9[[#This Row],[Apr 2026 (USD or KRW)]],0)</f>
        <v>0</v>
      </c>
      <c r="X90" s="212"/>
      <c r="Y90" s="206">
        <f>표9[[#This Row],[Apr 2027(KRW)]]-표9[[#This Row],[Mar 2026(KRW)]]</f>
        <v>-7963</v>
      </c>
      <c r="Z90" s="213">
        <f t="shared" si="1"/>
        <v>-1</v>
      </c>
      <c r="AA90" s="208">
        <f>VLOOKUP(표9[[#This Row],[Team]],표1[],3,0)</f>
        <v>1000</v>
      </c>
    </row>
    <row r="91" spans="1:27" s="8" customFormat="1" ht="15">
      <c r="A91" s="214" t="str">
        <f>VLOOKUP($H91,AWS!$A:$H,2,0)</f>
        <v>AWS</v>
      </c>
      <c r="B91" s="214" t="str">
        <f>VLOOKUP($H91,AWS!$A:$H,3,0)</f>
        <v>KRAFTON HQ</v>
      </c>
      <c r="C91" s="209" t="str">
        <f>VLOOKUP($H91,AWS!$A:$H,4,0)</f>
        <v>SDS</v>
      </c>
      <c r="D91" s="214" t="str">
        <f>VLOOKUP($H91,AWS!$A:$H,5,0)</f>
        <v>Striking Distance Studios</v>
      </c>
      <c r="E91" s="214" t="str">
        <f>VLOOKUP($H91,AWS!$A:$H,6,0)</f>
        <v>The Callisto Protocol</v>
      </c>
      <c r="F91" s="202">
        <f>VLOOKUP(표9[[#This Row],[Team]],표1[[내역]:[코스트 센터]],2,0)</f>
        <v>100561</v>
      </c>
      <c r="G91" s="202" t="str">
        <f>VLOOKUP(표9[[#This Row],[Project]],표2[],2,0)</f>
        <v>P100010013</v>
      </c>
      <c r="H91" s="214" t="s">
        <v>117</v>
      </c>
      <c r="I91" s="214" t="str">
        <f>VLOOKUP($H91,AWS!$A:$H,8,0)</f>
        <v>Jordan Yerkes</v>
      </c>
      <c r="J91" s="214" t="str">
        <f>VLOOKUP($H91,AWS!$A:$H,8,0)</f>
        <v>Jordan Yerkes</v>
      </c>
      <c r="K91" s="187"/>
      <c r="L91" s="215">
        <v>12405</v>
      </c>
      <c r="M91" s="216">
        <v>5522</v>
      </c>
      <c r="N91" s="217">
        <v>5587</v>
      </c>
      <c r="O91" s="217">
        <v>3201</v>
      </c>
      <c r="P91" s="217"/>
      <c r="Q91" s="217"/>
      <c r="R91" s="217"/>
      <c r="S91" s="217">
        <v>0</v>
      </c>
      <c r="T91" s="212">
        <v>0</v>
      </c>
      <c r="U91" s="212">
        <v>0</v>
      </c>
      <c r="V91" s="205">
        <v>0</v>
      </c>
      <c r="W91" s="205">
        <f>ROUND(표9[[#This Row],[Apr 2026 (USD or KRW)]],0)</f>
        <v>0</v>
      </c>
      <c r="X91" s="212"/>
      <c r="Y91" s="206">
        <f>표9[[#This Row],[Apr 2027(KRW)]]-표9[[#This Row],[Mar 2026(KRW)]]</f>
        <v>0</v>
      </c>
      <c r="Z91" s="213" t="str">
        <f t="shared" si="1"/>
        <v/>
      </c>
      <c r="AA91" s="208">
        <f>VLOOKUP(표9[[#This Row],[Team]],표1[],3,0)</f>
        <v>1000</v>
      </c>
    </row>
    <row r="92" spans="1:27" s="8" customFormat="1" ht="15">
      <c r="A92" s="214" t="str">
        <f>VLOOKUP($H92,AWS!$A:$H,2,0)</f>
        <v>AWS</v>
      </c>
      <c r="B92" s="214" t="str">
        <f>VLOOKUP($H92,AWS!$A:$H,3,0)</f>
        <v>KRAFTON HQ</v>
      </c>
      <c r="C92" s="209" t="str">
        <f>VLOOKUP($H92,AWS!$A:$H,4,0)</f>
        <v>SDS</v>
      </c>
      <c r="D92" s="214" t="str">
        <f>VLOOKUP($H92,AWS!$A:$H,5,0)</f>
        <v>Striking Distance Studios</v>
      </c>
      <c r="E92" s="214" t="str">
        <f>VLOOKUP($H92,AWS!$A:$H,6,0)</f>
        <v>The Callisto Protocol</v>
      </c>
      <c r="F92" s="202">
        <f>VLOOKUP(표9[[#This Row],[Team]],표1[[내역]:[코스트 센터]],2,0)</f>
        <v>100561</v>
      </c>
      <c r="G92" s="202" t="str">
        <f>VLOOKUP(표9[[#This Row],[Project]],표2[],2,0)</f>
        <v>P100010013</v>
      </c>
      <c r="H92" s="214" t="s">
        <v>118</v>
      </c>
      <c r="I92" s="214" t="str">
        <f>VLOOKUP($H92,AWS!$A:$H,8,0)</f>
        <v>Jordan Yerkes</v>
      </c>
      <c r="J92" s="214" t="str">
        <f>VLOOKUP($H92,AWS!$A:$H,8,0)</f>
        <v>Jordan Yerkes</v>
      </c>
      <c r="K92" s="187"/>
      <c r="L92" s="215">
        <v>134200</v>
      </c>
      <c r="M92" s="216">
        <v>120638</v>
      </c>
      <c r="N92" s="217">
        <v>125729</v>
      </c>
      <c r="O92" s="217">
        <v>135435</v>
      </c>
      <c r="P92" s="217">
        <v>129388</v>
      </c>
      <c r="Q92" s="217">
        <v>135730</v>
      </c>
      <c r="R92" s="217">
        <v>136614</v>
      </c>
      <c r="S92" s="217">
        <v>102900</v>
      </c>
      <c r="T92" s="212">
        <v>0</v>
      </c>
      <c r="U92" s="212">
        <v>0</v>
      </c>
      <c r="V92" s="205">
        <v>0</v>
      </c>
      <c r="W92" s="205">
        <f>ROUND(표9[[#This Row],[Apr 2026 (USD or KRW)]],0)</f>
        <v>0</v>
      </c>
      <c r="X92" s="212"/>
      <c r="Y92" s="206">
        <f>표9[[#This Row],[Apr 2027(KRW)]]-표9[[#This Row],[Mar 2026(KRW)]]</f>
        <v>0</v>
      </c>
      <c r="Z92" s="213" t="str">
        <f t="shared" si="1"/>
        <v/>
      </c>
      <c r="AA92" s="208">
        <f>VLOOKUP(표9[[#This Row],[Team]],표1[],3,0)</f>
        <v>1000</v>
      </c>
    </row>
    <row r="93" spans="1:27" s="8" customFormat="1" ht="15">
      <c r="A93" s="214" t="str">
        <f>VLOOKUP($H93,AWS!$A:$H,2,0)</f>
        <v>AWS</v>
      </c>
      <c r="B93" s="214" t="str">
        <f>VLOOKUP($H93,AWS!$A:$H,3,0)</f>
        <v>KRAFTON HQ</v>
      </c>
      <c r="C93" s="209" t="str">
        <f>VLOOKUP($H93,AWS!$A:$H,4,0)</f>
        <v>Montreal Studio</v>
      </c>
      <c r="D93" s="214" t="str">
        <f>VLOOKUP($H93,AWS!$A:$H,5,0)</f>
        <v>PGY_Art Cell</v>
      </c>
      <c r="E93" s="214" t="str">
        <f>VLOOKUP($H93,AWS!$A:$H,6,0)</f>
        <v>STUDIO M</v>
      </c>
      <c r="F93" s="202">
        <f>VLOOKUP(표9[[#This Row],[Team]],표1[[내역]:[코스트 센터]],2,0)</f>
        <v>101695</v>
      </c>
      <c r="G93" s="202" t="str">
        <f>VLOOKUP(표9[[#This Row],[Project]],표2[],2,0)</f>
        <v>I100090821</v>
      </c>
      <c r="H93" s="214" t="s">
        <v>119</v>
      </c>
      <c r="I93" s="214" t="str">
        <f>VLOOKUP($H93,AWS!$A:$H,8,0)</f>
        <v>Julien Copin</v>
      </c>
      <c r="J93" s="214" t="str">
        <f>VLOOKUP($H93,AWS!$A:$H,8,0)</f>
        <v>Julien Copin</v>
      </c>
      <c r="K93" s="187" t="s">
        <v>29</v>
      </c>
      <c r="L93" s="215">
        <v>3335034</v>
      </c>
      <c r="M93" s="216">
        <v>3265803</v>
      </c>
      <c r="N93" s="217">
        <v>3354486</v>
      </c>
      <c r="O93" s="217">
        <v>3340268</v>
      </c>
      <c r="P93" s="217">
        <v>3307884</v>
      </c>
      <c r="Q93" s="217">
        <v>3427707</v>
      </c>
      <c r="R93" s="217">
        <v>3507599</v>
      </c>
      <c r="S93" s="217">
        <v>3449608</v>
      </c>
      <c r="T93" s="212">
        <v>3603187</v>
      </c>
      <c r="U93" s="212">
        <v>3771584</v>
      </c>
      <c r="V93" s="205">
        <v>4056006</v>
      </c>
      <c r="W93" s="205">
        <f>ROUND(표9[[#This Row],[Apr 2026 (USD or KRW)]],0)</f>
        <v>0</v>
      </c>
      <c r="X93" s="212"/>
      <c r="Y93" s="206">
        <f>표9[[#This Row],[Apr 2027(KRW)]]-표9[[#This Row],[Mar 2026(KRW)]]</f>
        <v>-4056006</v>
      </c>
      <c r="Z93" s="213">
        <f t="shared" si="1"/>
        <v>-1</v>
      </c>
      <c r="AA93" s="208">
        <f>VLOOKUP(표9[[#This Row],[Team]],표1[],3,0)</f>
        <v>1000</v>
      </c>
    </row>
    <row r="94" spans="1:27" s="8" customFormat="1" ht="15">
      <c r="A94" s="214" t="str">
        <f>VLOOKUP($H94,AWS!$A:$H,2,0)</f>
        <v>AWS</v>
      </c>
      <c r="B94" s="214" t="str">
        <f>VLOOKUP($H94,AWS!$A:$H,3,0)</f>
        <v>KRAFTON HQ</v>
      </c>
      <c r="C94" s="209" t="str">
        <f>VLOOKUP($H94,AWS!$A:$H,4,0)</f>
        <v>KRAFTON HQ</v>
      </c>
      <c r="D94" s="214" t="str">
        <f>VLOOKUP($H94,AWS!$A:$H,5,0)</f>
        <v>IT Dept.</v>
      </c>
      <c r="E94" s="214" t="str">
        <f>VLOOKUP($H94,AWS!$A:$H,6,0)</f>
        <v>OVERHEAD/OTHERS</v>
      </c>
      <c r="F94" s="202">
        <f>VLOOKUP(표9[[#This Row],[Team]],표1[[내역]:[코스트 센터]],2,0)</f>
        <v>100036</v>
      </c>
      <c r="G94" s="202" t="str">
        <f>VLOOKUP(표9[[#This Row],[Project]],표2[],2,0)</f>
        <v>I100099999</v>
      </c>
      <c r="H94" s="214" t="s">
        <v>120</v>
      </c>
      <c r="I94" s="214" t="str">
        <f>VLOOKUP($H94,AWS!$A:$H,8,0)</f>
        <v>이승호</v>
      </c>
      <c r="J94" s="214" t="str">
        <f>VLOOKUP($H94,AWS!$A:$H,8,0)</f>
        <v>이승호</v>
      </c>
      <c r="K94" s="187" t="s">
        <v>29</v>
      </c>
      <c r="L94" s="215">
        <v>14850702</v>
      </c>
      <c r="M94" s="216">
        <v>15778691</v>
      </c>
      <c r="N94" s="217">
        <v>27581289</v>
      </c>
      <c r="O94" s="217">
        <v>24716749</v>
      </c>
      <c r="P94" s="217">
        <v>22664091</v>
      </c>
      <c r="Q94" s="217">
        <v>24526518</v>
      </c>
      <c r="R94" s="217">
        <v>26033511</v>
      </c>
      <c r="S94" s="217">
        <v>20516105</v>
      </c>
      <c r="T94" s="212">
        <v>17738555</v>
      </c>
      <c r="U94" s="212">
        <v>19670533</v>
      </c>
      <c r="V94" s="205">
        <v>26702852</v>
      </c>
      <c r="W94" s="205">
        <f>ROUND(표9[[#This Row],[Apr 2026 (USD or KRW)]],0)</f>
        <v>0</v>
      </c>
      <c r="X94" s="212"/>
      <c r="Y94" s="206">
        <f>표9[[#This Row],[Apr 2027(KRW)]]-표9[[#This Row],[Mar 2026(KRW)]]</f>
        <v>-26702852</v>
      </c>
      <c r="Z94" s="213">
        <f t="shared" si="1"/>
        <v>-1</v>
      </c>
      <c r="AA94" s="208">
        <f>VLOOKUP(표9[[#This Row],[Team]],표1[],3,0)</f>
        <v>1000</v>
      </c>
    </row>
    <row r="95" spans="1:27" s="8" customFormat="1" ht="15">
      <c r="A95" s="214" t="str">
        <f>VLOOKUP($H95,AWS!$A:$H,2,0)</f>
        <v>AWS</v>
      </c>
      <c r="B95" s="214" t="str">
        <f>VLOOKUP($H95,AWS!$A:$H,3,0)</f>
        <v>KRAFTON HQ</v>
      </c>
      <c r="C95" s="209" t="str">
        <f>VLOOKUP($H95,AWS!$A:$H,4,0)</f>
        <v>SDS</v>
      </c>
      <c r="D95" s="214" t="str">
        <f>VLOOKUP($H95,AWS!$A:$H,5,0)</f>
        <v>Striking Distance Studios</v>
      </c>
      <c r="E95" s="214" t="str">
        <f>VLOOKUP($H95,AWS!$A:$H,6,0)</f>
        <v>The Callisto Protocol</v>
      </c>
      <c r="F95" s="202">
        <f>VLOOKUP(표9[[#This Row],[Team]],표1[[내역]:[코스트 센터]],2,0)</f>
        <v>100561</v>
      </c>
      <c r="G95" s="202" t="str">
        <f>VLOOKUP(표9[[#This Row],[Project]],표2[],2,0)</f>
        <v>P100010013</v>
      </c>
      <c r="H95" s="214" t="s">
        <v>121</v>
      </c>
      <c r="I95" s="214" t="str">
        <f>VLOOKUP($H95,AWS!$A:$H,8,0)</f>
        <v>Jordan Yerkes</v>
      </c>
      <c r="J95" s="214" t="str">
        <f>VLOOKUP($H95,AWS!$A:$H,8,0)</f>
        <v>Jordan Yerkes</v>
      </c>
      <c r="K95" s="187"/>
      <c r="L95" s="215">
        <v>550617</v>
      </c>
      <c r="M95" s="216">
        <v>524156</v>
      </c>
      <c r="N95" s="217">
        <v>587536</v>
      </c>
      <c r="O95" s="217">
        <v>347848</v>
      </c>
      <c r="P95" s="217"/>
      <c r="Q95" s="217"/>
      <c r="R95" s="217"/>
      <c r="S95" s="217">
        <v>0</v>
      </c>
      <c r="T95" s="212">
        <v>0</v>
      </c>
      <c r="U95" s="212">
        <v>0</v>
      </c>
      <c r="V95" s="205">
        <v>0</v>
      </c>
      <c r="W95" s="205">
        <f>ROUND(표9[[#This Row],[Apr 2026 (USD or KRW)]],0)</f>
        <v>0</v>
      </c>
      <c r="X95" s="212"/>
      <c r="Y95" s="206">
        <f>표9[[#This Row],[Apr 2027(KRW)]]-표9[[#This Row],[Mar 2026(KRW)]]</f>
        <v>0</v>
      </c>
      <c r="Z95" s="213" t="str">
        <f t="shared" si="1"/>
        <v/>
      </c>
      <c r="AA95" s="208">
        <f>VLOOKUP(표9[[#This Row],[Team]],표1[],3,0)</f>
        <v>1000</v>
      </c>
    </row>
    <row r="96" spans="1:27" s="8" customFormat="1" ht="15">
      <c r="A96" s="214" t="str">
        <f>VLOOKUP($H96,AWS!$A:$H,2,0)</f>
        <v>AWS</v>
      </c>
      <c r="B96" s="214" t="str">
        <f>VLOOKUP($H96,AWS!$A:$H,3,0)</f>
        <v>KRAFTON HQ</v>
      </c>
      <c r="C96" s="209" t="str">
        <f>VLOOKUP($H96,AWS!$A:$H,4,0)</f>
        <v>SDS</v>
      </c>
      <c r="D96" s="214" t="str">
        <f>VLOOKUP($H96,AWS!$A:$H,5,0)</f>
        <v>Striking Distance Studios</v>
      </c>
      <c r="E96" s="214" t="str">
        <f>VLOOKUP($H96,AWS!$A:$H,6,0)</f>
        <v>The Callisto Protocol</v>
      </c>
      <c r="F96" s="202">
        <f>VLOOKUP(표9[[#This Row],[Team]],표1[[내역]:[코스트 센터]],2,0)</f>
        <v>100561</v>
      </c>
      <c r="G96" s="202" t="str">
        <f>VLOOKUP(표9[[#This Row],[Project]],표2[],2,0)</f>
        <v>P100010013</v>
      </c>
      <c r="H96" s="214" t="s">
        <v>122</v>
      </c>
      <c r="I96" s="214" t="str">
        <f>VLOOKUP($H96,AWS!$A:$H,8,0)</f>
        <v>Jordan Yerkes</v>
      </c>
      <c r="J96" s="214" t="str">
        <f>VLOOKUP($H96,AWS!$A:$H,8,0)</f>
        <v>Jordan Yerkes</v>
      </c>
      <c r="K96" s="187"/>
      <c r="L96" s="215">
        <v>4841717</v>
      </c>
      <c r="M96" s="216">
        <v>4607294</v>
      </c>
      <c r="N96" s="217">
        <v>5439464</v>
      </c>
      <c r="O96" s="217">
        <v>1337526</v>
      </c>
      <c r="P96" s="217"/>
      <c r="Q96" s="217"/>
      <c r="R96" s="217"/>
      <c r="S96" s="217">
        <v>0</v>
      </c>
      <c r="T96" s="212">
        <v>0</v>
      </c>
      <c r="U96" s="212">
        <v>0</v>
      </c>
      <c r="V96" s="205">
        <v>0</v>
      </c>
      <c r="W96" s="205">
        <f>ROUND(표9[[#This Row],[Apr 2026 (USD or KRW)]],0)</f>
        <v>0</v>
      </c>
      <c r="X96" s="212"/>
      <c r="Y96" s="206">
        <f>표9[[#This Row],[Apr 2027(KRW)]]-표9[[#This Row],[Mar 2026(KRW)]]</f>
        <v>0</v>
      </c>
      <c r="Z96" s="213" t="str">
        <f t="shared" si="1"/>
        <v/>
      </c>
      <c r="AA96" s="208">
        <f>VLOOKUP(표9[[#This Row],[Team]],표1[],3,0)</f>
        <v>1000</v>
      </c>
    </row>
    <row r="97" spans="1:27" s="8" customFormat="1" ht="15">
      <c r="A97" s="214" t="str">
        <f>VLOOKUP($H97,AWS!$A:$H,2,0)</f>
        <v>AWS</v>
      </c>
      <c r="B97" s="214" t="str">
        <f>VLOOKUP($H97,AWS!$A:$H,3,0)</f>
        <v>KRAFTON HQ</v>
      </c>
      <c r="C97" s="209" t="str">
        <f>VLOOKUP($H97,AWS!$A:$H,4,0)</f>
        <v>SDS</v>
      </c>
      <c r="D97" s="214" t="str">
        <f>VLOOKUP($H97,AWS!$A:$H,5,0)</f>
        <v>Striking Distance Studios</v>
      </c>
      <c r="E97" s="214" t="str">
        <f>VLOOKUP($H97,AWS!$A:$H,6,0)</f>
        <v>The Callisto Protocol</v>
      </c>
      <c r="F97" s="202">
        <f>VLOOKUP(표9[[#This Row],[Team]],표1[[내역]:[코스트 센터]],2,0)</f>
        <v>100561</v>
      </c>
      <c r="G97" s="202" t="str">
        <f>VLOOKUP(표9[[#This Row],[Project]],표2[],2,0)</f>
        <v>P100010013</v>
      </c>
      <c r="H97" s="214" t="s">
        <v>123</v>
      </c>
      <c r="I97" s="214" t="str">
        <f>VLOOKUP($H97,AWS!$A:$H,8,0)</f>
        <v>Jordan Yerkes</v>
      </c>
      <c r="J97" s="214" t="str">
        <f>VLOOKUP($H97,AWS!$A:$H,8,0)</f>
        <v>Jordan Yerkes</v>
      </c>
      <c r="K97" s="187"/>
      <c r="L97" s="215">
        <v>12501</v>
      </c>
      <c r="M97" s="216">
        <v>5492</v>
      </c>
      <c r="N97" s="217">
        <v>5577</v>
      </c>
      <c r="O97" s="217">
        <v>3206</v>
      </c>
      <c r="P97" s="217"/>
      <c r="Q97" s="217"/>
      <c r="R97" s="217"/>
      <c r="S97" s="217">
        <v>0</v>
      </c>
      <c r="T97" s="212">
        <v>0</v>
      </c>
      <c r="U97" s="212">
        <v>0</v>
      </c>
      <c r="V97" s="205">
        <v>0</v>
      </c>
      <c r="W97" s="205">
        <f>ROUND(표9[[#This Row],[Apr 2026 (USD or KRW)]],0)</f>
        <v>0</v>
      </c>
      <c r="X97" s="212"/>
      <c r="Y97" s="206">
        <f>표9[[#This Row],[Apr 2027(KRW)]]-표9[[#This Row],[Mar 2026(KRW)]]</f>
        <v>0</v>
      </c>
      <c r="Z97" s="213" t="str">
        <f t="shared" si="1"/>
        <v/>
      </c>
      <c r="AA97" s="208">
        <f>VLOOKUP(표9[[#This Row],[Team]],표1[],3,0)</f>
        <v>1000</v>
      </c>
    </row>
    <row r="98" spans="1:27" s="8" customFormat="1" ht="15">
      <c r="A98" s="214" t="str">
        <f>VLOOKUP($H98,AWS!$A:$H,2,0)</f>
        <v>AWS</v>
      </c>
      <c r="B98" s="214" t="str">
        <f>VLOOKUP($H98,AWS!$A:$H,3,0)</f>
        <v>KRAFTON HQ</v>
      </c>
      <c r="C98" s="209" t="str">
        <f>VLOOKUP($H98,AWS!$A:$H,4,0)</f>
        <v>SDS</v>
      </c>
      <c r="D98" s="214" t="str">
        <f>VLOOKUP($H98,AWS!$A:$H,5,0)</f>
        <v>Striking Distance Studios</v>
      </c>
      <c r="E98" s="214" t="str">
        <f>VLOOKUP($H98,AWS!$A:$H,6,0)</f>
        <v>The Callisto Protocol</v>
      </c>
      <c r="F98" s="202">
        <f>VLOOKUP(표9[[#This Row],[Team]],표1[[내역]:[코스트 센터]],2,0)</f>
        <v>100561</v>
      </c>
      <c r="G98" s="202" t="str">
        <f>VLOOKUP(표9[[#This Row],[Project]],표2[],2,0)</f>
        <v>P100010013</v>
      </c>
      <c r="H98" s="214" t="s">
        <v>124</v>
      </c>
      <c r="I98" s="214" t="str">
        <f>VLOOKUP($H98,AWS!$A:$H,8,0)</f>
        <v>Jordan Yerkes</v>
      </c>
      <c r="J98" s="214" t="str">
        <f>VLOOKUP($H98,AWS!$A:$H,8,0)</f>
        <v>Jordan Yerkes</v>
      </c>
      <c r="K98" s="187"/>
      <c r="L98" s="215">
        <v>22913</v>
      </c>
      <c r="M98" s="216">
        <v>17208</v>
      </c>
      <c r="N98" s="217">
        <v>17469</v>
      </c>
      <c r="O98" s="217">
        <v>10288</v>
      </c>
      <c r="P98" s="217"/>
      <c r="Q98" s="217"/>
      <c r="R98" s="217"/>
      <c r="S98" s="217">
        <v>0</v>
      </c>
      <c r="T98" s="212">
        <v>0</v>
      </c>
      <c r="U98" s="212">
        <v>0</v>
      </c>
      <c r="V98" s="205">
        <v>0</v>
      </c>
      <c r="W98" s="205">
        <f>ROUND(표9[[#This Row],[Apr 2026 (USD or KRW)]],0)</f>
        <v>0</v>
      </c>
      <c r="X98" s="212"/>
      <c r="Y98" s="206">
        <f>표9[[#This Row],[Apr 2027(KRW)]]-표9[[#This Row],[Mar 2026(KRW)]]</f>
        <v>0</v>
      </c>
      <c r="Z98" s="213" t="str">
        <f t="shared" si="1"/>
        <v/>
      </c>
      <c r="AA98" s="208">
        <f>VLOOKUP(표9[[#This Row],[Team]],표1[],3,0)</f>
        <v>1000</v>
      </c>
    </row>
    <row r="99" spans="1:27" s="8" customFormat="1" ht="15">
      <c r="A99" s="214" t="str">
        <f>VLOOKUP($H99,AWS!$A:$H,2,0)</f>
        <v>AWS</v>
      </c>
      <c r="B99" s="214" t="str">
        <f>VLOOKUP($H99,AWS!$A:$H,3,0)</f>
        <v>KRAFTON HQ</v>
      </c>
      <c r="C99" s="209" t="str">
        <f>VLOOKUP($H99,AWS!$A:$H,4,0)</f>
        <v>Vector North</v>
      </c>
      <c r="D99" s="214" t="str">
        <f>VLOOKUP($H99,AWS!$A:$H,5,0)</f>
        <v>Vector North Unit</v>
      </c>
      <c r="E99" s="214" t="str">
        <f>VLOOKUP($H99,AWS!$A:$H,6,0)</f>
        <v>OVERHEAD/OTHERS</v>
      </c>
      <c r="F99" s="202">
        <f>VLOOKUP(표9[[#This Row],[Team]],표1[[내역]:[코스트 센터]],2,0)</f>
        <v>101214</v>
      </c>
      <c r="G99" s="202" t="str">
        <f>VLOOKUP(표9[[#This Row],[Project]],표2[],2,0)</f>
        <v>I100099999</v>
      </c>
      <c r="H99" s="214" t="s">
        <v>125</v>
      </c>
      <c r="I99" s="214" t="str">
        <f>VLOOKUP($H99,AWS!$A:$H,8,0)</f>
        <v>Petr Matoušek</v>
      </c>
      <c r="J99" s="214" t="str">
        <f>VLOOKUP($H99,AWS!$A:$H,8,0)</f>
        <v>Petr Matoušek</v>
      </c>
      <c r="K99" s="187"/>
      <c r="L99" s="215">
        <v>2615779</v>
      </c>
      <c r="M99" s="216">
        <v>3700931</v>
      </c>
      <c r="N99" s="217">
        <v>5504323</v>
      </c>
      <c r="O99" s="217">
        <v>5175438</v>
      </c>
      <c r="P99" s="217">
        <v>4171430</v>
      </c>
      <c r="Q99" s="217">
        <v>4336445</v>
      </c>
      <c r="R99" s="217">
        <v>3641808</v>
      </c>
      <c r="S99" s="217">
        <v>0</v>
      </c>
      <c r="T99" s="212">
        <v>0</v>
      </c>
      <c r="U99" s="212">
        <v>0</v>
      </c>
      <c r="V99" s="205">
        <v>0</v>
      </c>
      <c r="W99" s="205">
        <f>ROUND(표9[[#This Row],[Apr 2026 (USD or KRW)]],0)</f>
        <v>0</v>
      </c>
      <c r="X99" s="212"/>
      <c r="Y99" s="206">
        <f>표9[[#This Row],[Apr 2027(KRW)]]-표9[[#This Row],[Mar 2026(KRW)]]</f>
        <v>0</v>
      </c>
      <c r="Z99" s="213" t="str">
        <f t="shared" si="1"/>
        <v/>
      </c>
      <c r="AA99" s="208">
        <f>VLOOKUP(표9[[#This Row],[Team]],표1[],3,0)</f>
        <v>1000</v>
      </c>
    </row>
    <row r="100" spans="1:27" s="8" customFormat="1" ht="15">
      <c r="A100" s="209" t="str">
        <f>VLOOKUP($H100,AWS!$A:$H,2,0)</f>
        <v>AWS</v>
      </c>
      <c r="B100" s="209" t="str">
        <f>VLOOKUP($H100,AWS!$A:$H,3,0)</f>
        <v>OVERDARE</v>
      </c>
      <c r="C100" s="209" t="str">
        <f>VLOOKUP($H100,AWS!$A:$H,4,0)</f>
        <v>OVERDARE</v>
      </c>
      <c r="D100" s="214" t="str">
        <f>VLOOKUP($H100,AWS!$A:$H,5,0)</f>
        <v>OVDR Tech Div.</v>
      </c>
      <c r="E100" s="214" t="str">
        <f>VLOOKUP($H100,AWS!$A:$H,6,0)</f>
        <v>OVERHEAD/OTHERS</v>
      </c>
      <c r="F100" s="202">
        <f>VLOOKUP(표9[[#This Row],[Team]],표1[[내역]:[코스트 센터]],2,0)</f>
        <v>460121</v>
      </c>
      <c r="G100" s="202" t="str">
        <f>VLOOKUP(표9[[#This Row],[Project]],표2[],2,0)</f>
        <v>I100099999</v>
      </c>
      <c r="H100" s="209" t="s">
        <v>126</v>
      </c>
      <c r="I100" s="209" t="str">
        <f>VLOOKUP($H100,AWS!$A:$H,7,0)</f>
        <v>이상헌</v>
      </c>
      <c r="J100" s="214" t="str">
        <f>VLOOKUP($H100,AWS!$A:$H,8,0)</f>
        <v>이상헌</v>
      </c>
      <c r="K100" s="186"/>
      <c r="L100" s="210">
        <v>767744</v>
      </c>
      <c r="M100" s="211">
        <v>915459</v>
      </c>
      <c r="N100" s="212">
        <v>793575</v>
      </c>
      <c r="O100" s="212">
        <v>484858</v>
      </c>
      <c r="P100" s="212">
        <v>274589</v>
      </c>
      <c r="Q100" s="212">
        <v>288580</v>
      </c>
      <c r="R100" s="212">
        <v>301905</v>
      </c>
      <c r="S100" s="212">
        <v>300920</v>
      </c>
      <c r="T100" s="212">
        <v>260857</v>
      </c>
      <c r="U100" s="212">
        <v>313583</v>
      </c>
      <c r="V100" s="205">
        <v>256171</v>
      </c>
      <c r="W100" s="205">
        <f>ROUND(표9[[#This Row],[Apr 2026 (USD or KRW)]],0)</f>
        <v>0</v>
      </c>
      <c r="X100" s="212"/>
      <c r="Y100" s="206">
        <f>표9[[#This Row],[Apr 2027(KRW)]]-표9[[#This Row],[Mar 2026(KRW)]]</f>
        <v>-256171</v>
      </c>
      <c r="Z100" s="213">
        <f t="shared" si="1"/>
        <v>-1</v>
      </c>
      <c r="AA100" s="208">
        <f>VLOOKUP(표9[[#This Row],[Team]],표1[],3,0)</f>
        <v>4600</v>
      </c>
    </row>
    <row r="101" spans="1:27" s="8" customFormat="1" ht="15">
      <c r="A101" s="214" t="str">
        <f>VLOOKUP($H101,AWS!$A:$H,2,0)</f>
        <v>AWS</v>
      </c>
      <c r="B101" s="214" t="str">
        <f>VLOOKUP($H101,AWS!$A:$H,3,0)</f>
        <v>KRAFTON HQ</v>
      </c>
      <c r="C101" s="209" t="str">
        <f>VLOOKUP($H101,AWS!$A:$H,4,0)</f>
        <v>KRAFTON HQ</v>
      </c>
      <c r="D101" s="214" t="str">
        <f>VLOOKUP($H101,AWS!$A:$H,5,0)</f>
        <v>Experience Engineering Dept.</v>
      </c>
      <c r="E101" s="214" t="str">
        <f>VLOOKUP($H101,AWS!$A:$H,6,0)</f>
        <v>OVERHEAD/OTHERS</v>
      </c>
      <c r="F101" s="202">
        <f>VLOOKUP(표9[[#This Row],[Team]],표1[[내역]:[코스트 센터]],2,0)</f>
        <v>101752</v>
      </c>
      <c r="G101" s="202" t="str">
        <f>VLOOKUP(표9[[#This Row],[Project]],표2[],2,0)</f>
        <v>I100099999</v>
      </c>
      <c r="H101" s="214" t="s">
        <v>127</v>
      </c>
      <c r="I101" s="214" t="str">
        <f>VLOOKUP($H101,AWS!$A:$H,8,0)</f>
        <v>이준호</v>
      </c>
      <c r="J101" s="214" t="str">
        <f>VLOOKUP($H101,AWS!$A:$H,8,0)</f>
        <v>이준호</v>
      </c>
      <c r="K101" s="187" t="s">
        <v>29</v>
      </c>
      <c r="L101" s="215">
        <v>229280</v>
      </c>
      <c r="M101" s="216">
        <v>249887</v>
      </c>
      <c r="N101" s="217">
        <v>255701</v>
      </c>
      <c r="O101" s="217">
        <v>306663</v>
      </c>
      <c r="P101" s="217">
        <v>302458</v>
      </c>
      <c r="Q101" s="217">
        <v>429850</v>
      </c>
      <c r="R101" s="217">
        <v>825670</v>
      </c>
      <c r="S101" s="217">
        <v>833770</v>
      </c>
      <c r="T101" s="212">
        <v>1041636</v>
      </c>
      <c r="U101" s="212">
        <v>958086</v>
      </c>
      <c r="V101" s="205">
        <v>1522506</v>
      </c>
      <c r="W101" s="205">
        <f>ROUND(표9[[#This Row],[Apr 2026 (USD or KRW)]],0)</f>
        <v>0</v>
      </c>
      <c r="X101" s="212"/>
      <c r="Y101" s="206">
        <f>표9[[#This Row],[Apr 2027(KRW)]]-표9[[#This Row],[Mar 2026(KRW)]]</f>
        <v>-1522506</v>
      </c>
      <c r="Z101" s="213">
        <f t="shared" si="1"/>
        <v>-1</v>
      </c>
      <c r="AA101" s="208">
        <f>VLOOKUP(표9[[#This Row],[Team]],표1[],3,0)</f>
        <v>1000</v>
      </c>
    </row>
    <row r="102" spans="1:27" s="8" customFormat="1" ht="15">
      <c r="A102" s="214" t="str">
        <f>VLOOKUP($H102,AWS!$A:$H,2,0)</f>
        <v>AWS</v>
      </c>
      <c r="B102" s="214" t="str">
        <f>VLOOKUP($H102,AWS!$A:$H,3,0)</f>
        <v>KRAFTON HQ</v>
      </c>
      <c r="C102" s="209" t="str">
        <f>VLOOKUP($H102,AWS!$A:$H,4,0)</f>
        <v>PUBG NewState</v>
      </c>
      <c r="D102" s="214" t="str">
        <f>VLOOKUP($H102,AWS!$A:$H,5,0)</f>
        <v>Game Security Engineering Dept.</v>
      </c>
      <c r="E102" s="214" t="str">
        <f>VLOOKUP($H102,AWS!$A:$H,6,0)</f>
        <v>PUBG:NEW STATE</v>
      </c>
      <c r="F102" s="202">
        <f>VLOOKUP(표9[[#This Row],[Team]],표1[[내역]:[코스트 센터]],2,0)</f>
        <v>100415</v>
      </c>
      <c r="G102" s="202" t="str">
        <f>VLOOKUP(표9[[#This Row],[Project]],표2[],2,0)</f>
        <v>P100030014</v>
      </c>
      <c r="H102" s="214" t="s">
        <v>128</v>
      </c>
      <c r="I102" s="214" t="str">
        <f>VLOOKUP($H102,AWS!$A:$H,8,0)</f>
        <v>황범석</v>
      </c>
      <c r="J102" s="214" t="str">
        <f>VLOOKUP($H102,AWS!$A:$H,8,0)</f>
        <v>황범석</v>
      </c>
      <c r="K102" s="187" t="s">
        <v>29</v>
      </c>
      <c r="L102" s="215">
        <v>4269656</v>
      </c>
      <c r="M102" s="216">
        <v>3055422</v>
      </c>
      <c r="N102" s="217">
        <v>3254070</v>
      </c>
      <c r="O102" s="217">
        <v>3298955</v>
      </c>
      <c r="P102" s="217">
        <v>3302867</v>
      </c>
      <c r="Q102" s="217">
        <v>3632461</v>
      </c>
      <c r="R102" s="217">
        <v>3635911</v>
      </c>
      <c r="S102" s="217">
        <v>3717988</v>
      </c>
      <c r="T102" s="212">
        <v>3517276</v>
      </c>
      <c r="U102" s="212">
        <v>2914815</v>
      </c>
      <c r="V102" s="205">
        <v>3390523</v>
      </c>
      <c r="W102" s="205">
        <f>ROUND(표9[[#This Row],[Apr 2026 (USD or KRW)]],0)</f>
        <v>0</v>
      </c>
      <c r="X102" s="212"/>
      <c r="Y102" s="206">
        <f>표9[[#This Row],[Apr 2027(KRW)]]-표9[[#This Row],[Mar 2026(KRW)]]</f>
        <v>-3390523</v>
      </c>
      <c r="Z102" s="213">
        <f t="shared" si="1"/>
        <v>-1</v>
      </c>
      <c r="AA102" s="208">
        <f>VLOOKUP(표9[[#This Row],[Team]],표1[],3,0)</f>
        <v>1000</v>
      </c>
    </row>
    <row r="103" spans="1:27" s="8" customFormat="1" ht="15">
      <c r="A103" s="214" t="str">
        <f>VLOOKUP($H103,AWS!$A:$H,2,0)</f>
        <v>AWS</v>
      </c>
      <c r="B103" s="214" t="str">
        <f>VLOOKUP($H103,AWS!$A:$H,3,0)</f>
        <v>KRAFTON HQ</v>
      </c>
      <c r="C103" s="209" t="str">
        <f>VLOOKUP($H103,AWS!$A:$H,4,0)</f>
        <v>PUBG NewState</v>
      </c>
      <c r="D103" s="214" t="str">
        <f>VLOOKUP($H103,AWS!$A:$H,5,0)</f>
        <v>Game Security Engineering Dept.</v>
      </c>
      <c r="E103" s="214" t="str">
        <f>VLOOKUP($H103,AWS!$A:$H,6,0)</f>
        <v>PUBG:NEW STATE</v>
      </c>
      <c r="F103" s="202">
        <f>VLOOKUP(표9[[#This Row],[Team]],표1[[내역]:[코스트 센터]],2,0)</f>
        <v>100415</v>
      </c>
      <c r="G103" s="202" t="str">
        <f>VLOOKUP(표9[[#This Row],[Project]],표2[],2,0)</f>
        <v>P100030014</v>
      </c>
      <c r="H103" s="214" t="s">
        <v>129</v>
      </c>
      <c r="I103" s="214" t="str">
        <f>VLOOKUP($H103,AWS!$A:$H,8,0)</f>
        <v>김태완</v>
      </c>
      <c r="J103" s="214" t="str">
        <f>VLOOKUP($H103,AWS!$A:$H,8,0)</f>
        <v>김태완</v>
      </c>
      <c r="K103" s="187" t="s">
        <v>29</v>
      </c>
      <c r="L103" s="215">
        <v>93964046</v>
      </c>
      <c r="M103" s="216">
        <v>85333927</v>
      </c>
      <c r="N103" s="217">
        <v>87506340</v>
      </c>
      <c r="O103" s="217">
        <v>84264551</v>
      </c>
      <c r="P103" s="217">
        <v>78480152</v>
      </c>
      <c r="Q103" s="217">
        <v>86498395</v>
      </c>
      <c r="R103" s="217">
        <v>87110704</v>
      </c>
      <c r="S103" s="217">
        <v>88224716</v>
      </c>
      <c r="T103" s="212">
        <v>80565952</v>
      </c>
      <c r="U103" s="212">
        <v>66805185</v>
      </c>
      <c r="V103" s="205">
        <v>75756923</v>
      </c>
      <c r="W103" s="205">
        <f>ROUND(표9[[#This Row],[Apr 2026 (USD or KRW)]],0)</f>
        <v>0</v>
      </c>
      <c r="X103" s="212"/>
      <c r="Y103" s="206">
        <f>표9[[#This Row],[Apr 2027(KRW)]]-표9[[#This Row],[Mar 2026(KRW)]]</f>
        <v>-75756923</v>
      </c>
      <c r="Z103" s="213">
        <f t="shared" si="1"/>
        <v>-1</v>
      </c>
      <c r="AA103" s="208">
        <f>VLOOKUP(표9[[#This Row],[Team]],표1[],3,0)</f>
        <v>1000</v>
      </c>
    </row>
    <row r="104" spans="1:27" s="8" customFormat="1" ht="15">
      <c r="A104" s="214" t="str">
        <f>VLOOKUP($H104,AWS!$A:$H,2,0)</f>
        <v>AWS</v>
      </c>
      <c r="B104" s="214" t="str">
        <f>VLOOKUP($H104,AWS!$A:$H,3,0)</f>
        <v>KRAFTON HQ</v>
      </c>
      <c r="C104" s="209" t="str">
        <f>VLOOKUP($H104,AWS!$A:$H,4,0)</f>
        <v>PUBG NewState</v>
      </c>
      <c r="D104" s="214" t="str">
        <f>VLOOKUP($H104,AWS!$A:$H,5,0)</f>
        <v>PUBG PC&amp;Console Dev Div.</v>
      </c>
      <c r="E104" s="214" t="str">
        <f>VLOOKUP($H104,AWS!$A:$H,6,0)</f>
        <v>PUBG:NEW STATE</v>
      </c>
      <c r="F104" s="202">
        <f>VLOOKUP(표9[[#This Row],[Team]],표1[[내역]:[코스트 센터]],2,0)</f>
        <v>100414</v>
      </c>
      <c r="G104" s="202" t="str">
        <f>VLOOKUP(표9[[#This Row],[Project]],표2[],2,0)</f>
        <v>P100030014</v>
      </c>
      <c r="H104" s="214" t="s">
        <v>130</v>
      </c>
      <c r="I104" s="214" t="str">
        <f>VLOOKUP($H104,AWS!$A:$H,8,0)</f>
        <v>김태완</v>
      </c>
      <c r="J104" s="214" t="str">
        <f>VLOOKUP($H104,AWS!$A:$H,8,0)</f>
        <v>김태완</v>
      </c>
      <c r="K104" s="187" t="s">
        <v>29</v>
      </c>
      <c r="L104" s="215">
        <v>5531667</v>
      </c>
      <c r="M104" s="216">
        <v>5268829</v>
      </c>
      <c r="N104" s="217">
        <v>5492735</v>
      </c>
      <c r="O104" s="217">
        <v>5415507</v>
      </c>
      <c r="P104" s="217">
        <v>5403269</v>
      </c>
      <c r="Q104" s="217">
        <v>5534176</v>
      </c>
      <c r="R104" s="217">
        <v>5177185</v>
      </c>
      <c r="S104" s="217">
        <v>5347055</v>
      </c>
      <c r="T104" s="212">
        <v>4934684</v>
      </c>
      <c r="U104" s="212">
        <v>4192813</v>
      </c>
      <c r="V104" s="205">
        <v>4868550</v>
      </c>
      <c r="W104" s="205">
        <f>ROUND(표9[[#This Row],[Apr 2026 (USD or KRW)]],0)</f>
        <v>0</v>
      </c>
      <c r="X104" s="212"/>
      <c r="Y104" s="206">
        <f>표9[[#This Row],[Apr 2027(KRW)]]-표9[[#This Row],[Mar 2026(KRW)]]</f>
        <v>-4868550</v>
      </c>
      <c r="Z104" s="213">
        <f t="shared" si="1"/>
        <v>-1</v>
      </c>
      <c r="AA104" s="208">
        <f>VLOOKUP(표9[[#This Row],[Team]],표1[],3,0)</f>
        <v>1000</v>
      </c>
    </row>
    <row r="105" spans="1:27" s="8" customFormat="1" ht="15">
      <c r="A105" s="214" t="str">
        <f>VLOOKUP($H105,AWS!$A:$H,2,0)</f>
        <v>AWS</v>
      </c>
      <c r="B105" s="214" t="str">
        <f>VLOOKUP($H105,AWS!$A:$H,3,0)</f>
        <v>KRAFTON HQ</v>
      </c>
      <c r="C105" s="209" t="str">
        <f>VLOOKUP($H105,AWS!$A:$H,4,0)</f>
        <v>KRAFTON HQ</v>
      </c>
      <c r="D105" s="214" t="str">
        <f>VLOOKUP($H105,AWS!$A:$H,5,0)</f>
        <v>Service DevOps Team</v>
      </c>
      <c r="E105" s="214" t="str">
        <f>VLOOKUP($H105,AWS!$A:$H,6,0)</f>
        <v>PUBG:NEW STATE</v>
      </c>
      <c r="F105" s="202">
        <f>VLOOKUP(표9[[#This Row],[Team]],표1[[내역]:[코스트 센터]],2,0)</f>
        <v>100033</v>
      </c>
      <c r="G105" s="202" t="str">
        <f>VLOOKUP(표9[[#This Row],[Project]],표2[],2,0)</f>
        <v>P100030014</v>
      </c>
      <c r="H105" s="214" t="s">
        <v>131</v>
      </c>
      <c r="I105" s="214" t="str">
        <f>VLOOKUP($H105,AWS!$A:$H,8,0)</f>
        <v>엄기성</v>
      </c>
      <c r="J105" s="214" t="str">
        <f>VLOOKUP($H105,AWS!$A:$H,8,0)</f>
        <v>엄기성</v>
      </c>
      <c r="K105" s="187"/>
      <c r="L105" s="215">
        <v>5859217</v>
      </c>
      <c r="M105" s="216">
        <v>5689202</v>
      </c>
      <c r="N105" s="217">
        <v>5895626</v>
      </c>
      <c r="O105" s="217">
        <v>5930898</v>
      </c>
      <c r="P105" s="217">
        <v>5927748</v>
      </c>
      <c r="Q105" s="217">
        <v>6203050</v>
      </c>
      <c r="R105" s="217">
        <v>6198761</v>
      </c>
      <c r="S105" s="217">
        <v>5919275</v>
      </c>
      <c r="T105" s="212">
        <v>5607735</v>
      </c>
      <c r="U105" s="212">
        <v>5310712</v>
      </c>
      <c r="V105" s="205">
        <v>6233031</v>
      </c>
      <c r="W105" s="205">
        <f>ROUND(표9[[#This Row],[Apr 2026 (USD or KRW)]],0)</f>
        <v>0</v>
      </c>
      <c r="X105" s="212"/>
      <c r="Y105" s="206">
        <f>표9[[#This Row],[Apr 2027(KRW)]]-표9[[#This Row],[Mar 2026(KRW)]]</f>
        <v>-6233031</v>
      </c>
      <c r="Z105" s="213">
        <f t="shared" si="1"/>
        <v>-1</v>
      </c>
      <c r="AA105" s="208">
        <f>VLOOKUP(표9[[#This Row],[Team]],표1[],3,0)</f>
        <v>1000</v>
      </c>
    </row>
    <row r="106" spans="1:27" s="8" customFormat="1" ht="15">
      <c r="A106" s="214" t="str">
        <f>VLOOKUP($H106,AWS!$A:$H,2,0)</f>
        <v>AWS</v>
      </c>
      <c r="B106" s="214" t="str">
        <f>VLOOKUP($H106,AWS!$A:$H,3,0)</f>
        <v>KRAFTON HQ</v>
      </c>
      <c r="C106" s="209" t="str">
        <f>VLOOKUP($H106,AWS!$A:$H,4,0)</f>
        <v>Ludo</v>
      </c>
      <c r="D106" s="214" t="str">
        <f>VLOOKUP($H106,AWS!$A:$H,5,0)</f>
        <v>Ludo Research &amp; Development Div.</v>
      </c>
      <c r="E106" s="214" t="str">
        <f>VLOOKUP($H106,AWS!$A:$H,6,0)</f>
        <v>OVERHEAD/OTHERS</v>
      </c>
      <c r="F106" s="202">
        <f>VLOOKUP(표9[[#This Row],[Team]],표1[[내역]:[코스트 센터]],2,0)</f>
        <v>600002</v>
      </c>
      <c r="G106" s="202" t="str">
        <f>VLOOKUP(표9[[#This Row],[Project]],표2[],2,0)</f>
        <v>I100099999</v>
      </c>
      <c r="H106" s="214" t="s">
        <v>132</v>
      </c>
      <c r="I106" s="214" t="str">
        <f>VLOOKUP($H106,AWS!$A:$H,8,0)</f>
        <v>정우성</v>
      </c>
      <c r="J106" s="214" t="str">
        <f>VLOOKUP($H106,AWS!$A:$H,8,0)</f>
        <v>정우성</v>
      </c>
      <c r="K106" s="188" t="s">
        <v>29</v>
      </c>
      <c r="L106" s="210"/>
      <c r="M106" s="211"/>
      <c r="N106" s="212"/>
      <c r="O106" s="212"/>
      <c r="P106" s="212"/>
      <c r="Q106" s="212"/>
      <c r="R106" s="212"/>
      <c r="S106" s="212"/>
      <c r="T106" s="212"/>
      <c r="U106" s="212">
        <v>23171</v>
      </c>
      <c r="V106" s="205">
        <v>36913</v>
      </c>
      <c r="W106" s="205">
        <f>ROUND(표9[[#This Row],[Apr 2026 (USD or KRW)]],0)</f>
        <v>0</v>
      </c>
      <c r="X106" s="212"/>
      <c r="Y106" s="206">
        <f>표9[[#This Row],[Apr 2027(KRW)]]-표9[[#This Row],[Mar 2026(KRW)]]</f>
        <v>-36913</v>
      </c>
      <c r="Z106" s="213">
        <f t="shared" si="1"/>
        <v>-1</v>
      </c>
      <c r="AA106" s="208">
        <f>VLOOKUP(표9[[#This Row],[Team]],표1[],3,0)</f>
        <v>6000</v>
      </c>
    </row>
    <row r="107" spans="1:27" s="8" customFormat="1" ht="15">
      <c r="A107" s="214" t="str">
        <f>VLOOKUP($H107,AWS!$A:$H,2,0)</f>
        <v>AWS</v>
      </c>
      <c r="B107" s="214" t="str">
        <f>VLOOKUP($H107,AWS!$A:$H,3,0)</f>
        <v>KRAFTON HQ</v>
      </c>
      <c r="C107" s="209" t="str">
        <f>VLOOKUP($H107,AWS!$A:$H,4,0)</f>
        <v>KRAFTON HQ</v>
      </c>
      <c r="D107" s="214" t="str">
        <f>VLOOKUP($H107,AWS!$A:$H,5,0)</f>
        <v>AI Transformation Team</v>
      </c>
      <c r="E107" s="214" t="str">
        <f>VLOOKUP($H107,AWS!$A:$H,6,0)</f>
        <v>OVERHEAD/OTHERS</v>
      </c>
      <c r="F107" s="202">
        <f>VLOOKUP(표9[[#This Row],[Team]],표1[[내역]:[코스트 센터]],2,0)</f>
        <v>101651</v>
      </c>
      <c r="G107" s="202" t="str">
        <f>VLOOKUP(표9[[#This Row],[Project]],표2[],2,0)</f>
        <v>I100099999</v>
      </c>
      <c r="H107" s="214" t="s">
        <v>133</v>
      </c>
      <c r="I107" s="214" t="str">
        <f>VLOOKUP($H107,AWS!$A:$H,8,0)</f>
        <v>이재준</v>
      </c>
      <c r="J107" s="214" t="str">
        <f>VLOOKUP($H107,AWS!$A:$H,8,0)</f>
        <v>이재준</v>
      </c>
      <c r="K107" s="187" t="s">
        <v>29</v>
      </c>
      <c r="L107" s="215"/>
      <c r="M107" s="216"/>
      <c r="N107" s="217"/>
      <c r="O107" s="217"/>
      <c r="P107" s="217">
        <v>10874</v>
      </c>
      <c r="Q107" s="217">
        <v>4464</v>
      </c>
      <c r="R107" s="217">
        <v>11827</v>
      </c>
      <c r="S107" s="217">
        <v>10514</v>
      </c>
      <c r="T107" s="212">
        <v>12515</v>
      </c>
      <c r="U107" s="212">
        <v>10708</v>
      </c>
      <c r="V107" s="205">
        <v>9409</v>
      </c>
      <c r="W107" s="205">
        <f>ROUND(표9[[#This Row],[Apr 2026 (USD or KRW)]],0)</f>
        <v>0</v>
      </c>
      <c r="X107" s="212"/>
      <c r="Y107" s="206">
        <f>표9[[#This Row],[Apr 2027(KRW)]]-표9[[#This Row],[Mar 2026(KRW)]]</f>
        <v>-9409</v>
      </c>
      <c r="Z107" s="213">
        <f t="shared" si="1"/>
        <v>-1</v>
      </c>
      <c r="AA107" s="208">
        <f>VLOOKUP(표9[[#This Row],[Team]],표1[],3,0)</f>
        <v>1000</v>
      </c>
    </row>
    <row r="108" spans="1:27" s="8" customFormat="1" ht="15">
      <c r="A108" s="214" t="str">
        <f>VLOOKUP($H108,AWS!$A:$H,2,0)</f>
        <v>AWS</v>
      </c>
      <c r="B108" s="214" t="str">
        <f>VLOOKUP($H108,AWS!$A:$H,3,0)</f>
        <v>KRAFTON HQ</v>
      </c>
      <c r="C108" s="209" t="str">
        <f>VLOOKUP($H108,AWS!$A:$H,4,0)</f>
        <v>KRAFTON HQ</v>
      </c>
      <c r="D108" s="214" t="str">
        <f>VLOOKUP($H108,AWS!$A:$H,5,0)</f>
        <v>AI Transformation Team</v>
      </c>
      <c r="E108" s="214" t="str">
        <f>VLOOKUP($H108,AWS!$A:$H,6,0)</f>
        <v>OVERHEAD/OTHERS</v>
      </c>
      <c r="F108" s="202">
        <f>VLOOKUP(표9[[#This Row],[Team]],표1[[내역]:[코스트 센터]],2,0)</f>
        <v>101651</v>
      </c>
      <c r="G108" s="202" t="str">
        <f>VLOOKUP(표9[[#This Row],[Project]],표2[],2,0)</f>
        <v>I100099999</v>
      </c>
      <c r="H108" s="214" t="s">
        <v>134</v>
      </c>
      <c r="I108" s="214" t="str">
        <f>VLOOKUP($H108,AWS!$A:$H,8,0)</f>
        <v>이재준</v>
      </c>
      <c r="J108" s="214" t="str">
        <f>VLOOKUP($H108,AWS!$A:$H,8,0)</f>
        <v>이재준</v>
      </c>
      <c r="K108" s="187" t="s">
        <v>29</v>
      </c>
      <c r="L108" s="215"/>
      <c r="M108" s="216"/>
      <c r="N108" s="217"/>
      <c r="O108" s="217"/>
      <c r="P108" s="217">
        <v>11</v>
      </c>
      <c r="Q108" s="217">
        <v>78260</v>
      </c>
      <c r="R108" s="217">
        <v>489850</v>
      </c>
      <c r="S108" s="217">
        <v>652432</v>
      </c>
      <c r="T108" s="212">
        <v>794937</v>
      </c>
      <c r="U108" s="212">
        <v>1067071</v>
      </c>
      <c r="V108" s="205">
        <v>2906608</v>
      </c>
      <c r="W108" s="205">
        <f>ROUND(표9[[#This Row],[Apr 2026 (USD or KRW)]],0)</f>
        <v>0</v>
      </c>
      <c r="X108" s="212"/>
      <c r="Y108" s="206">
        <f>표9[[#This Row],[Apr 2027(KRW)]]-표9[[#This Row],[Mar 2026(KRW)]]</f>
        <v>-2906608</v>
      </c>
      <c r="Z108" s="213">
        <f t="shared" si="1"/>
        <v>-1</v>
      </c>
      <c r="AA108" s="208">
        <f>VLOOKUP(표9[[#This Row],[Team]],표1[],3,0)</f>
        <v>1000</v>
      </c>
    </row>
    <row r="109" spans="1:27" s="8" customFormat="1" ht="15">
      <c r="A109" s="214" t="str">
        <f>VLOOKUP($H109,AWS!$A:$H,2,0)</f>
        <v>AWS</v>
      </c>
      <c r="B109" s="214" t="str">
        <f>VLOOKUP($H109,AWS!$A:$H,3,0)</f>
        <v>KRAFTON HQ</v>
      </c>
      <c r="C109" s="209" t="str">
        <f>VLOOKUP($H109,AWS!$A:$H,4,0)</f>
        <v>KRAFTON HQ</v>
      </c>
      <c r="D109" s="214" t="str">
        <f>VLOOKUP($H109,AWS!$A:$H,5,0)</f>
        <v>Game Security Engineering Dept.</v>
      </c>
      <c r="E109" s="214" t="str">
        <f>VLOOKUP($H109,AWS!$A:$H,6,0)</f>
        <v>OVERHEAD/OTHERS</v>
      </c>
      <c r="F109" s="202">
        <f>VLOOKUP(표9[[#This Row],[Team]],표1[[내역]:[코스트 센터]],2,0)</f>
        <v>100415</v>
      </c>
      <c r="G109" s="202" t="str">
        <f>VLOOKUP(표9[[#This Row],[Project]],표2[],2,0)</f>
        <v>I100099999</v>
      </c>
      <c r="H109" s="214" t="s">
        <v>135</v>
      </c>
      <c r="I109" s="214" t="str">
        <f>VLOOKUP($H109,AWS!$A:$H,8,0)</f>
        <v>황범석</v>
      </c>
      <c r="J109" s="214" t="str">
        <f>VLOOKUP($H109,AWS!$A:$H,8,0)</f>
        <v>황범석</v>
      </c>
      <c r="K109" s="187" t="s">
        <v>29</v>
      </c>
      <c r="L109" s="215">
        <v>2214667</v>
      </c>
      <c r="M109" s="216">
        <v>3361773</v>
      </c>
      <c r="N109" s="217">
        <v>3631588</v>
      </c>
      <c r="O109" s="217">
        <v>4299778</v>
      </c>
      <c r="P109" s="217">
        <v>4205431</v>
      </c>
      <c r="Q109" s="217">
        <v>4632646</v>
      </c>
      <c r="R109" s="217">
        <v>4546730</v>
      </c>
      <c r="S109" s="217">
        <v>4683676</v>
      </c>
      <c r="T109" s="212">
        <v>4331868</v>
      </c>
      <c r="U109" s="212">
        <v>3746835</v>
      </c>
      <c r="V109" s="205">
        <v>4128782</v>
      </c>
      <c r="W109" s="205">
        <f>ROUND(표9[[#This Row],[Apr 2026 (USD or KRW)]],0)</f>
        <v>0</v>
      </c>
      <c r="X109" s="212"/>
      <c r="Y109" s="206">
        <f>표9[[#This Row],[Apr 2027(KRW)]]-표9[[#This Row],[Mar 2026(KRW)]]</f>
        <v>-4128782</v>
      </c>
      <c r="Z109" s="213">
        <f t="shared" si="1"/>
        <v>-1</v>
      </c>
      <c r="AA109" s="208">
        <f>VLOOKUP(표9[[#This Row],[Team]],표1[],3,0)</f>
        <v>1000</v>
      </c>
    </row>
    <row r="110" spans="1:27" s="8" customFormat="1" ht="15">
      <c r="A110" s="214" t="str">
        <f>VLOOKUP($H110,AWS!$A:$H,2,0)</f>
        <v>AWS</v>
      </c>
      <c r="B110" s="214" t="str">
        <f>VLOOKUP($H110,AWS!$A:$H,3,0)</f>
        <v>KRAFTON HQ</v>
      </c>
      <c r="C110" s="209" t="str">
        <f>VLOOKUP($H110,AWS!$A:$H,4,0)</f>
        <v>KRAFTON HQ</v>
      </c>
      <c r="D110" s="214" t="str">
        <f>VLOOKUP($H110,AWS!$A:$H,5,0)</f>
        <v>Publishing Tech PM Part</v>
      </c>
      <c r="E110" s="214" t="str">
        <f>VLOOKUP($H110,AWS!$A:$H,6,0)</f>
        <v>OVERHEAD/OTHERS</v>
      </c>
      <c r="F110" s="202">
        <f>VLOOKUP(표9[[#This Row],[Team]],표1[[내역]:[코스트 센터]],2,0)</f>
        <v>101269</v>
      </c>
      <c r="G110" s="202" t="str">
        <f>VLOOKUP(표9[[#This Row],[Project]],표2[],2,0)</f>
        <v>I100099999</v>
      </c>
      <c r="H110" s="214" t="s">
        <v>136</v>
      </c>
      <c r="I110" s="214" t="str">
        <f>VLOOKUP($H110,AWS!$A:$H,8,0)</f>
        <v>김정언</v>
      </c>
      <c r="J110" s="214" t="str">
        <f>VLOOKUP($H110,AWS!$A:$H,8,0)</f>
        <v>김정언</v>
      </c>
      <c r="K110" s="187" t="s">
        <v>29</v>
      </c>
      <c r="L110" s="215">
        <v>279302</v>
      </c>
      <c r="M110" s="216">
        <v>165836</v>
      </c>
      <c r="N110" s="217">
        <v>194339</v>
      </c>
      <c r="O110" s="217">
        <v>199411</v>
      </c>
      <c r="P110" s="217">
        <v>935224</v>
      </c>
      <c r="Q110" s="217">
        <v>90222</v>
      </c>
      <c r="R110" s="217">
        <v>54626</v>
      </c>
      <c r="S110" s="217">
        <v>102737</v>
      </c>
      <c r="T110" s="212">
        <v>50291</v>
      </c>
      <c r="U110" s="212">
        <v>39483</v>
      </c>
      <c r="V110" s="205">
        <v>38632</v>
      </c>
      <c r="W110" s="205">
        <f>ROUND(표9[[#This Row],[Apr 2026 (USD or KRW)]],0)</f>
        <v>0</v>
      </c>
      <c r="X110" s="212"/>
      <c r="Y110" s="206">
        <f>표9[[#This Row],[Apr 2027(KRW)]]-표9[[#This Row],[Mar 2026(KRW)]]</f>
        <v>-38632</v>
      </c>
      <c r="Z110" s="213">
        <f t="shared" si="1"/>
        <v>-1</v>
      </c>
      <c r="AA110" s="208">
        <f>VLOOKUP(표9[[#This Row],[Team]],표1[],3,0)</f>
        <v>1000</v>
      </c>
    </row>
    <row r="111" spans="1:27" s="8" customFormat="1" ht="15">
      <c r="A111" s="209" t="str">
        <f>VLOOKUP($H111,AWS!$A:$H,2,0)</f>
        <v>AWS</v>
      </c>
      <c r="B111" s="209" t="str">
        <f>VLOOKUP($H111,AWS!$A:$H,3,0)</f>
        <v>KRAFTON HQ</v>
      </c>
      <c r="C111" s="209" t="str">
        <f>VLOOKUP($H111,AWS!$A:$H,4,0)</f>
        <v>KRAFTON HQ</v>
      </c>
      <c r="D111" s="214" t="str">
        <f>VLOOKUP($H111,AWS!$A:$H,5,0)</f>
        <v>Asset Library Part</v>
      </c>
      <c r="E111" s="214" t="str">
        <f>VLOOKUP($H111,AWS!$A:$H,6,0)</f>
        <v>OVERHEAD/OTHERS</v>
      </c>
      <c r="F111" s="202">
        <f>VLOOKUP(표9[[#This Row],[Team]],표1[[내역]:[코스트 센터]],2,0)</f>
        <v>101671</v>
      </c>
      <c r="G111" s="202" t="str">
        <f>VLOOKUP(표9[[#This Row],[Project]],표2[],2,0)</f>
        <v>I100099999</v>
      </c>
      <c r="H111" s="209" t="s">
        <v>137</v>
      </c>
      <c r="I111" s="219" t="str">
        <f>VLOOKUP($H111,AWS!$A:$H,8,0)</f>
        <v>박수진</v>
      </c>
      <c r="J111" s="214" t="str">
        <f>VLOOKUP($H111,AWS!$A:$H,8,0)</f>
        <v>박수진</v>
      </c>
      <c r="K111" s="186"/>
      <c r="L111" s="210"/>
      <c r="M111" s="211"/>
      <c r="N111" s="212"/>
      <c r="O111" s="212"/>
      <c r="P111" s="212"/>
      <c r="Q111" s="212"/>
      <c r="R111" s="212"/>
      <c r="S111" s="212"/>
      <c r="T111" s="212">
        <v>115867</v>
      </c>
      <c r="U111" s="212">
        <v>336409</v>
      </c>
      <c r="V111" s="205">
        <v>453303</v>
      </c>
      <c r="W111" s="205">
        <f>ROUND(표9[[#This Row],[Apr 2026 (USD or KRW)]],0)</f>
        <v>0</v>
      </c>
      <c r="X111" s="212"/>
      <c r="Y111" s="206">
        <f>표9[[#This Row],[Apr 2027(KRW)]]-표9[[#This Row],[Mar 2026(KRW)]]</f>
        <v>-453303</v>
      </c>
      <c r="Z111" s="213">
        <f t="shared" si="1"/>
        <v>-1</v>
      </c>
      <c r="AA111" s="208">
        <f>VLOOKUP(표9[[#This Row],[Team]],표1[],3,0)</f>
        <v>1000</v>
      </c>
    </row>
    <row r="112" spans="1:27" s="8" customFormat="1" ht="15">
      <c r="A112" s="214" t="str">
        <f>VLOOKUP($H112,AWS!$A:$H,2,0)</f>
        <v>AWS</v>
      </c>
      <c r="B112" s="214" t="str">
        <f>VLOOKUP($H112,AWS!$A:$H,3,0)</f>
        <v>KRAFTON HQ</v>
      </c>
      <c r="C112" s="209" t="str">
        <f>VLOOKUP($H112,AWS!$A:$H,4,0)</f>
        <v>KRAFTON HQ</v>
      </c>
      <c r="D112" s="214" t="str">
        <f>VLOOKUP($H112,AWS!$A:$H,5,0)</f>
        <v>Camp Dept.</v>
      </c>
      <c r="E112" s="214" t="str">
        <f>VLOOKUP($H112,AWS!$A:$H,6,0)</f>
        <v>OVERHEAD/OTHERS</v>
      </c>
      <c r="F112" s="202">
        <f>VLOOKUP(표9[[#This Row],[Team]],표1[[내역]:[코스트 센터]],2,0)</f>
        <v>105019</v>
      </c>
      <c r="G112" s="202" t="str">
        <f>VLOOKUP(표9[[#This Row],[Project]],표2[],2,0)</f>
        <v>I100099999</v>
      </c>
      <c r="H112" s="214" t="s">
        <v>138</v>
      </c>
      <c r="I112" s="214" t="str">
        <f>VLOOKUP($H112,AWS!$A:$H,8,0)</f>
        <v>이태형</v>
      </c>
      <c r="J112" s="214" t="str">
        <f>VLOOKUP($H112,AWS!$A:$H,8,0)</f>
        <v>이태형</v>
      </c>
      <c r="K112" s="187" t="s">
        <v>29</v>
      </c>
      <c r="L112" s="215"/>
      <c r="M112" s="216"/>
      <c r="N112" s="217"/>
      <c r="O112" s="217"/>
      <c r="P112" s="217"/>
      <c r="Q112" s="217"/>
      <c r="R112" s="217">
        <v>13381</v>
      </c>
      <c r="S112" s="217">
        <v>144695</v>
      </c>
      <c r="T112" s="212">
        <v>12158</v>
      </c>
      <c r="U112" s="212">
        <v>11549</v>
      </c>
      <c r="V112" s="205">
        <v>8449</v>
      </c>
      <c r="W112" s="205">
        <f>ROUND(표9[[#This Row],[Apr 2026 (USD or KRW)]],0)</f>
        <v>0</v>
      </c>
      <c r="X112" s="212"/>
      <c r="Y112" s="206">
        <f>표9[[#This Row],[Apr 2027(KRW)]]-표9[[#This Row],[Mar 2026(KRW)]]</f>
        <v>-8449</v>
      </c>
      <c r="Z112" s="213">
        <f t="shared" si="1"/>
        <v>-1</v>
      </c>
      <c r="AA112" s="208">
        <f>VLOOKUP(표9[[#This Row],[Team]],표1[],3,0)</f>
        <v>1000</v>
      </c>
    </row>
    <row r="113" spans="1:27" s="8" customFormat="1" ht="15">
      <c r="A113" s="214" t="str">
        <f>VLOOKUP($H113,AWS!$A:$H,2,0)</f>
        <v>AWS</v>
      </c>
      <c r="B113" s="214" t="str">
        <f>VLOOKUP($H113,AWS!$A:$H,3,0)</f>
        <v>KRAFTON HQ</v>
      </c>
      <c r="C113" s="209" t="str">
        <f>VLOOKUP($H113,AWS!$A:$H,4,0)</f>
        <v>KRAFTON HQ</v>
      </c>
      <c r="D113" s="214" t="str">
        <f>VLOOKUP($H113,AWS!$A:$H,5,0)</f>
        <v>AI Applied Research Dept.</v>
      </c>
      <c r="E113" s="214" t="str">
        <f>VLOOKUP($H113,AWS!$A:$H,6,0)</f>
        <v>DEEP LEARNING</v>
      </c>
      <c r="F113" s="202">
        <f>VLOOKUP(표9[[#This Row],[Team]],표1[[내역]:[코스트 센터]],2,0)</f>
        <v>101315</v>
      </c>
      <c r="G113" s="202" t="str">
        <f>VLOOKUP(표9[[#This Row],[Project]],표2[],2,0)</f>
        <v>I100090817</v>
      </c>
      <c r="H113" s="214" t="s">
        <v>139</v>
      </c>
      <c r="I113" s="214" t="str">
        <f>VLOOKUP($H113,AWS!$A:$H,8,0)</f>
        <v>김재욱</v>
      </c>
      <c r="J113" s="214" t="str">
        <f>VLOOKUP($H113,AWS!$A:$H,8,0)</f>
        <v>김재욱</v>
      </c>
      <c r="K113" s="187"/>
      <c r="L113" s="215"/>
      <c r="M113" s="216"/>
      <c r="N113" s="217"/>
      <c r="O113" s="217"/>
      <c r="P113" s="217">
        <v>247867</v>
      </c>
      <c r="Q113" s="217">
        <v>2494074</v>
      </c>
      <c r="R113" s="217">
        <v>3871203</v>
      </c>
      <c r="S113" s="217">
        <v>5241928</v>
      </c>
      <c r="T113" s="212">
        <v>9199750</v>
      </c>
      <c r="U113" s="212">
        <v>8452612</v>
      </c>
      <c r="V113" s="205">
        <v>11612790</v>
      </c>
      <c r="W113" s="205">
        <f>ROUND(표9[[#This Row],[Apr 2026 (USD or KRW)]],0)</f>
        <v>0</v>
      </c>
      <c r="X113" s="212"/>
      <c r="Y113" s="206">
        <f>표9[[#This Row],[Apr 2027(KRW)]]-표9[[#This Row],[Mar 2026(KRW)]]</f>
        <v>-11612790</v>
      </c>
      <c r="Z113" s="213">
        <f t="shared" si="1"/>
        <v>-1</v>
      </c>
      <c r="AA113" s="208">
        <f>VLOOKUP(표9[[#This Row],[Team]],표1[],3,0)</f>
        <v>1000</v>
      </c>
    </row>
    <row r="114" spans="1:27" s="8" customFormat="1" ht="15">
      <c r="A114" s="214" t="str">
        <f>VLOOKUP($H114,AWS!$A:$H,2,0)</f>
        <v>AWS</v>
      </c>
      <c r="B114" s="214" t="str">
        <f>VLOOKUP($H114,AWS!$A:$H,3,0)</f>
        <v>KRAFTON HQ</v>
      </c>
      <c r="C114" s="209" t="str">
        <f>VLOOKUP($H114,AWS!$A:$H,4,0)</f>
        <v>KRAFTON HQ</v>
      </c>
      <c r="D114" s="214" t="str">
        <f>VLOOKUP($H114,AWS!$A:$H,5,0)</f>
        <v>Game Security Engineering Dept.</v>
      </c>
      <c r="E114" s="214" t="str">
        <f>VLOOKUP($H114,AWS!$A:$H,6,0)</f>
        <v>BLACK BUDGET</v>
      </c>
      <c r="F114" s="202">
        <f>VLOOKUP(표9[[#This Row],[Team]],표1[[내역]:[코스트 센터]],2,0)</f>
        <v>100415</v>
      </c>
      <c r="G114" s="202" t="str">
        <f>VLOOKUP(표9[[#This Row],[Project]],표2[],2,0)</f>
        <v>P100010048</v>
      </c>
      <c r="H114" s="214" t="s">
        <v>140</v>
      </c>
      <c r="I114" s="214" t="str">
        <f>VLOOKUP($H114,AWS!$A:$H,8,0)</f>
        <v>황범석</v>
      </c>
      <c r="J114" s="214" t="str">
        <f>VLOOKUP($H114,AWS!$A:$H,8,0)</f>
        <v>황범석</v>
      </c>
      <c r="K114" s="187" t="s">
        <v>29</v>
      </c>
      <c r="L114" s="215"/>
      <c r="M114" s="216"/>
      <c r="N114" s="217">
        <v>3400715</v>
      </c>
      <c r="O114" s="217">
        <v>3856463</v>
      </c>
      <c r="P114" s="217">
        <v>3767342</v>
      </c>
      <c r="Q114" s="217">
        <v>4126647</v>
      </c>
      <c r="R114" s="217">
        <v>4181143</v>
      </c>
      <c r="S114" s="217">
        <v>5487556</v>
      </c>
      <c r="T114" s="212">
        <v>5222312</v>
      </c>
      <c r="U114" s="212">
        <v>3594228</v>
      </c>
      <c r="V114" s="205">
        <v>4158481</v>
      </c>
      <c r="W114" s="205">
        <f>ROUND(표9[[#This Row],[Apr 2026 (USD or KRW)]],0)</f>
        <v>0</v>
      </c>
      <c r="X114" s="212"/>
      <c r="Y114" s="206">
        <f>표9[[#This Row],[Apr 2027(KRW)]]-표9[[#This Row],[Mar 2026(KRW)]]</f>
        <v>-4158481</v>
      </c>
      <c r="Z114" s="213">
        <f t="shared" si="1"/>
        <v>-1</v>
      </c>
      <c r="AA114" s="208">
        <f>VLOOKUP(표9[[#This Row],[Team]],표1[],3,0)</f>
        <v>1000</v>
      </c>
    </row>
    <row r="115" spans="1:27" s="8" customFormat="1" ht="15">
      <c r="A115" s="214" t="str">
        <f>VLOOKUP($H115,AWS!$A:$H,2,0)</f>
        <v>AWS</v>
      </c>
      <c r="B115" s="214" t="str">
        <f>VLOOKUP($H115,AWS!$A:$H,3,0)</f>
        <v>KRAFTON HQ</v>
      </c>
      <c r="C115" s="209" t="str">
        <f>VLOOKUP($H115,AWS!$A:$H,4,0)</f>
        <v>KRAFTON HQ</v>
      </c>
      <c r="D115" s="214" t="str">
        <f>VLOOKUP($H115,AWS!$A:$H,5,0)</f>
        <v>BGMI DevOps Team</v>
      </c>
      <c r="E115" s="214" t="str">
        <f>VLOOKUP($H115,AWS!$A:$H,6,0)</f>
        <v>(2022)BATTLEGROUNDS_MOBILE_IN</v>
      </c>
      <c r="F115" s="202">
        <f>VLOOKUP(표9[[#This Row],[Team]],표1[[내역]:[코스트 센터]],2,0)</f>
        <v>100553</v>
      </c>
      <c r="G115" s="202" t="str">
        <f>VLOOKUP(표9[[#This Row],[Project]],표2[],2,0)</f>
        <v>P100130012</v>
      </c>
      <c r="H115" s="8" t="s">
        <v>141</v>
      </c>
      <c r="I115" s="214" t="str">
        <f>VLOOKUP($H115,AWS!$A:$H,8,0)</f>
        <v>조한경</v>
      </c>
      <c r="J115" s="214" t="str">
        <f>VLOOKUP($H115,AWS!$A:$H,8,0)</f>
        <v>조한경</v>
      </c>
      <c r="K115" s="187" t="s">
        <v>29</v>
      </c>
      <c r="L115" s="215">
        <v>11131558</v>
      </c>
      <c r="M115" s="216">
        <v>10585936</v>
      </c>
      <c r="N115" s="217">
        <v>255938969</v>
      </c>
      <c r="O115" s="217">
        <v>451957</v>
      </c>
      <c r="P115" s="217">
        <v>6373700</v>
      </c>
      <c r="Q115" s="217">
        <v>104988074</v>
      </c>
      <c r="R115" s="217">
        <v>198872741</v>
      </c>
      <c r="S115" s="217">
        <v>206664973</v>
      </c>
      <c r="T115" s="212">
        <v>179632019</v>
      </c>
      <c r="U115" s="212">
        <v>50569318</v>
      </c>
      <c r="V115" s="205">
        <v>467246</v>
      </c>
      <c r="W115" s="205">
        <f>ROUND(표9[[#This Row],[Apr 2026 (USD or KRW)]],0)</f>
        <v>0</v>
      </c>
      <c r="X115" s="212"/>
      <c r="Y115" s="206">
        <f>표9[[#This Row],[Apr 2027(KRW)]]-표9[[#This Row],[Mar 2026(KRW)]]</f>
        <v>-467246</v>
      </c>
      <c r="Z115" s="213">
        <f t="shared" si="1"/>
        <v>-1</v>
      </c>
      <c r="AA115" s="208">
        <f>VLOOKUP(표9[[#This Row],[Team]],표1[],3,0)</f>
        <v>1000</v>
      </c>
    </row>
    <row r="116" spans="1:27" s="8" customFormat="1" ht="15">
      <c r="A116" s="214" t="str">
        <f>VLOOKUP($H116,AWS!$A:$H,2,0)</f>
        <v>AWS</v>
      </c>
      <c r="B116" s="214" t="str">
        <f>VLOOKUP($H116,AWS!$A:$H,3,0)</f>
        <v>BLUEHOLE</v>
      </c>
      <c r="C116" s="209" t="str">
        <f>VLOOKUP($H116,AWS!$A:$H,4,0)</f>
        <v>BLUEHOLE</v>
      </c>
      <c r="D116" s="214" t="str">
        <f>VLOOKUP($H116,AWS!$A:$H,5,0)</f>
        <v>Bluehole shared_finance</v>
      </c>
      <c r="E116" s="214" t="str">
        <f>VLOOKUP($H116,AWS!$A:$H,6,0)</f>
        <v>OVERHEAD/OTHERS</v>
      </c>
      <c r="F116" s="202">
        <f>VLOOKUP(표9[[#This Row],[Team]],표1[[내역]:[코스트 센터]],2,0)</f>
        <v>110069</v>
      </c>
      <c r="G116" s="202" t="str">
        <f>VLOOKUP(표9[[#This Row],[Project]],표2[],2,0)</f>
        <v>I100099999</v>
      </c>
      <c r="H116" s="220" t="s">
        <v>142</v>
      </c>
      <c r="I116" s="214" t="str">
        <f>VLOOKUP($H116,AWS!$A:$H,8,0)</f>
        <v>김승훈</v>
      </c>
      <c r="J116" s="214" t="str">
        <f>VLOOKUP($H116,AWS!$A:$H,8,0)</f>
        <v>김승훈</v>
      </c>
      <c r="K116" s="187"/>
      <c r="L116" s="215"/>
      <c r="M116" s="216"/>
      <c r="N116" s="217">
        <v>10092</v>
      </c>
      <c r="O116" s="217">
        <v>12163</v>
      </c>
      <c r="P116" s="217">
        <v>8375</v>
      </c>
      <c r="Q116" s="217">
        <v>9106</v>
      </c>
      <c r="R116" s="217">
        <v>9704</v>
      </c>
      <c r="S116" s="217">
        <v>8690</v>
      </c>
      <c r="T116" s="212">
        <v>10663</v>
      </c>
      <c r="U116" s="212">
        <v>9125</v>
      </c>
      <c r="V116" s="205">
        <v>7852</v>
      </c>
      <c r="W116" s="205">
        <f>ROUND(표9[[#This Row],[Apr 2026 (USD or KRW)]],0)</f>
        <v>0</v>
      </c>
      <c r="X116" s="212"/>
      <c r="Y116" s="206">
        <f>표9[[#This Row],[Apr 2027(KRW)]]-표9[[#This Row],[Mar 2026(KRW)]]</f>
        <v>-7852</v>
      </c>
      <c r="Z116" s="213">
        <f t="shared" si="1"/>
        <v>-1</v>
      </c>
      <c r="AA116" s="208">
        <f>VLOOKUP(표9[[#This Row],[Team]],표1[],3,0)</f>
        <v>1100</v>
      </c>
    </row>
    <row r="117" spans="1:27" s="8" customFormat="1" ht="15">
      <c r="A117" s="214" t="str">
        <f>VLOOKUP($H117,AWS!$A:$H,2,0)</f>
        <v>AWS</v>
      </c>
      <c r="B117" s="214" t="str">
        <f>VLOOKUP($H117,AWS!$A:$H,3,0)</f>
        <v>KRAFTON HQ</v>
      </c>
      <c r="C117" s="209" t="str">
        <f>VLOOKUP($H117,AWS!$A:$H,4,0)</f>
        <v>KRAFTON HQ</v>
      </c>
      <c r="D117" s="214" t="str">
        <f>VLOOKUP($H117,AWS!$A:$H,5,0)</f>
        <v>Cinematic Direction &amp; Tech Team</v>
      </c>
      <c r="E117" s="214" t="str">
        <f>VLOOKUP($H117,AWS!$A:$H,6,0)</f>
        <v>OVERHEAD/OTHERS</v>
      </c>
      <c r="F117" s="202">
        <f>VLOOKUP(표9[[#This Row],[Team]],표1[[내역]:[코스트 센터]],2,0)</f>
        <v>100935</v>
      </c>
      <c r="G117" s="202" t="str">
        <f>VLOOKUP(표9[[#This Row],[Project]],표2[],2,0)</f>
        <v>I100099999</v>
      </c>
      <c r="H117" s="209" t="s">
        <v>143</v>
      </c>
      <c r="I117" s="214" t="str">
        <f>VLOOKUP($H117,AWS!$A:$H,8,0)</f>
        <v>박종률</v>
      </c>
      <c r="J117" s="214" t="str">
        <f>VLOOKUP($H117,AWS!$A:$H,8,0)</f>
        <v>박종률</v>
      </c>
      <c r="K117" s="187"/>
      <c r="L117" s="215"/>
      <c r="M117" s="216"/>
      <c r="N117" s="217"/>
      <c r="O117" s="217"/>
      <c r="P117" s="217">
        <v>9373</v>
      </c>
      <c r="Q117" s="217">
        <v>8904</v>
      </c>
      <c r="R117" s="217">
        <v>9848</v>
      </c>
      <c r="S117" s="217">
        <v>8695</v>
      </c>
      <c r="T117" s="212">
        <v>6198</v>
      </c>
      <c r="U117" s="212">
        <v>0</v>
      </c>
      <c r="V117" s="205">
        <v>0</v>
      </c>
      <c r="W117" s="205">
        <f>ROUND(표9[[#This Row],[Apr 2026 (USD or KRW)]],0)</f>
        <v>0</v>
      </c>
      <c r="X117" s="212"/>
      <c r="Y117" s="206">
        <f>표9[[#This Row],[Apr 2027(KRW)]]-표9[[#This Row],[Mar 2026(KRW)]]</f>
        <v>0</v>
      </c>
      <c r="Z117" s="213" t="str">
        <f t="shared" si="1"/>
        <v/>
      </c>
      <c r="AA117" s="208">
        <f>VLOOKUP(표9[[#This Row],[Team]],표1[],3,0)</f>
        <v>1000</v>
      </c>
    </row>
    <row r="118" spans="1:27" s="8" customFormat="1" ht="15">
      <c r="A118" s="214" t="str">
        <f>VLOOKUP($H118,AWS!$A:$H,2,0)</f>
        <v>AWS</v>
      </c>
      <c r="B118" s="214" t="str">
        <f>VLOOKUP($H118,AWS!$A:$H,3,0)</f>
        <v>KRAFTON HQ</v>
      </c>
      <c r="C118" s="209" t="str">
        <f>VLOOKUP($H118,AWS!$A:$H,4,0)</f>
        <v>KRAFTON HQ</v>
      </c>
      <c r="D118" s="214" t="str">
        <f>VLOOKUP($H118,AWS!$A:$H,5,0)</f>
        <v>Publishing Tech PM Part</v>
      </c>
      <c r="E118" s="214" t="str">
        <f>VLOOKUP($H118,AWS!$A:$H,6,0)</f>
        <v>OVERHEAD/OTHERS</v>
      </c>
      <c r="F118" s="202">
        <f>VLOOKUP(표9[[#This Row],[Team]],표1[[내역]:[코스트 센터]],2,0)</f>
        <v>101269</v>
      </c>
      <c r="G118" s="202" t="str">
        <f>VLOOKUP(표9[[#This Row],[Project]],표2[],2,0)</f>
        <v>I100099999</v>
      </c>
      <c r="H118" s="214" t="s">
        <v>144</v>
      </c>
      <c r="I118" s="214" t="str">
        <f>VLOOKUP($H118,AWS!$A:$H,8,0)</f>
        <v>김정언</v>
      </c>
      <c r="J118" s="214" t="str">
        <f>VLOOKUP($H118,AWS!$A:$H,8,0)</f>
        <v>김정언</v>
      </c>
      <c r="K118" s="187" t="s">
        <v>29</v>
      </c>
      <c r="L118" s="215">
        <v>7967321</v>
      </c>
      <c r="M118" s="216">
        <v>7575324</v>
      </c>
      <c r="N118" s="217">
        <v>7595913</v>
      </c>
      <c r="O118" s="217">
        <v>6149865</v>
      </c>
      <c r="P118" s="217">
        <v>5589626</v>
      </c>
      <c r="Q118" s="217">
        <v>5765285</v>
      </c>
      <c r="R118" s="217">
        <v>7994981</v>
      </c>
      <c r="S118" s="217">
        <v>8912421</v>
      </c>
      <c r="T118" s="212">
        <v>5694750</v>
      </c>
      <c r="U118" s="212">
        <v>3503136</v>
      </c>
      <c r="V118" s="205">
        <v>3969527</v>
      </c>
      <c r="W118" s="205">
        <f>ROUND(표9[[#This Row],[Apr 2026 (USD or KRW)]],0)</f>
        <v>0</v>
      </c>
      <c r="X118" s="212"/>
      <c r="Y118" s="206">
        <f>표9[[#This Row],[Apr 2027(KRW)]]-표9[[#This Row],[Mar 2026(KRW)]]</f>
        <v>-3969527</v>
      </c>
      <c r="Z118" s="213">
        <f t="shared" si="1"/>
        <v>-1</v>
      </c>
      <c r="AA118" s="208">
        <f>VLOOKUP(표9[[#This Row],[Team]],표1[],3,0)</f>
        <v>1000</v>
      </c>
    </row>
    <row r="119" spans="1:27" s="8" customFormat="1" ht="15">
      <c r="A119" s="214" t="str">
        <f>VLOOKUP($H119,AWS!$A:$H,2,0)</f>
        <v>AWS</v>
      </c>
      <c r="B119" s="214" t="str">
        <f>VLOOKUP($H119,AWS!$A:$H,3,0)</f>
        <v>KRAFTON HQ</v>
      </c>
      <c r="C119" s="209" t="str">
        <f>VLOOKUP($H119,AWS!$A:$H,4,0)</f>
        <v>KRAFTON HQ</v>
      </c>
      <c r="D119" s="214" t="str">
        <f>VLOOKUP($H119,AWS!$A:$H,5,0)</f>
        <v>Data Engineering Dept.</v>
      </c>
      <c r="E119" s="214" t="str">
        <f>VLOOKUP($H119,AWS!$A:$H,6,0)</f>
        <v>OVERHEAD/OTHERS</v>
      </c>
      <c r="F119" s="202">
        <f>VLOOKUP(표9[[#This Row],[Team]],표1[[내역]:[코스트 센터]],2,0)</f>
        <v>100212</v>
      </c>
      <c r="G119" s="202" t="str">
        <f>VLOOKUP(표9[[#This Row],[Project]],표2[],2,0)</f>
        <v>I100099999</v>
      </c>
      <c r="H119" s="214" t="s">
        <v>145</v>
      </c>
      <c r="I119" s="214" t="str">
        <f>VLOOKUP($H119,AWS!$A:$H,8,0)</f>
        <v>김영철</v>
      </c>
      <c r="J119" s="214" t="str">
        <f>VLOOKUP($H119,AWS!$A:$H,8,0)</f>
        <v>김영철</v>
      </c>
      <c r="K119" s="187"/>
      <c r="L119" s="215">
        <v>25114669</v>
      </c>
      <c r="M119" s="216">
        <v>25165326</v>
      </c>
      <c r="N119" s="217">
        <v>24809768</v>
      </c>
      <c r="O119" s="217">
        <v>30338999</v>
      </c>
      <c r="P119" s="217">
        <v>29194062</v>
      </c>
      <c r="Q119" s="217">
        <v>24583105</v>
      </c>
      <c r="R119" s="217">
        <v>22519748</v>
      </c>
      <c r="S119" s="217">
        <v>29158724</v>
      </c>
      <c r="T119" s="212">
        <v>26518296</v>
      </c>
      <c r="U119" s="212">
        <v>25195550</v>
      </c>
      <c r="V119" s="205">
        <v>23955868</v>
      </c>
      <c r="W119" s="205">
        <f>ROUND(표9[[#This Row],[Apr 2026 (USD or KRW)]],0)</f>
        <v>0</v>
      </c>
      <c r="X119" s="212"/>
      <c r="Y119" s="206">
        <f>표9[[#This Row],[Apr 2027(KRW)]]-표9[[#This Row],[Mar 2026(KRW)]]</f>
        <v>-23955868</v>
      </c>
      <c r="Z119" s="213">
        <f t="shared" si="1"/>
        <v>-1</v>
      </c>
      <c r="AA119" s="208">
        <f>VLOOKUP(표9[[#This Row],[Team]],표1[],3,0)</f>
        <v>1000</v>
      </c>
    </row>
    <row r="120" spans="1:27" s="8" customFormat="1" ht="15">
      <c r="A120" s="214" t="str">
        <f>VLOOKUP($H120,AWS!$A:$H,2,0)</f>
        <v>AWS</v>
      </c>
      <c r="B120" s="214" t="str">
        <f>VLOOKUP($H120,AWS!$A:$H,3,0)</f>
        <v>KRAFTON HQ</v>
      </c>
      <c r="C120" s="209" t="str">
        <f>VLOOKUP($H120,AWS!$A:$H,4,0)</f>
        <v>KRAFTON HQ</v>
      </c>
      <c r="D120" s="214" t="str">
        <f>VLOOKUP($H120,AWS!$A:$H,5,0)</f>
        <v>Data Engineering Dept.</v>
      </c>
      <c r="E120" s="214" t="str">
        <f>VLOOKUP($H120,AWS!$A:$H,6,0)</f>
        <v>OVERHEAD/OTHERS</v>
      </c>
      <c r="F120" s="202">
        <f>VLOOKUP(표9[[#This Row],[Team]],표1[[내역]:[코스트 센터]],2,0)</f>
        <v>100212</v>
      </c>
      <c r="G120" s="202" t="str">
        <f>VLOOKUP(표9[[#This Row],[Project]],표2[],2,0)</f>
        <v>I100099999</v>
      </c>
      <c r="H120" s="214" t="s">
        <v>146</v>
      </c>
      <c r="I120" s="214" t="str">
        <f>VLOOKUP($H120,AWS!$A:$H,8,0)</f>
        <v>김시훈</v>
      </c>
      <c r="J120" s="214" t="str">
        <f>VLOOKUP($H120,AWS!$A:$H,8,0)</f>
        <v>김시훈</v>
      </c>
      <c r="K120" s="187" t="s">
        <v>29</v>
      </c>
      <c r="L120" s="215">
        <v>6291222</v>
      </c>
      <c r="M120" s="216">
        <v>10755338</v>
      </c>
      <c r="N120" s="217">
        <v>12716190</v>
      </c>
      <c r="O120" s="217">
        <v>14801328</v>
      </c>
      <c r="P120" s="217">
        <v>14423648</v>
      </c>
      <c r="Q120" s="217">
        <v>15878731</v>
      </c>
      <c r="R120" s="217">
        <v>16423293</v>
      </c>
      <c r="S120" s="217">
        <v>16754183</v>
      </c>
      <c r="T120" s="212">
        <v>16542881</v>
      </c>
      <c r="U120" s="212">
        <v>14640720</v>
      </c>
      <c r="V120" s="205">
        <v>16971470</v>
      </c>
      <c r="W120" s="205">
        <f>ROUND(표9[[#This Row],[Apr 2026 (USD or KRW)]],0)</f>
        <v>0</v>
      </c>
      <c r="X120" s="212"/>
      <c r="Y120" s="206">
        <f>표9[[#This Row],[Apr 2027(KRW)]]-표9[[#This Row],[Mar 2026(KRW)]]</f>
        <v>-16971470</v>
      </c>
      <c r="Z120" s="213">
        <f t="shared" si="1"/>
        <v>-1</v>
      </c>
      <c r="AA120" s="208">
        <f>VLOOKUP(표9[[#This Row],[Team]],표1[],3,0)</f>
        <v>1000</v>
      </c>
    </row>
    <row r="121" spans="1:27" s="8" customFormat="1" ht="15">
      <c r="A121" s="214" t="str">
        <f>VLOOKUP($H121,AWS!$A:$H,2,0)</f>
        <v>AWS</v>
      </c>
      <c r="B121" s="214" t="str">
        <f>VLOOKUP($H121,AWS!$A:$H,3,0)</f>
        <v>KRAFTON HQ</v>
      </c>
      <c r="C121" s="209" t="str">
        <f>VLOOKUP($H121,AWS!$A:$H,4,0)</f>
        <v>KRAFTON HQ</v>
      </c>
      <c r="D121" s="214" t="str">
        <f>VLOOKUP($H121,AWS!$A:$H,5,0)</f>
        <v>Data Engineering Dept.</v>
      </c>
      <c r="E121" s="214" t="str">
        <f>VLOOKUP($H121,AWS!$A:$H,6,0)</f>
        <v>OVERHEAD/OTHERS</v>
      </c>
      <c r="F121" s="202">
        <f>VLOOKUP(표9[[#This Row],[Team]],표1[[내역]:[코스트 센터]],2,0)</f>
        <v>100212</v>
      </c>
      <c r="G121" s="202" t="str">
        <f>VLOOKUP(표9[[#This Row],[Project]],표2[],2,0)</f>
        <v>I100099999</v>
      </c>
      <c r="H121" s="214" t="s">
        <v>147</v>
      </c>
      <c r="I121" s="214" t="str">
        <f>VLOOKUP($H121,AWS!$A:$H,8,0)</f>
        <v>김시훈</v>
      </c>
      <c r="J121" s="214" t="str">
        <f>VLOOKUP($H121,AWS!$A:$H,8,0)</f>
        <v>김시훈</v>
      </c>
      <c r="K121" s="187" t="s">
        <v>29</v>
      </c>
      <c r="L121" s="215">
        <v>687415</v>
      </c>
      <c r="M121" s="216">
        <v>689534</v>
      </c>
      <c r="N121" s="217">
        <v>978274</v>
      </c>
      <c r="O121" s="217">
        <v>988182</v>
      </c>
      <c r="P121" s="217">
        <v>1112294</v>
      </c>
      <c r="Q121" s="217">
        <v>3202345</v>
      </c>
      <c r="R121" s="217">
        <v>4054023</v>
      </c>
      <c r="S121" s="217">
        <v>5063297</v>
      </c>
      <c r="T121" s="212">
        <v>11052584</v>
      </c>
      <c r="U121" s="212">
        <v>11349648</v>
      </c>
      <c r="V121" s="205">
        <v>10567220</v>
      </c>
      <c r="W121" s="205">
        <f>ROUND(표9[[#This Row],[Apr 2026 (USD or KRW)]],0)</f>
        <v>0</v>
      </c>
      <c r="X121" s="212"/>
      <c r="Y121" s="206">
        <f>표9[[#This Row],[Apr 2027(KRW)]]-표9[[#This Row],[Mar 2026(KRW)]]</f>
        <v>-10567220</v>
      </c>
      <c r="Z121" s="213">
        <f t="shared" si="1"/>
        <v>-1</v>
      </c>
      <c r="AA121" s="208">
        <f>VLOOKUP(표9[[#This Row],[Team]],표1[],3,0)</f>
        <v>1000</v>
      </c>
    </row>
    <row r="122" spans="1:27" s="8" customFormat="1" ht="17">
      <c r="A122" s="214" t="s">
        <v>148</v>
      </c>
      <c r="B122" s="214" t="str">
        <f>VLOOKUP($H122,AWS!$A:$H,3,0)</f>
        <v>DLD</v>
      </c>
      <c r="C122" s="209" t="str">
        <f>VLOOKUP($H122,AWS!$A:$H,4,0)</f>
        <v>DLD</v>
      </c>
      <c r="D122" s="214" t="str">
        <f>VLOOKUP($H122,AWS!$A:$H,5,0)</f>
        <v>AI Foundation Model TF Team</v>
      </c>
      <c r="E122" s="214" t="str">
        <f>VLOOKUP($H122,AWS!$A:$H,6,0)</f>
        <v>AI Foundation TF</v>
      </c>
      <c r="F122" s="202">
        <f>VLOOKUP(표9[[#This Row],[Team]],표1[[내역]:[코스트 센터]],2,0)</f>
        <v>102035</v>
      </c>
      <c r="G122" s="202" t="str">
        <f>VLOOKUP(표9[[#This Row],[Project]],표2[],2,0)</f>
        <v>I100090134</v>
      </c>
      <c r="H122" s="184" t="s">
        <v>149</v>
      </c>
      <c r="I122" s="214" t="str">
        <f>VLOOKUP($H122,AWS!$A:$H,8,0)</f>
        <v>김지윤</v>
      </c>
      <c r="J122" s="214" t="str">
        <f>VLOOKUP($H122,AWS!$A:$H,8,0)</f>
        <v>김지윤</v>
      </c>
      <c r="K122" s="187" t="s">
        <v>29</v>
      </c>
      <c r="L122" s="215"/>
      <c r="M122" s="216"/>
      <c r="N122" s="217"/>
      <c r="O122" s="217">
        <v>14007</v>
      </c>
      <c r="P122" s="217">
        <v>275493581</v>
      </c>
      <c r="Q122" s="217">
        <v>110095282</v>
      </c>
      <c r="R122" s="217">
        <v>276915930</v>
      </c>
      <c r="S122" s="217">
        <v>378380401</v>
      </c>
      <c r="T122" s="212">
        <v>646702404</v>
      </c>
      <c r="U122" s="212">
        <v>3038722916</v>
      </c>
      <c r="V122" s="205">
        <v>1222531747</v>
      </c>
      <c r="W122" s="205">
        <f>ROUND(표9[[#This Row],[Apr 2026 (USD or KRW)]],0)</f>
        <v>0</v>
      </c>
      <c r="X122" s="212"/>
      <c r="Y122" s="206">
        <f>표9[[#This Row],[Apr 2027(KRW)]]-표9[[#This Row],[Mar 2026(KRW)]]</f>
        <v>-1222531747</v>
      </c>
      <c r="Z122" s="213">
        <f t="shared" si="1"/>
        <v>-1</v>
      </c>
      <c r="AA122" s="208">
        <f>VLOOKUP(표9[[#This Row],[Team]],표1[],3,0)</f>
        <v>1000</v>
      </c>
    </row>
    <row r="123" spans="1:27" s="8" customFormat="1" ht="15">
      <c r="A123" s="214" t="str">
        <f>VLOOKUP($H123,AWS!$A:$H,2,0)</f>
        <v>AWS</v>
      </c>
      <c r="B123" s="214" t="str">
        <f>VLOOKUP($H123,AWS!$A:$H,3,0)</f>
        <v>KRAFTON HQ</v>
      </c>
      <c r="C123" s="209" t="str">
        <f>VLOOKUP($H123,AWS!$A:$H,4,0)</f>
        <v>KRAFTON HQ</v>
      </c>
      <c r="D123" s="214" t="str">
        <f>VLOOKUP($H123,AWS!$A:$H,5,0)</f>
        <v>Live Ops Team</v>
      </c>
      <c r="E123" s="214" t="str">
        <f>VLOOKUP($H123,AWS!$A:$H,6,0)</f>
        <v>OVERHEAD/OTHERS</v>
      </c>
      <c r="F123" s="202">
        <f>VLOOKUP(표9[[#This Row],[Team]],표1[[내역]:[코스트 센터]],2,0)</f>
        <v>101747</v>
      </c>
      <c r="G123" s="202" t="str">
        <f>VLOOKUP(표9[[#This Row],[Project]],표2[],2,0)</f>
        <v>I100099999</v>
      </c>
      <c r="H123" s="219" t="s">
        <v>150</v>
      </c>
      <c r="I123" s="214" t="str">
        <f>VLOOKUP($H123,AWS!$A:$H,8,0)</f>
        <v>어재훈</v>
      </c>
      <c r="J123" s="214" t="str">
        <f>VLOOKUP($H123,AWS!$A:$H,8,0)</f>
        <v>어재훈</v>
      </c>
      <c r="K123" s="187"/>
      <c r="L123" s="215">
        <v>94412</v>
      </c>
      <c r="M123" s="216">
        <v>79243</v>
      </c>
      <c r="N123" s="217">
        <v>85824</v>
      </c>
      <c r="O123" s="217">
        <v>91412</v>
      </c>
      <c r="P123" s="217">
        <v>64537</v>
      </c>
      <c r="Q123" s="217">
        <v>65826</v>
      </c>
      <c r="R123" s="217">
        <v>65604</v>
      </c>
      <c r="S123" s="217">
        <v>66997</v>
      </c>
      <c r="T123" s="212">
        <v>59397</v>
      </c>
      <c r="U123" s="212">
        <v>37885</v>
      </c>
      <c r="V123" s="205">
        <v>27835</v>
      </c>
      <c r="W123" s="205">
        <f>ROUND(표9[[#This Row],[Apr 2026 (USD or KRW)]],0)</f>
        <v>0</v>
      </c>
      <c r="X123" s="212"/>
      <c r="Y123" s="206">
        <f>표9[[#This Row],[Apr 2027(KRW)]]-표9[[#This Row],[Mar 2026(KRW)]]</f>
        <v>-27835</v>
      </c>
      <c r="Z123" s="213">
        <f t="shared" si="1"/>
        <v>-1</v>
      </c>
      <c r="AA123" s="208">
        <f>VLOOKUP(표9[[#This Row],[Team]],표1[],3,0)</f>
        <v>1000</v>
      </c>
    </row>
    <row r="124" spans="1:27" s="8" customFormat="1" ht="15">
      <c r="A124" s="214" t="str">
        <f>VLOOKUP($H124,AWS!$A:$H,2,0)</f>
        <v>AWS</v>
      </c>
      <c r="B124" s="214" t="str">
        <f>VLOOKUP($H124,AWS!$A:$H,3,0)</f>
        <v>KRAFTON HQ</v>
      </c>
      <c r="C124" s="209" t="str">
        <f>VLOOKUP($H124,AWS!$A:$H,4,0)</f>
        <v>KRAFTON HQ</v>
      </c>
      <c r="D124" s="214" t="str">
        <f>VLOOKUP($H124,AWS!$A:$H,5,0)</f>
        <v>AI Product Dev Chapter Dept.</v>
      </c>
      <c r="E124" s="214" t="str">
        <f>VLOOKUP($H124,AWS!$A:$H,6,0)</f>
        <v>OVERHEAD/OTHERS</v>
      </c>
      <c r="F124" s="202">
        <f>VLOOKUP(표9[[#This Row],[Team]],표1[[내역]:[코스트 센터]],2,0)</f>
        <v>102159</v>
      </c>
      <c r="G124" s="202" t="str">
        <f>VLOOKUP(표9[[#This Row],[Project]],표2[],2,0)</f>
        <v>I100099999</v>
      </c>
      <c r="H124" s="214" t="s">
        <v>151</v>
      </c>
      <c r="I124" s="214" t="str">
        <f>VLOOKUP($H124,AWS!$A:$H,8,0)</f>
        <v>박준규</v>
      </c>
      <c r="J124" s="214" t="str">
        <f>VLOOKUP($H124,AWS!$A:$H,8,0)</f>
        <v>박준규</v>
      </c>
      <c r="K124" s="187"/>
      <c r="L124" s="215"/>
      <c r="M124" s="216"/>
      <c r="N124" s="217">
        <v>102927</v>
      </c>
      <c r="O124" s="217">
        <v>604513</v>
      </c>
      <c r="P124" s="217">
        <v>773135</v>
      </c>
      <c r="Q124" s="217">
        <v>845095</v>
      </c>
      <c r="R124" s="217">
        <v>835478</v>
      </c>
      <c r="S124" s="217">
        <v>854916</v>
      </c>
      <c r="T124" s="212">
        <v>813392</v>
      </c>
      <c r="U124" s="212">
        <v>690047</v>
      </c>
      <c r="V124" s="205">
        <v>814723</v>
      </c>
      <c r="W124" s="205">
        <f>ROUND(표9[[#This Row],[Apr 2026 (USD or KRW)]],0)</f>
        <v>0</v>
      </c>
      <c r="X124" s="212"/>
      <c r="Y124" s="206">
        <f>표9[[#This Row],[Apr 2027(KRW)]]-표9[[#This Row],[Mar 2026(KRW)]]</f>
        <v>-814723</v>
      </c>
      <c r="Z124" s="213">
        <f t="shared" si="1"/>
        <v>-1</v>
      </c>
      <c r="AA124" s="208">
        <f>VLOOKUP(표9[[#This Row],[Team]],표1[],3,0)</f>
        <v>1000</v>
      </c>
    </row>
    <row r="125" spans="1:27" s="8" customFormat="1" ht="15">
      <c r="A125" s="214" t="str">
        <f>VLOOKUP($H125,AWS!$A:$H,2,0)</f>
        <v>AWS</v>
      </c>
      <c r="B125" s="214" t="str">
        <f>VLOOKUP($H125,AWS!$A:$H,3,0)</f>
        <v>KRAFTON HQ</v>
      </c>
      <c r="C125" s="209" t="str">
        <f>VLOOKUP($H125,AWS!$A:$H,4,0)</f>
        <v>KRAFTON HQ</v>
      </c>
      <c r="D125" s="214" t="str">
        <f>VLOOKUP($H125,AWS!$A:$H,5,0)</f>
        <v>AI Agent Research Team</v>
      </c>
      <c r="E125" s="214" t="str">
        <f>VLOOKUP($H125,AWS!$A:$H,6,0)</f>
        <v>DEEP LEARNING</v>
      </c>
      <c r="F125" s="202">
        <f>VLOOKUP(표9[[#This Row],[Team]],표1[[내역]:[코스트 센터]],2,0)</f>
        <v>101216</v>
      </c>
      <c r="G125" s="202" t="str">
        <f>VLOOKUP(표9[[#This Row],[Project]],표2[],2,0)</f>
        <v>I100090817</v>
      </c>
      <c r="H125" s="214" t="s">
        <v>152</v>
      </c>
      <c r="I125" s="214" t="str">
        <f>VLOOKUP($H125,AWS!$A:$H,8,0)</f>
        <v>권승진</v>
      </c>
      <c r="J125" s="214" t="str">
        <f>VLOOKUP($H125,AWS!$A:$H,8,0)</f>
        <v>권승진</v>
      </c>
      <c r="K125" s="187"/>
      <c r="L125" s="215"/>
      <c r="M125" s="216"/>
      <c r="N125" s="217">
        <v>288833</v>
      </c>
      <c r="O125" s="217">
        <v>993031</v>
      </c>
      <c r="P125" s="217">
        <v>1031380</v>
      </c>
      <c r="Q125" s="217">
        <v>1095577</v>
      </c>
      <c r="R125" s="217">
        <v>1068589</v>
      </c>
      <c r="S125" s="217">
        <v>318738</v>
      </c>
      <c r="T125" s="212">
        <v>0</v>
      </c>
      <c r="U125" s="212">
        <v>0</v>
      </c>
      <c r="V125" s="205">
        <v>0</v>
      </c>
      <c r="W125" s="205">
        <f>ROUND(표9[[#This Row],[Apr 2026 (USD or KRW)]],0)</f>
        <v>0</v>
      </c>
      <c r="X125" s="212"/>
      <c r="Y125" s="206">
        <f>표9[[#This Row],[Apr 2027(KRW)]]-표9[[#This Row],[Mar 2026(KRW)]]</f>
        <v>0</v>
      </c>
      <c r="Z125" s="213" t="str">
        <f t="shared" si="1"/>
        <v/>
      </c>
      <c r="AA125" s="208">
        <f>VLOOKUP(표9[[#This Row],[Team]],표1[],3,0)</f>
        <v>1000</v>
      </c>
    </row>
    <row r="126" spans="1:27" s="8" customFormat="1" ht="15">
      <c r="A126" s="214" t="str">
        <f>VLOOKUP($H126,AWS!$A:$H,2,0)</f>
        <v>AWS</v>
      </c>
      <c r="B126" s="214" t="str">
        <f>VLOOKUP($H126,AWS!$A:$H,3,0)</f>
        <v>KRAFTON HQ</v>
      </c>
      <c r="C126" s="209" t="str">
        <f>VLOOKUP($H126,AWS!$A:$H,4,0)</f>
        <v>KRAFTON HQ</v>
      </c>
      <c r="D126" s="214" t="str">
        <f>VLOOKUP($H126,AWS!$A:$H,5,0)</f>
        <v>AI Product Dev Chapter Dept.</v>
      </c>
      <c r="E126" s="214" t="str">
        <f>VLOOKUP($H126,AWS!$A:$H,6,0)</f>
        <v>DEEP LEARNING</v>
      </c>
      <c r="F126" s="202">
        <f>VLOOKUP(표9[[#This Row],[Team]],표1[[내역]:[코스트 센터]],2,0)</f>
        <v>102159</v>
      </c>
      <c r="G126" s="202" t="str">
        <f>VLOOKUP(표9[[#This Row],[Project]],표2[],2,0)</f>
        <v>I100090817</v>
      </c>
      <c r="H126" s="214" t="s">
        <v>153</v>
      </c>
      <c r="I126" s="214" t="str">
        <f>VLOOKUP($H126,AWS!$A:$H,8,0)</f>
        <v>이호원</v>
      </c>
      <c r="J126" s="214" t="str">
        <f>VLOOKUP($H126,AWS!$A:$H,8,0)</f>
        <v>이호원</v>
      </c>
      <c r="K126" s="187"/>
      <c r="L126" s="215"/>
      <c r="M126" s="216"/>
      <c r="N126" s="217"/>
      <c r="O126" s="217"/>
      <c r="P126" s="217">
        <v>0</v>
      </c>
      <c r="Q126" s="217">
        <v>2502</v>
      </c>
      <c r="R126" s="217">
        <v>21719</v>
      </c>
      <c r="S126" s="217">
        <v>8581</v>
      </c>
      <c r="T126" s="212">
        <v>10489</v>
      </c>
      <c r="U126" s="212">
        <v>9039</v>
      </c>
      <c r="V126" s="205">
        <v>7840</v>
      </c>
      <c r="W126" s="205">
        <f>ROUND(표9[[#This Row],[Apr 2026 (USD or KRW)]],0)</f>
        <v>0</v>
      </c>
      <c r="X126" s="212"/>
      <c r="Y126" s="206">
        <f>표9[[#This Row],[Apr 2027(KRW)]]-표9[[#This Row],[Mar 2026(KRW)]]</f>
        <v>-7840</v>
      </c>
      <c r="Z126" s="213">
        <f t="shared" si="1"/>
        <v>-1</v>
      </c>
      <c r="AA126" s="208">
        <f>VLOOKUP(표9[[#This Row],[Team]],표1[],3,0)</f>
        <v>1000</v>
      </c>
    </row>
    <row r="127" spans="1:27" s="8" customFormat="1" ht="15">
      <c r="A127" s="209" t="str">
        <f>VLOOKUP($H127,AWS!$A:$H,2,0)</f>
        <v>AWS</v>
      </c>
      <c r="B127" s="209" t="str">
        <f>VLOOKUP($H127,AWS!$A:$H,3,0)</f>
        <v>Dreamotion</v>
      </c>
      <c r="C127" s="209" t="str">
        <f>VLOOKUP($H127,AWS!$A:$H,4,0)</f>
        <v>Dreamotion</v>
      </c>
      <c r="D127" s="214">
        <f>VLOOKUP($H127,AWS!$A:$H,5,0)</f>
        <v>0</v>
      </c>
      <c r="E127" s="214">
        <f>VLOOKUP($H127,AWS!$A:$H,6,0)</f>
        <v>0</v>
      </c>
      <c r="F127" s="202" t="e">
        <f>VLOOKUP(표9[[#This Row],[Team]],표1[[내역]:[코스트 센터]],2,0)</f>
        <v>#N/A</v>
      </c>
      <c r="G127" s="202" t="e">
        <f>VLOOKUP(표9[[#This Row],[Project]],표2[],2,0)</f>
        <v>#N/A</v>
      </c>
      <c r="H127" s="209" t="s">
        <v>154</v>
      </c>
      <c r="I127" s="209"/>
      <c r="J127" s="214" t="str">
        <f>VLOOKUP($H127,AWS!$A:$H,8,0)</f>
        <v>류성중</v>
      </c>
      <c r="K127" s="186"/>
      <c r="L127" s="210"/>
      <c r="M127" s="211"/>
      <c r="N127" s="212"/>
      <c r="O127" s="212"/>
      <c r="P127" s="212"/>
      <c r="Q127" s="212"/>
      <c r="R127" s="212"/>
      <c r="S127" s="212"/>
      <c r="T127" s="212">
        <v>72457</v>
      </c>
      <c r="U127" s="212">
        <v>95581</v>
      </c>
      <c r="V127" s="205">
        <v>95520</v>
      </c>
      <c r="W127" s="205">
        <f>ROUND(표9[[#This Row],[Apr 2026 (USD or KRW)]],0)</f>
        <v>0</v>
      </c>
      <c r="X127" s="212"/>
      <c r="Y127" s="206">
        <f>표9[[#This Row],[Apr 2027(KRW)]]-표9[[#This Row],[Mar 2026(KRW)]]</f>
        <v>-95520</v>
      </c>
      <c r="Z127" s="213">
        <f t="shared" si="1"/>
        <v>-1</v>
      </c>
      <c r="AA127" s="208" t="e">
        <f>VLOOKUP(표9[[#This Row],[Team]],표1[],3,0)</f>
        <v>#N/A</v>
      </c>
    </row>
    <row r="128" spans="1:27" s="8" customFormat="1" ht="15">
      <c r="A128" s="214" t="str">
        <f>VLOOKUP($H128,AWS!$A:$H,2,0)</f>
        <v>AWS</v>
      </c>
      <c r="B128" s="214" t="str">
        <f>VLOOKUP($H128,AWS!$A:$H,3,0)</f>
        <v>KRAFTON HQ</v>
      </c>
      <c r="C128" s="209" t="str">
        <f>VLOOKUP($H128,AWS!$A:$H,4,0)</f>
        <v>KRAFTON HQ</v>
      </c>
      <c r="D128" s="214" t="str">
        <f>VLOOKUP($H128,AWS!$A:$H,5,0)</f>
        <v>Publishing Tech PM Part</v>
      </c>
      <c r="E128" s="214" t="str">
        <f>VLOOKUP($H128,AWS!$A:$H,6,0)</f>
        <v>OVERHEAD/OTHERS</v>
      </c>
      <c r="F128" s="202">
        <f>VLOOKUP(표9[[#This Row],[Team]],표1[[내역]:[코스트 센터]],2,0)</f>
        <v>101269</v>
      </c>
      <c r="G128" s="202" t="str">
        <f>VLOOKUP(표9[[#This Row],[Project]],표2[],2,0)</f>
        <v>I100099999</v>
      </c>
      <c r="H128" s="214" t="s">
        <v>155</v>
      </c>
      <c r="I128" s="214" t="str">
        <f>VLOOKUP($H128,AWS!$A:$H,8,0)</f>
        <v>김정언</v>
      </c>
      <c r="J128" s="214" t="str">
        <f>VLOOKUP($H128,AWS!$A:$H,8,0)</f>
        <v>김정언</v>
      </c>
      <c r="K128" s="187" t="s">
        <v>29</v>
      </c>
      <c r="L128" s="215">
        <v>4342019</v>
      </c>
      <c r="M128" s="216">
        <v>4832293</v>
      </c>
      <c r="N128" s="217">
        <v>5348761</v>
      </c>
      <c r="O128" s="217">
        <v>5393517</v>
      </c>
      <c r="P128" s="217">
        <v>5623604</v>
      </c>
      <c r="Q128" s="217">
        <v>6846989</v>
      </c>
      <c r="R128" s="217">
        <v>5593088</v>
      </c>
      <c r="S128" s="217">
        <v>7348663</v>
      </c>
      <c r="T128" s="212">
        <v>7271842</v>
      </c>
      <c r="U128" s="212">
        <v>7168145</v>
      </c>
      <c r="V128" s="205">
        <v>8652113</v>
      </c>
      <c r="W128" s="205">
        <f>ROUND(표9[[#This Row],[Apr 2026 (USD or KRW)]],0)</f>
        <v>0</v>
      </c>
      <c r="X128" s="212"/>
      <c r="Y128" s="206">
        <f>표9[[#This Row],[Apr 2027(KRW)]]-표9[[#This Row],[Mar 2026(KRW)]]</f>
        <v>-8652113</v>
      </c>
      <c r="Z128" s="213">
        <f t="shared" si="1"/>
        <v>-1</v>
      </c>
      <c r="AA128" s="208">
        <f>VLOOKUP(표9[[#This Row],[Team]],표1[],3,0)</f>
        <v>1000</v>
      </c>
    </row>
    <row r="129" spans="1:27" s="8" customFormat="1" ht="15">
      <c r="A129" s="214" t="str">
        <f>VLOOKUP($H129,AWS!$A:$H,2,0)</f>
        <v>AWS</v>
      </c>
      <c r="B129" s="214" t="str">
        <f>VLOOKUP($H129,AWS!$A:$H,3,0)</f>
        <v>KRAFTON HQ</v>
      </c>
      <c r="C129" s="209" t="str">
        <f>VLOOKUP($H129,AWS!$A:$H,4,0)</f>
        <v>KRAFTON HQ</v>
      </c>
      <c r="D129" s="214" t="str">
        <f>VLOOKUP($H129,AWS!$A:$H,5,0)</f>
        <v>Esports Management Team</v>
      </c>
      <c r="E129" s="214" t="str">
        <f>VLOOKUP($H129,AWS!$A:$H,6,0)</f>
        <v>E-SPORTS</v>
      </c>
      <c r="F129" s="202">
        <f>VLOOKUP(표9[[#This Row],[Team]],표1[[내역]:[코스트 센터]],2,0)</f>
        <v>102096</v>
      </c>
      <c r="G129" s="202" t="str">
        <f>VLOOKUP(표9[[#This Row],[Project]],표2[],2,0)</f>
        <v>I100090801</v>
      </c>
      <c r="H129" s="214" t="s">
        <v>156</v>
      </c>
      <c r="I129" s="214" t="str">
        <f>VLOOKUP($H129,AWS!$A:$H,8,0)</f>
        <v>정경훈</v>
      </c>
      <c r="J129" s="214" t="str">
        <f>VLOOKUP($H129,AWS!$A:$H,8,0)</f>
        <v>정경훈</v>
      </c>
      <c r="K129" s="187"/>
      <c r="L129" s="215">
        <v>125166</v>
      </c>
      <c r="M129" s="216">
        <v>1430075</v>
      </c>
      <c r="N129" s="217">
        <v>2525521</v>
      </c>
      <c r="O129" s="217">
        <v>111563</v>
      </c>
      <c r="P129" s="217">
        <v>109511</v>
      </c>
      <c r="Q129" s="217">
        <v>112268</v>
      </c>
      <c r="R129" s="217">
        <v>113131</v>
      </c>
      <c r="S129" s="217">
        <v>363946</v>
      </c>
      <c r="T129" s="212">
        <v>283435</v>
      </c>
      <c r="U129" s="212">
        <v>255859</v>
      </c>
      <c r="V129" s="205">
        <v>293837</v>
      </c>
      <c r="W129" s="205">
        <f>ROUND(표9[[#This Row],[Apr 2026 (USD or KRW)]],0)</f>
        <v>0</v>
      </c>
      <c r="X129" s="212"/>
      <c r="Y129" s="206">
        <f>표9[[#This Row],[Apr 2027(KRW)]]-표9[[#This Row],[Mar 2026(KRW)]]</f>
        <v>-293837</v>
      </c>
      <c r="Z129" s="213">
        <f t="shared" si="1"/>
        <v>-1</v>
      </c>
      <c r="AA129" s="208">
        <f>VLOOKUP(표9[[#This Row],[Team]],표1[],3,0)</f>
        <v>1000</v>
      </c>
    </row>
    <row r="130" spans="1:27" s="8" customFormat="1" ht="15">
      <c r="A130" s="209" t="str">
        <f>VLOOKUP($H130,AWS!$A:$H,2,0)</f>
        <v>AWS</v>
      </c>
      <c r="B130" s="209" t="str">
        <f>VLOOKUP($H130,AWS!$A:$H,3,0)</f>
        <v>Flyway Games</v>
      </c>
      <c r="C130" s="209" t="str">
        <f>VLOOKUP($H130,AWS!$A:$H,4,0)</f>
        <v>Flyway Games</v>
      </c>
      <c r="D130" s="214">
        <f>VLOOKUP($H130,AWS!$A:$H,5,0)</f>
        <v>0</v>
      </c>
      <c r="E130" s="214">
        <f>VLOOKUP($H130,AWS!$A:$H,6,0)</f>
        <v>0</v>
      </c>
      <c r="F130" s="202" t="e">
        <f>VLOOKUP(표9[[#This Row],[Team]],표1[[내역]:[코스트 센터]],2,0)</f>
        <v>#N/A</v>
      </c>
      <c r="G130" s="202" t="e">
        <f>VLOOKUP(표9[[#This Row],[Project]],표2[],2,0)</f>
        <v>#N/A</v>
      </c>
      <c r="H130" s="209" t="s">
        <v>157</v>
      </c>
      <c r="I130" s="209" t="str">
        <f>VLOOKUP($H130,AWS!$A:$H,7,0)</f>
        <v>허태욱</v>
      </c>
      <c r="J130" s="214" t="str">
        <f>VLOOKUP($H130,AWS!$A:$H,8,0)</f>
        <v>허태욱</v>
      </c>
      <c r="K130" s="186"/>
      <c r="L130" s="210">
        <v>155265</v>
      </c>
      <c r="M130" s="211">
        <v>161371</v>
      </c>
      <c r="N130" s="212">
        <v>168468</v>
      </c>
      <c r="O130" s="212">
        <v>182441</v>
      </c>
      <c r="P130" s="212">
        <v>175494</v>
      </c>
      <c r="Q130" s="212">
        <v>156126</v>
      </c>
      <c r="R130" s="212">
        <v>152022</v>
      </c>
      <c r="S130" s="212">
        <v>155400</v>
      </c>
      <c r="T130" s="212">
        <v>143982</v>
      </c>
      <c r="U130" s="212">
        <v>121095</v>
      </c>
      <c r="V130" s="205">
        <v>134895</v>
      </c>
      <c r="W130" s="205">
        <f>ROUND(표9[[#This Row],[Apr 2026 (USD or KRW)]],0)</f>
        <v>0</v>
      </c>
      <c r="X130" s="212"/>
      <c r="Y130" s="206">
        <f>표9[[#This Row],[Apr 2027(KRW)]]-표9[[#This Row],[Mar 2026(KRW)]]</f>
        <v>-134895</v>
      </c>
      <c r="Z130" s="213">
        <f t="shared" si="1"/>
        <v>-1</v>
      </c>
      <c r="AA130" s="208" t="e">
        <f>VLOOKUP(표9[[#This Row],[Team]],표1[],3,0)</f>
        <v>#N/A</v>
      </c>
    </row>
    <row r="131" spans="1:27" s="8" customFormat="1" ht="15">
      <c r="A131" s="209" t="str">
        <f>VLOOKUP($H131,AWS!$A:$H,2,0)</f>
        <v>AWS</v>
      </c>
      <c r="B131" s="209" t="str">
        <f>VLOOKUP($H131,AWS!$A:$H,3,0)</f>
        <v>Flyway Games</v>
      </c>
      <c r="C131" s="209" t="str">
        <f>VLOOKUP($H131,AWS!$A:$H,4,0)</f>
        <v>Flyway Games</v>
      </c>
      <c r="D131" s="214" t="str">
        <f>VLOOKUP($H131,AWS!$A:$H,5,0)</f>
        <v>FWG People Team</v>
      </c>
      <c r="E131" s="214">
        <f>VLOOKUP($H131,AWS!$A:$H,6,0)</f>
        <v>0</v>
      </c>
      <c r="F131" s="202">
        <f>VLOOKUP(표9[[#This Row],[Team]],표1[[내역]:[코스트 센터]],2,0)</f>
        <v>480004</v>
      </c>
      <c r="G131" s="202" t="e">
        <f>VLOOKUP(표9[[#This Row],[Project]],표2[],2,0)</f>
        <v>#N/A</v>
      </c>
      <c r="H131" s="209" t="s">
        <v>158</v>
      </c>
      <c r="I131" s="209" t="str">
        <f>VLOOKUP($H131,AWS!$A:$H,7,0)</f>
        <v>전민욱</v>
      </c>
      <c r="J131" s="214" t="str">
        <f>VLOOKUP($H131,AWS!$A:$H,8,0)</f>
        <v>전민욱</v>
      </c>
      <c r="K131" s="186"/>
      <c r="L131" s="210">
        <v>73417</v>
      </c>
      <c r="M131" s="211">
        <v>77568</v>
      </c>
      <c r="N131" s="212">
        <v>71862</v>
      </c>
      <c r="O131" s="212">
        <v>74723</v>
      </c>
      <c r="P131" s="212">
        <v>76231</v>
      </c>
      <c r="Q131" s="212">
        <v>79853</v>
      </c>
      <c r="R131" s="212">
        <v>78996</v>
      </c>
      <c r="S131" s="212">
        <v>102123</v>
      </c>
      <c r="T131" s="212">
        <v>103142</v>
      </c>
      <c r="U131" s="212">
        <v>95017</v>
      </c>
      <c r="V131" s="205">
        <v>112662</v>
      </c>
      <c r="W131" s="205">
        <f>ROUND(표9[[#This Row],[Apr 2026 (USD or KRW)]],0)</f>
        <v>0</v>
      </c>
      <c r="X131" s="212"/>
      <c r="Y131" s="206">
        <f>표9[[#This Row],[Apr 2027(KRW)]]-표9[[#This Row],[Mar 2026(KRW)]]</f>
        <v>-112662</v>
      </c>
      <c r="Z131" s="213">
        <f t="shared" si="1"/>
        <v>-1</v>
      </c>
      <c r="AA131" s="208">
        <f>VLOOKUP(표9[[#This Row],[Team]],표1[],3,0)</f>
        <v>4800</v>
      </c>
    </row>
    <row r="132" spans="1:27" s="8" customFormat="1" ht="15">
      <c r="A132" s="214" t="str">
        <f>VLOOKUP($H132,AWS!$A:$H,2,0)</f>
        <v>AWS</v>
      </c>
      <c r="B132" s="214" t="str">
        <f>VLOOKUP($H132,AWS!$A:$H,3,0)</f>
        <v>KRAFTON HQ</v>
      </c>
      <c r="C132" s="209" t="str">
        <f>VLOOKUP($H132,AWS!$A:$H,4,0)</f>
        <v>KRAFTON HQ</v>
      </c>
      <c r="D132" s="214" t="str">
        <f>VLOOKUP($H132,AWS!$A:$H,5,0)</f>
        <v>KOS Engineering Dept.</v>
      </c>
      <c r="E132" s="214" t="str">
        <f>VLOOKUP($H132,AWS!$A:$H,6,0)</f>
        <v>GPP</v>
      </c>
      <c r="F132" s="202">
        <f>VLOOKUP(표9[[#This Row],[Team]],표1[[내역]:[코스트 센터]],2,0)</f>
        <v>100025</v>
      </c>
      <c r="G132" s="202" t="str">
        <f>VLOOKUP(표9[[#This Row],[Project]],표2[],2,0)</f>
        <v>I100090813</v>
      </c>
      <c r="H132" s="214" t="s">
        <v>159</v>
      </c>
      <c r="I132" s="214" t="str">
        <f>VLOOKUP($H132,AWS!$A:$H,8,0)</f>
        <v>신근우</v>
      </c>
      <c r="J132" s="214" t="str">
        <f>VLOOKUP($H132,AWS!$A:$H,8,0)</f>
        <v>신근우</v>
      </c>
      <c r="K132" s="187"/>
      <c r="L132" s="215">
        <v>108433</v>
      </c>
      <c r="M132" s="216">
        <v>64056</v>
      </c>
      <c r="N132" s="217">
        <v>57505</v>
      </c>
      <c r="O132" s="217">
        <v>61527</v>
      </c>
      <c r="P132" s="217">
        <v>109873</v>
      </c>
      <c r="Q132" s="217">
        <v>77806</v>
      </c>
      <c r="R132" s="217">
        <v>87248</v>
      </c>
      <c r="S132" s="217">
        <v>290283</v>
      </c>
      <c r="T132" s="212">
        <v>294940</v>
      </c>
      <c r="U132" s="212">
        <v>267787</v>
      </c>
      <c r="V132" s="205">
        <v>308012</v>
      </c>
      <c r="W132" s="205">
        <f>ROUND(표9[[#This Row],[Apr 2026 (USD or KRW)]],0)</f>
        <v>0</v>
      </c>
      <c r="X132" s="212"/>
      <c r="Y132" s="206">
        <f>표9[[#This Row],[Apr 2027(KRW)]]-표9[[#This Row],[Mar 2026(KRW)]]</f>
        <v>-308012</v>
      </c>
      <c r="Z132" s="213">
        <f t="shared" ref="Z132:Z195" si="2">IF(V132=0,"",(W132-V132)/V132)</f>
        <v>-1</v>
      </c>
      <c r="AA132" s="208">
        <f>VLOOKUP(표9[[#This Row],[Team]],표1[],3,0)</f>
        <v>1000</v>
      </c>
    </row>
    <row r="133" spans="1:27" s="8" customFormat="1" ht="15">
      <c r="A133" s="214" t="str">
        <f>VLOOKUP($H133,AWS!$A:$H,2,0)</f>
        <v>AWS</v>
      </c>
      <c r="B133" s="214" t="str">
        <f>VLOOKUP($H133,AWS!$A:$H,3,0)</f>
        <v>DLD</v>
      </c>
      <c r="C133" s="209" t="str">
        <f>VLOOKUP($H133,AWS!$A:$H,4,0)</f>
        <v>DLD</v>
      </c>
      <c r="D133" s="214" t="str">
        <f>VLOOKUP($H133,AWS!$A:$H,5,0)</f>
        <v>AI Foundation Model TF Team</v>
      </c>
      <c r="E133" s="214" t="str">
        <f>VLOOKUP($H133,AWS!$A:$H,6,0)</f>
        <v>AI Foundation TF</v>
      </c>
      <c r="F133" s="202">
        <f>VLOOKUP(표9[[#This Row],[Team]],표1[[내역]:[코스트 센터]],2,0)</f>
        <v>102035</v>
      </c>
      <c r="G133" s="202" t="str">
        <f>VLOOKUP(표9[[#This Row],[Project]],표2[],2,0)</f>
        <v>I100090134</v>
      </c>
      <c r="H133" s="209" t="s">
        <v>160</v>
      </c>
      <c r="I133" s="214" t="str">
        <f>VLOOKUP($H133,AWS!$A:$H,8,0)</f>
        <v>김지윤</v>
      </c>
      <c r="J133" s="214" t="str">
        <f>VLOOKUP($H133,AWS!$A:$H,8,0)</f>
        <v>김지윤</v>
      </c>
      <c r="K133" s="187" t="s">
        <v>29</v>
      </c>
      <c r="L133" s="215"/>
      <c r="M133" s="216"/>
      <c r="N133" s="217"/>
      <c r="O133" s="217"/>
      <c r="P133" s="217">
        <v>6998787602</v>
      </c>
      <c r="Q133" s="217">
        <v>598687232</v>
      </c>
      <c r="R133" s="217">
        <v>596216106</v>
      </c>
      <c r="S133" s="217">
        <v>603132784</v>
      </c>
      <c r="T133" s="212">
        <v>599569136</v>
      </c>
      <c r="U133" s="212">
        <v>539854405</v>
      </c>
      <c r="V133" s="205">
        <v>635729111</v>
      </c>
      <c r="W133" s="205">
        <f>ROUND(표9[[#This Row],[Apr 2026 (USD or KRW)]],0)</f>
        <v>0</v>
      </c>
      <c r="X133" s="212"/>
      <c r="Y133" s="206">
        <f>표9[[#This Row],[Apr 2027(KRW)]]-표9[[#This Row],[Mar 2026(KRW)]]</f>
        <v>-635729111</v>
      </c>
      <c r="Z133" s="213">
        <f t="shared" si="2"/>
        <v>-1</v>
      </c>
      <c r="AA133" s="208">
        <f>VLOOKUP(표9[[#This Row],[Team]],표1[],3,0)</f>
        <v>1000</v>
      </c>
    </row>
    <row r="134" spans="1:27" s="8" customFormat="1" ht="15">
      <c r="A134" s="214" t="str">
        <f>VLOOKUP($H134,AWS!$A:$H,2,0)</f>
        <v>AWS</v>
      </c>
      <c r="B134" s="214" t="str">
        <f>VLOOKUP($H134,AWS!$A:$H,3,0)</f>
        <v>KRAFTON HQ</v>
      </c>
      <c r="C134" s="209" t="str">
        <f>VLOOKUP($H134,AWS!$A:$H,4,0)</f>
        <v>KRAFTON HQ</v>
      </c>
      <c r="D134" s="214" t="str">
        <f>VLOOKUP($H134,AWS!$A:$H,5,0)</f>
        <v>Game Security Engineering Dept.</v>
      </c>
      <c r="E134" s="214" t="str">
        <f>VLOOKUP($H134,AWS!$A:$H,6,0)</f>
        <v>OVERHEAD/OTHERS</v>
      </c>
      <c r="F134" s="202">
        <f>VLOOKUP(표9[[#This Row],[Team]],표1[[내역]:[코스트 센터]],2,0)</f>
        <v>100415</v>
      </c>
      <c r="G134" s="202" t="str">
        <f>VLOOKUP(표9[[#This Row],[Project]],표2[],2,0)</f>
        <v>I100099999</v>
      </c>
      <c r="H134" s="214" t="s">
        <v>161</v>
      </c>
      <c r="I134" s="214" t="str">
        <f>VLOOKUP($H134,AWS!$A:$H,8,0)</f>
        <v>황범석</v>
      </c>
      <c r="J134" s="214" t="str">
        <f>VLOOKUP($H134,AWS!$A:$H,8,0)</f>
        <v>황범석</v>
      </c>
      <c r="K134" s="187" t="s">
        <v>29</v>
      </c>
      <c r="L134" s="215"/>
      <c r="M134" s="216"/>
      <c r="N134" s="217">
        <v>116770</v>
      </c>
      <c r="O134" s="217">
        <v>240623</v>
      </c>
      <c r="P134" s="217">
        <v>228323</v>
      </c>
      <c r="Q134" s="217">
        <v>241109</v>
      </c>
      <c r="R134" s="217">
        <v>239026</v>
      </c>
      <c r="S134" s="217">
        <v>240104</v>
      </c>
      <c r="T134" s="212">
        <v>241996</v>
      </c>
      <c r="U134" s="212">
        <v>216849</v>
      </c>
      <c r="V134" s="205">
        <v>250687</v>
      </c>
      <c r="W134" s="205">
        <f>ROUND(표9[[#This Row],[Apr 2026 (USD or KRW)]],0)</f>
        <v>0</v>
      </c>
      <c r="X134" s="212"/>
      <c r="Y134" s="206">
        <f>표9[[#This Row],[Apr 2027(KRW)]]-표9[[#This Row],[Mar 2026(KRW)]]</f>
        <v>-250687</v>
      </c>
      <c r="Z134" s="213">
        <f t="shared" si="2"/>
        <v>-1</v>
      </c>
      <c r="AA134" s="208">
        <f>VLOOKUP(표9[[#This Row],[Team]],표1[],3,0)</f>
        <v>1000</v>
      </c>
    </row>
    <row r="135" spans="1:27" s="8" customFormat="1" ht="15">
      <c r="A135" s="209" t="str">
        <f>VLOOKUP($H135,AWS!$A:$H,2,0)</f>
        <v>AWS</v>
      </c>
      <c r="B135" s="209" t="str">
        <f>VLOOKUP($H135,AWS!$A:$H,3,0)</f>
        <v>KRAFTON HQ</v>
      </c>
      <c r="C135" s="209" t="str">
        <f>VLOOKUP($H135,AWS!$A:$H,4,0)</f>
        <v>KRAFTON India</v>
      </c>
      <c r="D135" s="214" t="str">
        <f>VLOOKUP($H135,AWS!$A:$H,5,0)</f>
        <v>IN New Games Publishing Team 3</v>
      </c>
      <c r="E135" s="214" t="str">
        <f>VLOOKUP($H135,AWS!$A:$H,6,0)</f>
        <v>Project IGNT</v>
      </c>
      <c r="F135" s="202">
        <f>VLOOKUP(표9[[#This Row],[Team]],표1[[내역]:[코스트 센터]],2,0)</f>
        <v>290062</v>
      </c>
      <c r="G135" s="202" t="str">
        <f>VLOOKUP(표9[[#This Row],[Project]],표2[],2,0)</f>
        <v>P100130183</v>
      </c>
      <c r="H135" s="209" t="s">
        <v>162</v>
      </c>
      <c r="I135" s="219" t="str">
        <f>VLOOKUP($H135,AWS!$A:$H,8,0)</f>
        <v>Prashant Pandey</v>
      </c>
      <c r="J135" s="214" t="str">
        <f>VLOOKUP($H135,AWS!$A:$H,8,0)</f>
        <v>Prashant Pandey</v>
      </c>
      <c r="K135" s="186"/>
      <c r="L135" s="210"/>
      <c r="M135" s="211"/>
      <c r="N135" s="212"/>
      <c r="O135" s="212"/>
      <c r="P135" s="212"/>
      <c r="Q135" s="212"/>
      <c r="R135" s="212"/>
      <c r="S135" s="212"/>
      <c r="T135" s="212">
        <v>12667</v>
      </c>
      <c r="U135" s="212">
        <v>767196</v>
      </c>
      <c r="V135" s="205">
        <v>4461949</v>
      </c>
      <c r="W135" s="205">
        <f>ROUND(표9[[#This Row],[Apr 2026 (USD or KRW)]],0)</f>
        <v>0</v>
      </c>
      <c r="X135" s="212"/>
      <c r="Y135" s="206">
        <f>표9[[#This Row],[Apr 2027(KRW)]]-표9[[#This Row],[Mar 2026(KRW)]]</f>
        <v>-4461949</v>
      </c>
      <c r="Z135" s="213">
        <f t="shared" si="2"/>
        <v>-1</v>
      </c>
      <c r="AA135" s="208">
        <f>VLOOKUP(표9[[#This Row],[Team]],표1[],3,0)</f>
        <v>2900</v>
      </c>
    </row>
    <row r="136" spans="1:27" s="8" customFormat="1" ht="15">
      <c r="A136" s="214" t="str">
        <f>VLOOKUP($H136,AWS!$A:$H,2,0)</f>
        <v>AWS</v>
      </c>
      <c r="B136" s="214" t="str">
        <f>VLOOKUP($H136,AWS!$A:$H,3,0)</f>
        <v>KRAFTON HQ</v>
      </c>
      <c r="C136" s="209" t="str">
        <f>VLOOKUP($H136,AWS!$A:$H,4,0)</f>
        <v>KRAFTON India</v>
      </c>
      <c r="D136" s="214" t="str">
        <f>VLOOKUP($H136,AWS!$A:$H,5,0)</f>
        <v>IN New Games Publishing Team 3</v>
      </c>
      <c r="E136" s="214" t="str">
        <f>VLOOKUP($H136,AWS!$A:$H,6,0)</f>
        <v>Project IGNT</v>
      </c>
      <c r="F136" s="202">
        <f>VLOOKUP(표9[[#This Row],[Team]],표1[[내역]:[코스트 센터]],2,0)</f>
        <v>290062</v>
      </c>
      <c r="G136" s="202" t="str">
        <f>VLOOKUP(표9[[#This Row],[Project]],표2[],2,0)</f>
        <v>P100130183</v>
      </c>
      <c r="H136" s="214" t="s">
        <v>163</v>
      </c>
      <c r="I136" s="214" t="str">
        <f>VLOOKUP($H136,AWS!$A:$H,8,0)</f>
        <v>Sudhamshu Mitra</v>
      </c>
      <c r="J136" s="214" t="str">
        <f>VLOOKUP($H136,AWS!$A:$H,8,0)</f>
        <v>Sudhamshu Mitra</v>
      </c>
      <c r="K136" s="187"/>
      <c r="L136" s="215"/>
      <c r="M136" s="216"/>
      <c r="N136" s="217"/>
      <c r="O136" s="217"/>
      <c r="P136" s="217"/>
      <c r="Q136" s="217"/>
      <c r="R136" s="217"/>
      <c r="S136" s="217">
        <v>53289</v>
      </c>
      <c r="T136" s="212">
        <v>182233</v>
      </c>
      <c r="U136" s="212">
        <v>808512</v>
      </c>
      <c r="V136" s="205">
        <v>339600</v>
      </c>
      <c r="W136" s="205">
        <f>ROUND(표9[[#This Row],[Apr 2026 (USD or KRW)]],0)</f>
        <v>0</v>
      </c>
      <c r="X136" s="212"/>
      <c r="Y136" s="206">
        <f>표9[[#This Row],[Apr 2027(KRW)]]-표9[[#This Row],[Mar 2026(KRW)]]</f>
        <v>-339600</v>
      </c>
      <c r="Z136" s="213">
        <f t="shared" si="2"/>
        <v>-1</v>
      </c>
      <c r="AA136" s="208">
        <f>VLOOKUP(표9[[#This Row],[Team]],표1[],3,0)</f>
        <v>2900</v>
      </c>
    </row>
    <row r="137" spans="1:27" s="8" customFormat="1" ht="15">
      <c r="A137" s="214" t="str">
        <f>VLOOKUP($H137,AWS!$A:$H,2,0)</f>
        <v>AWS</v>
      </c>
      <c r="B137" s="214" t="str">
        <f>VLOOKUP($H137,AWS!$A:$H,3,0)</f>
        <v>KRAFTON HQ</v>
      </c>
      <c r="C137" s="209" t="str">
        <f>VLOOKUP($H137,AWS!$A:$H,4,0)</f>
        <v>KRAFTON India</v>
      </c>
      <c r="D137" s="214" t="str">
        <f>VLOOKUP($H137,AWS!$A:$H,5,0)</f>
        <v>India Div.</v>
      </c>
      <c r="E137" s="214" t="str">
        <f>VLOOKUP($H137,AWS!$A:$H,6,0)</f>
        <v>OVERHEAD/OTHERS</v>
      </c>
      <c r="F137" s="202">
        <f>VLOOKUP(표9[[#This Row],[Team]],표1[[내역]:[코스트 센터]],2,0)</f>
        <v>290008</v>
      </c>
      <c r="G137" s="202" t="str">
        <f>VLOOKUP(표9[[#This Row],[Project]],표2[],2,0)</f>
        <v>I100099999</v>
      </c>
      <c r="H137" s="214" t="s">
        <v>164</v>
      </c>
      <c r="I137" s="214" t="str">
        <f>VLOOKUP($H137,AWS!$A:$H,8,0)</f>
        <v>Veligatla Vamsi Krishna</v>
      </c>
      <c r="J137" s="214" t="str">
        <f>VLOOKUP($H137,AWS!$A:$H,8,0)</f>
        <v>Veligatla Vamsi Krishna</v>
      </c>
      <c r="K137" s="187"/>
      <c r="L137" s="215"/>
      <c r="M137" s="216"/>
      <c r="N137" s="217"/>
      <c r="O137" s="217"/>
      <c r="P137" s="217">
        <v>0</v>
      </c>
      <c r="Q137" s="217">
        <v>12032</v>
      </c>
      <c r="R137" s="217">
        <v>184044</v>
      </c>
      <c r="S137" s="217">
        <v>170022</v>
      </c>
      <c r="T137" s="212">
        <v>50841</v>
      </c>
      <c r="U137" s="212">
        <v>45164</v>
      </c>
      <c r="V137" s="205">
        <v>25685</v>
      </c>
      <c r="W137" s="205">
        <f>ROUND(표9[[#This Row],[Apr 2026 (USD or KRW)]],0)</f>
        <v>0</v>
      </c>
      <c r="X137" s="212"/>
      <c r="Y137" s="206">
        <f>표9[[#This Row],[Apr 2027(KRW)]]-표9[[#This Row],[Mar 2026(KRW)]]</f>
        <v>-25685</v>
      </c>
      <c r="Z137" s="213">
        <f t="shared" si="2"/>
        <v>-1</v>
      </c>
      <c r="AA137" s="208">
        <f>VLOOKUP(표9[[#This Row],[Team]],표1[],3,0)</f>
        <v>2900</v>
      </c>
    </row>
    <row r="138" spans="1:27" s="8" customFormat="1" ht="15">
      <c r="A138" s="214" t="str">
        <f>VLOOKUP($H138,AWS!$A:$H,2,0)</f>
        <v>AWS</v>
      </c>
      <c r="B138" s="214" t="str">
        <f>VLOOKUP($H138,AWS!$A:$H,3,0)</f>
        <v>KRAFTON HQ</v>
      </c>
      <c r="C138" s="209" t="str">
        <f>VLOOKUP($H138,AWS!$A:$H,4,0)</f>
        <v>KRAFTON HQ</v>
      </c>
      <c r="D138" s="214" t="str">
        <f>VLOOKUP($H138,AWS!$A:$H,5,0)</f>
        <v>Service Devops Team</v>
      </c>
      <c r="E138" s="214" t="str">
        <f>VLOOKUP($H138,AWS!$A:$H,6,0)</f>
        <v>inZOI</v>
      </c>
      <c r="F138" s="202">
        <f>VLOOKUP(표9[[#This Row],[Team]],표1[[내역]:[코스트 센터]],2,0)</f>
        <v>100033</v>
      </c>
      <c r="G138" s="202" t="str">
        <f>VLOOKUP(표9[[#This Row],[Project]],표2[],2,0)</f>
        <v>P100010055</v>
      </c>
      <c r="H138" s="214" t="s">
        <v>165</v>
      </c>
      <c r="I138" s="214" t="str">
        <f>VLOOKUP($H138,AWS!$A:$H,8,0)</f>
        <v>양장수</v>
      </c>
      <c r="J138" s="214" t="str">
        <f>VLOOKUP($H138,AWS!$A:$H,8,0)</f>
        <v>양장수</v>
      </c>
      <c r="K138" s="187" t="s">
        <v>29</v>
      </c>
      <c r="L138" s="215">
        <v>9811</v>
      </c>
      <c r="M138" s="216">
        <v>25420</v>
      </c>
      <c r="N138" s="217">
        <v>22468</v>
      </c>
      <c r="O138" s="217">
        <v>31678</v>
      </c>
      <c r="P138" s="217">
        <v>32573</v>
      </c>
      <c r="Q138" s="217">
        <v>33470</v>
      </c>
      <c r="R138" s="217">
        <v>33467</v>
      </c>
      <c r="S138" s="217">
        <v>39422</v>
      </c>
      <c r="T138" s="212">
        <v>41044</v>
      </c>
      <c r="U138" s="212">
        <v>42064</v>
      </c>
      <c r="V138" s="205">
        <v>39637</v>
      </c>
      <c r="W138" s="205">
        <f>ROUND(표9[[#This Row],[Apr 2026 (USD or KRW)]],0)</f>
        <v>0</v>
      </c>
      <c r="X138" s="212"/>
      <c r="Y138" s="206">
        <f>표9[[#This Row],[Apr 2027(KRW)]]-표9[[#This Row],[Mar 2026(KRW)]]</f>
        <v>-39637</v>
      </c>
      <c r="Z138" s="213">
        <f t="shared" si="2"/>
        <v>-1</v>
      </c>
      <c r="AA138" s="208">
        <f>VLOOKUP(표9[[#This Row],[Team]],표1[],3,0)</f>
        <v>1000</v>
      </c>
    </row>
    <row r="139" spans="1:27" s="8" customFormat="1" ht="15">
      <c r="A139" s="214" t="str">
        <f>VLOOKUP($H139,AWS!$A:$H,2,0)</f>
        <v>AWS</v>
      </c>
      <c r="B139" s="214" t="str">
        <f>VLOOKUP($H139,AWS!$A:$H,3,0)</f>
        <v>KRAFTON HQ</v>
      </c>
      <c r="C139" s="209" t="str">
        <f>VLOOKUP($H139,AWS!$A:$H,4,0)</f>
        <v>KRAFTON HQ</v>
      </c>
      <c r="D139" s="214" t="str">
        <f>VLOOKUP($H139,AWS!$A:$H,5,0)</f>
        <v>Service Devops Team</v>
      </c>
      <c r="E139" s="214" t="str">
        <f>VLOOKUP($H139,AWS!$A:$H,6,0)</f>
        <v>inZOI</v>
      </c>
      <c r="F139" s="202">
        <f>VLOOKUP(표9[[#This Row],[Team]],표1[[내역]:[코스트 센터]],2,0)</f>
        <v>100033</v>
      </c>
      <c r="G139" s="202" t="str">
        <f>VLOOKUP(표9[[#This Row],[Project]],표2[],2,0)</f>
        <v>P100010055</v>
      </c>
      <c r="H139" s="214" t="s">
        <v>166</v>
      </c>
      <c r="I139" s="214" t="str">
        <f>VLOOKUP($H139,AWS!$A:$H,8,0)</f>
        <v>양장수</v>
      </c>
      <c r="J139" s="214" t="str">
        <f>VLOOKUP($H139,AWS!$A:$H,8,0)</f>
        <v>양장수</v>
      </c>
      <c r="K139" s="187" t="s">
        <v>29</v>
      </c>
      <c r="L139" s="215">
        <v>1789</v>
      </c>
      <c r="M139" s="216">
        <v>14185</v>
      </c>
      <c r="N139" s="217">
        <v>6071</v>
      </c>
      <c r="O139" s="217">
        <v>11375</v>
      </c>
      <c r="P139" s="217">
        <v>12109</v>
      </c>
      <c r="Q139" s="217">
        <v>12580</v>
      </c>
      <c r="R139" s="217">
        <v>12445</v>
      </c>
      <c r="S139" s="217">
        <v>16371</v>
      </c>
      <c r="T139" s="212">
        <v>18121</v>
      </c>
      <c r="U139" s="212">
        <v>18594</v>
      </c>
      <c r="V139" s="205">
        <v>15889</v>
      </c>
      <c r="W139" s="205">
        <f>ROUND(표9[[#This Row],[Apr 2026 (USD or KRW)]],0)</f>
        <v>0</v>
      </c>
      <c r="X139" s="212"/>
      <c r="Y139" s="206">
        <f>표9[[#This Row],[Apr 2027(KRW)]]-표9[[#This Row],[Mar 2026(KRW)]]</f>
        <v>-15889</v>
      </c>
      <c r="Z139" s="213">
        <f t="shared" si="2"/>
        <v>-1</v>
      </c>
      <c r="AA139" s="208">
        <f>VLOOKUP(표9[[#This Row],[Team]],표1[],3,0)</f>
        <v>1000</v>
      </c>
    </row>
    <row r="140" spans="1:27" s="8" customFormat="1" ht="15">
      <c r="A140" s="214" t="str">
        <f>VLOOKUP($H140,AWS!$A:$H,2,0)</f>
        <v>AWS</v>
      </c>
      <c r="B140" s="214" t="str">
        <f>VLOOKUP($H140,AWS!$A:$H,3,0)</f>
        <v>KRAFTON HQ</v>
      </c>
      <c r="C140" s="209" t="str">
        <f>VLOOKUP($H140,AWS!$A:$H,4,0)</f>
        <v>KRAFTON HQ</v>
      </c>
      <c r="D140" s="214" t="str">
        <f>VLOOKUP($H140,AWS!$A:$H,5,0)</f>
        <v>Service Devops Team</v>
      </c>
      <c r="E140" s="214" t="str">
        <f>VLOOKUP($H140,AWS!$A:$H,6,0)</f>
        <v>inZOI</v>
      </c>
      <c r="F140" s="202">
        <f>VLOOKUP(표9[[#This Row],[Team]],표1[[내역]:[코스트 센터]],2,0)</f>
        <v>100033</v>
      </c>
      <c r="G140" s="202" t="str">
        <f>VLOOKUP(표9[[#This Row],[Project]],표2[],2,0)</f>
        <v>P100010055</v>
      </c>
      <c r="H140" s="214" t="s">
        <v>167</v>
      </c>
      <c r="I140" s="214" t="str">
        <f>VLOOKUP($H140,AWS!$A:$H,8,0)</f>
        <v>양장수</v>
      </c>
      <c r="J140" s="214" t="str">
        <f>VLOOKUP($H140,AWS!$A:$H,8,0)</f>
        <v>양장수</v>
      </c>
      <c r="K140" s="187" t="s">
        <v>29</v>
      </c>
      <c r="L140" s="215">
        <v>13210297</v>
      </c>
      <c r="M140" s="216">
        <v>11143442</v>
      </c>
      <c r="N140" s="217">
        <v>10665714</v>
      </c>
      <c r="O140" s="217">
        <v>10213917</v>
      </c>
      <c r="P140" s="217">
        <v>9558208</v>
      </c>
      <c r="Q140" s="217">
        <v>7391692</v>
      </c>
      <c r="R140" s="217">
        <v>7669978</v>
      </c>
      <c r="S140" s="217">
        <v>7806571</v>
      </c>
      <c r="T140" s="212">
        <v>7647060</v>
      </c>
      <c r="U140" s="212">
        <v>7119816</v>
      </c>
      <c r="V140" s="205">
        <v>7599816</v>
      </c>
      <c r="W140" s="205">
        <f>ROUND(표9[[#This Row],[Apr 2026 (USD or KRW)]],0)</f>
        <v>0</v>
      </c>
      <c r="X140" s="212"/>
      <c r="Y140" s="206">
        <f>표9[[#This Row],[Apr 2027(KRW)]]-표9[[#This Row],[Mar 2026(KRW)]]</f>
        <v>-7599816</v>
      </c>
      <c r="Z140" s="213">
        <f t="shared" si="2"/>
        <v>-1</v>
      </c>
      <c r="AA140" s="208">
        <f>VLOOKUP(표9[[#This Row],[Team]],표1[],3,0)</f>
        <v>1000</v>
      </c>
    </row>
    <row r="141" spans="1:27" s="8" customFormat="1" ht="15">
      <c r="A141" s="214" t="str">
        <f>VLOOKUP($H141,AWS!$A:$H,2,0)</f>
        <v>AWS</v>
      </c>
      <c r="B141" s="214" t="str">
        <f>VLOOKUP($H141,AWS!$A:$H,3,0)</f>
        <v>KRAFTON HQ</v>
      </c>
      <c r="C141" s="209" t="str">
        <f>VLOOKUP($H141,AWS!$A:$H,4,0)</f>
        <v>KRAFTON HQ</v>
      </c>
      <c r="D141" s="214" t="str">
        <f>VLOOKUP($H141,AWS!$A:$H,5,0)</f>
        <v>Service Devops Team</v>
      </c>
      <c r="E141" s="214" t="str">
        <f>VLOOKUP($H141,AWS!$A:$H,6,0)</f>
        <v>inZOI</v>
      </c>
      <c r="F141" s="202">
        <f>VLOOKUP(표9[[#This Row],[Team]],표1[[내역]:[코스트 센터]],2,0)</f>
        <v>100033</v>
      </c>
      <c r="G141" s="202" t="str">
        <f>VLOOKUP(표9[[#This Row],[Project]],표2[],2,0)</f>
        <v>P100010055</v>
      </c>
      <c r="H141" s="220" t="s">
        <v>168</v>
      </c>
      <c r="I141" s="214" t="str">
        <f>VLOOKUP($H141,AWS!$A:$H,8,0)</f>
        <v>양장수</v>
      </c>
      <c r="J141" s="214" t="str">
        <f>VLOOKUP($H141,AWS!$A:$H,8,0)</f>
        <v>양장수</v>
      </c>
      <c r="K141" s="187" t="s">
        <v>29</v>
      </c>
      <c r="L141" s="215">
        <v>37763223</v>
      </c>
      <c r="M141" s="216">
        <v>28058132</v>
      </c>
      <c r="N141" s="217">
        <v>26371235</v>
      </c>
      <c r="O141" s="217">
        <v>24054089</v>
      </c>
      <c r="P141" s="217">
        <v>21124024</v>
      </c>
      <c r="Q141" s="217">
        <v>23868136</v>
      </c>
      <c r="R141" s="217">
        <v>36787545</v>
      </c>
      <c r="S141" s="217">
        <v>35861855</v>
      </c>
      <c r="T141" s="212">
        <v>22864519</v>
      </c>
      <c r="U141" s="212">
        <v>17008134</v>
      </c>
      <c r="V141" s="205">
        <v>16919145</v>
      </c>
      <c r="W141" s="205">
        <f>ROUND(표9[[#This Row],[Apr 2026 (USD or KRW)]],0)</f>
        <v>0</v>
      </c>
      <c r="X141" s="212"/>
      <c r="Y141" s="206">
        <f>표9[[#This Row],[Apr 2027(KRW)]]-표9[[#This Row],[Mar 2026(KRW)]]</f>
        <v>-16919145</v>
      </c>
      <c r="Z141" s="213">
        <f t="shared" si="2"/>
        <v>-1</v>
      </c>
      <c r="AA141" s="208">
        <f>VLOOKUP(표9[[#This Row],[Team]],표1[],3,0)</f>
        <v>1000</v>
      </c>
    </row>
    <row r="142" spans="1:27" s="8" customFormat="1" ht="15">
      <c r="A142" s="214" t="str">
        <f>VLOOKUP($H142,AWS!$A:$H,2,0)</f>
        <v>AWS</v>
      </c>
      <c r="B142" s="214" t="str">
        <f>VLOOKUP($H142,AWS!$A:$H,3,0)</f>
        <v>KRAFTON HQ</v>
      </c>
      <c r="C142" s="209" t="str">
        <f>VLOOKUP($H142,AWS!$A:$H,4,0)</f>
        <v>KRAFTON HQ</v>
      </c>
      <c r="D142" s="214" t="str">
        <f>VLOOKUP($H142,AWS!$A:$H,5,0)</f>
        <v>Service Devops Team</v>
      </c>
      <c r="E142" s="214" t="str">
        <f>VLOOKUP($H142,AWS!$A:$H,6,0)</f>
        <v>inZOI</v>
      </c>
      <c r="F142" s="202">
        <f>VLOOKUP(표9[[#This Row],[Team]],표1[[내역]:[코스트 센터]],2,0)</f>
        <v>100033</v>
      </c>
      <c r="G142" s="202" t="str">
        <f>VLOOKUP(표9[[#This Row],[Project]],표2[],2,0)</f>
        <v>P100010055</v>
      </c>
      <c r="H142" s="214" t="s">
        <v>169</v>
      </c>
      <c r="I142" s="214" t="str">
        <f>VLOOKUP($H142,AWS!$A:$H,8,0)</f>
        <v>양장수</v>
      </c>
      <c r="J142" s="214" t="str">
        <f>VLOOKUP($H142,AWS!$A:$H,8,0)</f>
        <v>양장수</v>
      </c>
      <c r="K142" s="187" t="s">
        <v>29</v>
      </c>
      <c r="L142" s="215">
        <v>2288</v>
      </c>
      <c r="M142" s="216">
        <v>12407</v>
      </c>
      <c r="N142" s="217">
        <v>5915</v>
      </c>
      <c r="O142" s="217">
        <v>11622</v>
      </c>
      <c r="P142" s="217">
        <v>11773</v>
      </c>
      <c r="Q142" s="217">
        <v>12198</v>
      </c>
      <c r="R142" s="217">
        <v>12068</v>
      </c>
      <c r="S142" s="217">
        <v>16864</v>
      </c>
      <c r="T142" s="212">
        <v>18111</v>
      </c>
      <c r="U142" s="212">
        <v>18451</v>
      </c>
      <c r="V142" s="205">
        <v>15830</v>
      </c>
      <c r="W142" s="205">
        <f>ROUND(표9[[#This Row],[Apr 2026 (USD or KRW)]],0)</f>
        <v>0</v>
      </c>
      <c r="X142" s="212"/>
      <c r="Y142" s="206">
        <f>표9[[#This Row],[Apr 2027(KRW)]]-표9[[#This Row],[Mar 2026(KRW)]]</f>
        <v>-15830</v>
      </c>
      <c r="Z142" s="213">
        <f t="shared" si="2"/>
        <v>-1</v>
      </c>
      <c r="AA142" s="208">
        <f>VLOOKUP(표9[[#This Row],[Team]],표1[],3,0)</f>
        <v>1000</v>
      </c>
    </row>
    <row r="143" spans="1:27" s="8" customFormat="1" ht="15">
      <c r="A143" s="214" t="str">
        <f>VLOOKUP($H143,AWS!$A:$H,2,0)</f>
        <v>AWS</v>
      </c>
      <c r="B143" s="214" t="str">
        <f>VLOOKUP($H143,AWS!$A:$H,3,0)</f>
        <v>KRAFTON HQ</v>
      </c>
      <c r="C143" s="209" t="str">
        <f>VLOOKUP($H143,AWS!$A:$H,4,0)</f>
        <v>InZOI Studio</v>
      </c>
      <c r="D143" s="214" t="str">
        <f>VLOOKUP($H143,AWS!$A:$H,5,0)</f>
        <v>inZOI Studio</v>
      </c>
      <c r="E143" s="214" t="str">
        <f>VLOOKUP($H143,AWS!$A:$H,6,0)</f>
        <v>OVERHEAD/OTHERS</v>
      </c>
      <c r="F143" s="202">
        <f>VLOOKUP(표9[[#This Row],[Team]],표1[[내역]:[코스트 센터]],2,0)</f>
        <v>500001</v>
      </c>
      <c r="G143" s="202" t="str">
        <f>VLOOKUP(표9[[#This Row],[Project]],표2[],2,0)</f>
        <v>I100099999</v>
      </c>
      <c r="H143" s="214" t="s">
        <v>170</v>
      </c>
      <c r="I143" s="214" t="str">
        <f>VLOOKUP($H143,AWS!$A:$H,8,0)</f>
        <v>김재윤</v>
      </c>
      <c r="J143" s="214" t="str">
        <f>VLOOKUP($H143,AWS!$A:$H,8,0)</f>
        <v>김재윤</v>
      </c>
      <c r="K143" s="187"/>
      <c r="L143" s="215"/>
      <c r="M143" s="216"/>
      <c r="N143" s="217"/>
      <c r="O143" s="217">
        <v>13122</v>
      </c>
      <c r="P143" s="217">
        <v>6871</v>
      </c>
      <c r="Q143" s="217">
        <v>8940</v>
      </c>
      <c r="R143" s="217">
        <v>9704</v>
      </c>
      <c r="S143" s="217">
        <v>8751</v>
      </c>
      <c r="T143" s="212">
        <v>10884</v>
      </c>
      <c r="U143" s="212">
        <v>9443</v>
      </c>
      <c r="V143" s="205">
        <v>8142</v>
      </c>
      <c r="W143" s="205">
        <f>ROUND(표9[[#This Row],[Apr 2026 (USD or KRW)]],0)</f>
        <v>0</v>
      </c>
      <c r="X143" s="212"/>
      <c r="Y143" s="206">
        <f>표9[[#This Row],[Apr 2027(KRW)]]-표9[[#This Row],[Mar 2026(KRW)]]</f>
        <v>-8142</v>
      </c>
      <c r="Z143" s="213">
        <f t="shared" si="2"/>
        <v>-1</v>
      </c>
      <c r="AA143" s="208">
        <f>VLOOKUP(표9[[#This Row],[Team]],표1[],3,0)</f>
        <v>5000</v>
      </c>
    </row>
    <row r="144" spans="1:27" s="8" customFormat="1" ht="15">
      <c r="A144" s="214" t="str">
        <f>VLOOKUP($H144,AWS!$A:$H,2,0)</f>
        <v>AWS</v>
      </c>
      <c r="B144" s="214" t="str">
        <f>VLOOKUP($H144,AWS!$A:$H,3,0)</f>
        <v>KRAFTON HQ</v>
      </c>
      <c r="C144" s="209" t="str">
        <f>VLOOKUP($H144,AWS!$A:$H,4,0)</f>
        <v>KRAFTON HQ</v>
      </c>
      <c r="D144" s="214" t="str">
        <f>VLOOKUP($H144,AWS!$A:$H,5,0)</f>
        <v>IT Platform Engineering Team</v>
      </c>
      <c r="E144" s="214" t="str">
        <f>VLOOKUP($H144,AWS!$A:$H,6,0)</f>
        <v>OVERHEAD/OTHERS</v>
      </c>
      <c r="F144" s="202">
        <f>VLOOKUP(표9[[#This Row],[Team]],표1[[내역]:[코스트 센터]],2,0)</f>
        <v>100024</v>
      </c>
      <c r="G144" s="202" t="str">
        <f>VLOOKUP(표9[[#This Row],[Project]],표2[],2,0)</f>
        <v>I100099999</v>
      </c>
      <c r="H144" s="214" t="s">
        <v>171</v>
      </c>
      <c r="I144" s="214" t="str">
        <f>VLOOKUP($H144,AWS!$A:$H,8,0)</f>
        <v>김주한</v>
      </c>
      <c r="J144" s="214" t="str">
        <f>VLOOKUP($H144,AWS!$A:$H,8,0)</f>
        <v>김주한</v>
      </c>
      <c r="K144" s="187"/>
      <c r="L144" s="215"/>
      <c r="M144" s="216"/>
      <c r="N144" s="217">
        <v>367203</v>
      </c>
      <c r="O144" s="217">
        <v>3010111</v>
      </c>
      <c r="P144" s="217">
        <v>4652174</v>
      </c>
      <c r="Q144" s="217">
        <v>4683506</v>
      </c>
      <c r="R144" s="217">
        <v>8289762</v>
      </c>
      <c r="S144" s="217">
        <v>13536695</v>
      </c>
      <c r="T144" s="212">
        <v>14013845</v>
      </c>
      <c r="U144" s="212">
        <v>12797429</v>
      </c>
      <c r="V144" s="205">
        <v>13757218</v>
      </c>
      <c r="W144" s="205">
        <f>ROUND(표9[[#This Row],[Apr 2026 (USD or KRW)]],0)</f>
        <v>0</v>
      </c>
      <c r="X144" s="212"/>
      <c r="Y144" s="206">
        <f>표9[[#This Row],[Apr 2027(KRW)]]-표9[[#This Row],[Mar 2026(KRW)]]</f>
        <v>-13757218</v>
      </c>
      <c r="Z144" s="213">
        <f t="shared" si="2"/>
        <v>-1</v>
      </c>
      <c r="AA144" s="208">
        <f>VLOOKUP(표9[[#This Row],[Team]],표1[],3,0)</f>
        <v>1000</v>
      </c>
    </row>
    <row r="145" spans="1:27" s="8" customFormat="1" ht="15">
      <c r="A145" s="214" t="str">
        <f>VLOOKUP($H145,AWS!$A:$H,2,0)</f>
        <v>AWS</v>
      </c>
      <c r="B145" s="214" t="str">
        <f>VLOOKUP($H145,AWS!$A:$H,3,0)</f>
        <v>KRAFTON HQ</v>
      </c>
      <c r="C145" s="209" t="str">
        <f>VLOOKUP($H145,AWS!$A:$H,4,0)</f>
        <v>KRAFTON HQ</v>
      </c>
      <c r="D145" s="214" t="str">
        <f>VLOOKUP($H145,AWS!$A:$H,5,0)</f>
        <v>IT Dept.</v>
      </c>
      <c r="E145" s="214" t="str">
        <f>VLOOKUP($H145,AWS!$A:$H,6,0)</f>
        <v>OVERHEAD/OTHERS</v>
      </c>
      <c r="F145" s="202">
        <f>VLOOKUP(표9[[#This Row],[Team]],표1[[내역]:[코스트 센터]],2,0)</f>
        <v>100036</v>
      </c>
      <c r="G145" s="202" t="str">
        <f>VLOOKUP(표9[[#This Row],[Project]],표2[],2,0)</f>
        <v>I100099999</v>
      </c>
      <c r="H145" s="214" t="s">
        <v>172</v>
      </c>
      <c r="I145" s="214" t="str">
        <f>VLOOKUP($H145,AWS!$A:$H,8,0)</f>
        <v>김승훈</v>
      </c>
      <c r="J145" s="214" t="str">
        <f>VLOOKUP($H145,AWS!$A:$H,8,0)</f>
        <v>김승훈</v>
      </c>
      <c r="K145" s="187"/>
      <c r="L145" s="215"/>
      <c r="M145" s="216"/>
      <c r="N145" s="217">
        <v>14052</v>
      </c>
      <c r="O145" s="217">
        <v>13464</v>
      </c>
      <c r="P145" s="217">
        <v>8590</v>
      </c>
      <c r="Q145" s="217">
        <v>9078</v>
      </c>
      <c r="R145" s="217">
        <v>9675</v>
      </c>
      <c r="S145" s="217">
        <v>8664</v>
      </c>
      <c r="T145" s="212">
        <v>10556</v>
      </c>
      <c r="U145" s="212">
        <v>9176</v>
      </c>
      <c r="V145" s="205">
        <v>7933</v>
      </c>
      <c r="W145" s="205">
        <f>ROUND(표9[[#This Row],[Apr 2026 (USD or KRW)]],0)</f>
        <v>0</v>
      </c>
      <c r="X145" s="212"/>
      <c r="Y145" s="206">
        <f>표9[[#This Row],[Apr 2027(KRW)]]-표9[[#This Row],[Mar 2026(KRW)]]</f>
        <v>-7933</v>
      </c>
      <c r="Z145" s="213">
        <f t="shared" si="2"/>
        <v>-1</v>
      </c>
      <c r="AA145" s="208">
        <f>VLOOKUP(표9[[#This Row],[Team]],표1[],3,0)</f>
        <v>1000</v>
      </c>
    </row>
    <row r="146" spans="1:27" s="8" customFormat="1" ht="15">
      <c r="A146" s="214" t="str">
        <f>VLOOKUP($H146,AWS!$A:$H,2,0)</f>
        <v>AWS</v>
      </c>
      <c r="B146" s="214" t="str">
        <f>VLOOKUP($H146,AWS!$A:$H,3,0)</f>
        <v>KRAFTON HQ</v>
      </c>
      <c r="C146" s="209" t="str">
        <f>VLOOKUP($H146,AWS!$A:$H,4,0)</f>
        <v>KRAFTON HQ</v>
      </c>
      <c r="D146" s="214" t="str">
        <f>VLOOKUP($H146,AWS!$A:$H,5,0)</f>
        <v>IT Dept.</v>
      </c>
      <c r="E146" s="214" t="str">
        <f>VLOOKUP($H146,AWS!$A:$H,6,0)</f>
        <v>OVERHEAD/OTHERS</v>
      </c>
      <c r="F146" s="202">
        <f>VLOOKUP(표9[[#This Row],[Team]],표1[[내역]:[코스트 센터]],2,0)</f>
        <v>100036</v>
      </c>
      <c r="G146" s="202" t="str">
        <f>VLOOKUP(표9[[#This Row],[Project]],표2[],2,0)</f>
        <v>I100099999</v>
      </c>
      <c r="H146" s="214" t="s">
        <v>173</v>
      </c>
      <c r="I146" s="214" t="str">
        <f>VLOOKUP($H146,AWS!$A:$H,8,0)</f>
        <v>김승훈</v>
      </c>
      <c r="J146" s="214" t="str">
        <f>VLOOKUP($H146,AWS!$A:$H,8,0)</f>
        <v>김승훈</v>
      </c>
      <c r="K146" s="187"/>
      <c r="L146" s="215"/>
      <c r="M146" s="216"/>
      <c r="N146" s="217">
        <v>12882</v>
      </c>
      <c r="O146" s="217">
        <v>13491</v>
      </c>
      <c r="P146" s="217">
        <v>8645</v>
      </c>
      <c r="Q146" s="217">
        <v>9028</v>
      </c>
      <c r="R146" s="217">
        <v>9862</v>
      </c>
      <c r="S146" s="217">
        <v>8674</v>
      </c>
      <c r="T146" s="212">
        <v>10576</v>
      </c>
      <c r="U146" s="212">
        <v>9086</v>
      </c>
      <c r="V146" s="205">
        <v>7913</v>
      </c>
      <c r="W146" s="205">
        <f>ROUND(표9[[#This Row],[Apr 2026 (USD or KRW)]],0)</f>
        <v>0</v>
      </c>
      <c r="X146" s="212"/>
      <c r="Y146" s="206">
        <f>표9[[#This Row],[Apr 2027(KRW)]]-표9[[#This Row],[Mar 2026(KRW)]]</f>
        <v>-7913</v>
      </c>
      <c r="Z146" s="213">
        <f t="shared" si="2"/>
        <v>-1</v>
      </c>
      <c r="AA146" s="208">
        <f>VLOOKUP(표9[[#This Row],[Team]],표1[],3,0)</f>
        <v>1000</v>
      </c>
    </row>
    <row r="147" spans="1:27" s="8" customFormat="1" ht="15">
      <c r="A147" s="214" t="str">
        <f>VLOOKUP($H147,AWS!$A:$H,2,0)</f>
        <v>AWS</v>
      </c>
      <c r="B147" s="214" t="str">
        <f>VLOOKUP($H147,AWS!$A:$H,3,0)</f>
        <v>KRAFTON HQ</v>
      </c>
      <c r="C147" s="209" t="str">
        <f>VLOOKUP($H147,AWS!$A:$H,4,0)</f>
        <v>KRAFTON HQ</v>
      </c>
      <c r="D147" s="214" t="str">
        <f>VLOOKUP($H147,AWS!$A:$H,5,0)</f>
        <v>IT Dept.</v>
      </c>
      <c r="E147" s="214" t="str">
        <f>VLOOKUP($H147,AWS!$A:$H,6,0)</f>
        <v>OVERHEAD/OTHERS</v>
      </c>
      <c r="F147" s="202">
        <f>VLOOKUP(표9[[#This Row],[Team]],표1[[내역]:[코스트 센터]],2,0)</f>
        <v>100036</v>
      </c>
      <c r="G147" s="202" t="str">
        <f>VLOOKUP(표9[[#This Row],[Project]],표2[],2,0)</f>
        <v>I100099999</v>
      </c>
      <c r="H147" s="214" t="s">
        <v>174</v>
      </c>
      <c r="I147" s="214" t="str">
        <f>VLOOKUP($H147,AWS!$A:$H,8,0)</f>
        <v>강준수</v>
      </c>
      <c r="J147" s="214" t="str">
        <f>VLOOKUP($H147,AWS!$A:$H,8,0)</f>
        <v>강준수</v>
      </c>
      <c r="K147" s="187" t="s">
        <v>29</v>
      </c>
      <c r="L147" s="215">
        <v>1734943</v>
      </c>
      <c r="M147" s="216">
        <v>2242473</v>
      </c>
      <c r="N147" s="217">
        <v>2803218</v>
      </c>
      <c r="O147" s="217">
        <v>2335492</v>
      </c>
      <c r="P147" s="217">
        <v>2298789</v>
      </c>
      <c r="Q147" s="217">
        <v>2644468</v>
      </c>
      <c r="R147" s="217">
        <v>1601185</v>
      </c>
      <c r="S147" s="217">
        <v>1588700</v>
      </c>
      <c r="T147" s="212">
        <v>1456514</v>
      </c>
      <c r="U147" s="212">
        <v>1280242</v>
      </c>
      <c r="V147" s="205">
        <v>1495839</v>
      </c>
      <c r="W147" s="205">
        <f>ROUND(표9[[#This Row],[Apr 2026 (USD or KRW)]],0)</f>
        <v>0</v>
      </c>
      <c r="X147" s="212"/>
      <c r="Y147" s="206">
        <f>표9[[#This Row],[Apr 2027(KRW)]]-표9[[#This Row],[Mar 2026(KRW)]]</f>
        <v>-1495839</v>
      </c>
      <c r="Z147" s="213">
        <f t="shared" si="2"/>
        <v>-1</v>
      </c>
      <c r="AA147" s="208">
        <f>VLOOKUP(표9[[#This Row],[Team]],표1[],3,0)</f>
        <v>1000</v>
      </c>
    </row>
    <row r="148" spans="1:27" s="8" customFormat="1" ht="15">
      <c r="A148" s="214" t="str">
        <f>VLOOKUP($H148,AWS!$A:$H,2,0)</f>
        <v>AWS</v>
      </c>
      <c r="B148" s="214" t="str">
        <f>VLOOKUP($H148,AWS!$A:$H,3,0)</f>
        <v>KRAFTON HQ</v>
      </c>
      <c r="C148" s="209" t="str">
        <f>VLOOKUP($H148,AWS!$A:$H,4,0)</f>
        <v>KRAFTON HQ</v>
      </c>
      <c r="D148" s="214" t="str">
        <f>VLOOKUP($H148,AWS!$A:$H,5,0)</f>
        <v>Publishing QA Team 1</v>
      </c>
      <c r="E148" s="214" t="str">
        <f>VLOOKUP($H148,AWS!$A:$H,6,0)</f>
        <v>OVERHEAD/OTHERS</v>
      </c>
      <c r="F148" s="202">
        <f>VLOOKUP(표9[[#This Row],[Team]],표1[[내역]:[코스트 센터]],2,0)</f>
        <v>101505</v>
      </c>
      <c r="G148" s="202" t="str">
        <f>VLOOKUP(표9[[#This Row],[Project]],표2[],2,0)</f>
        <v>I100099999</v>
      </c>
      <c r="H148" s="214" t="s">
        <v>175</v>
      </c>
      <c r="I148" s="214" t="str">
        <f>VLOOKUP($H148,AWS!$A:$H,8,0)</f>
        <v>Jonas Jawad</v>
      </c>
      <c r="J148" s="214" t="str">
        <f>VLOOKUP($H148,AWS!$A:$H,8,0)</f>
        <v>Jonas Jawad</v>
      </c>
      <c r="K148" s="187"/>
      <c r="L148" s="215"/>
      <c r="M148" s="216"/>
      <c r="N148" s="217"/>
      <c r="O148" s="217"/>
      <c r="P148" s="217">
        <v>0</v>
      </c>
      <c r="Q148" s="217">
        <v>11407</v>
      </c>
      <c r="R148" s="217">
        <v>4156</v>
      </c>
      <c r="S148" s="217">
        <v>9043</v>
      </c>
      <c r="T148" s="212">
        <v>13862</v>
      </c>
      <c r="U148" s="212">
        <v>11003</v>
      </c>
      <c r="V148" s="205">
        <v>9445</v>
      </c>
      <c r="W148" s="205">
        <f>ROUND(표9[[#This Row],[Apr 2026 (USD or KRW)]],0)</f>
        <v>0</v>
      </c>
      <c r="X148" s="212"/>
      <c r="Y148" s="206">
        <f>표9[[#This Row],[Apr 2027(KRW)]]-표9[[#This Row],[Mar 2026(KRW)]]</f>
        <v>-9445</v>
      </c>
      <c r="Z148" s="213">
        <f t="shared" si="2"/>
        <v>-1</v>
      </c>
      <c r="AA148" s="208">
        <f>VLOOKUP(표9[[#This Row],[Team]],표1[],3,0)</f>
        <v>1000</v>
      </c>
    </row>
    <row r="149" spans="1:27" s="8" customFormat="1" ht="15">
      <c r="A149" s="214" t="str">
        <f>VLOOKUP($H149,AWS!$A:$H,2,0)</f>
        <v>AWS</v>
      </c>
      <c r="B149" s="214" t="str">
        <f>VLOOKUP($H149,AWS!$A:$H,3,0)</f>
        <v>KRAFTON HQ</v>
      </c>
      <c r="C149" s="209" t="str">
        <f>VLOOKUP($H149,AWS!$A:$H,4,0)</f>
        <v>JofSoft</v>
      </c>
      <c r="D149" s="214" t="str">
        <f>VLOOKUP($H149,AWS!$A:$H,5,0)</f>
        <v>JOF Development Team</v>
      </c>
      <c r="E149" s="214" t="str">
        <f>VLOOKUP($H149,AWS!$A:$H,6,0)</f>
        <v>OVERHEAD/OTHERS</v>
      </c>
      <c r="F149" s="202">
        <f>VLOOKUP(표9[[#This Row],[Team]],표1[[내역]:[코스트 센터]],2,0)</f>
        <v>540002</v>
      </c>
      <c r="G149" s="202" t="str">
        <f>VLOOKUP(표9[[#This Row],[Project]],표2[],2,0)</f>
        <v>I100099999</v>
      </c>
      <c r="H149" s="214" t="s">
        <v>176</v>
      </c>
      <c r="I149" s="214" t="str">
        <f>VLOOKUP($H149,AWS!$A:$H,8,0)</f>
        <v>이정현</v>
      </c>
      <c r="J149" s="214" t="str">
        <f>VLOOKUP($H149,AWS!$A:$H,8,0)</f>
        <v>이정현</v>
      </c>
      <c r="K149" s="187"/>
      <c r="L149" s="215"/>
      <c r="M149" s="216"/>
      <c r="N149" s="217"/>
      <c r="O149" s="217"/>
      <c r="P149" s="217"/>
      <c r="Q149" s="217"/>
      <c r="R149" s="217"/>
      <c r="S149" s="217">
        <v>13387</v>
      </c>
      <c r="T149" s="212">
        <v>4422</v>
      </c>
      <c r="U149" s="212">
        <v>6985</v>
      </c>
      <c r="V149" s="205">
        <v>8083</v>
      </c>
      <c r="W149" s="205">
        <f>ROUND(표9[[#This Row],[Apr 2026 (USD or KRW)]],0)</f>
        <v>0</v>
      </c>
      <c r="X149" s="212"/>
      <c r="Y149" s="206">
        <f>표9[[#This Row],[Apr 2027(KRW)]]-표9[[#This Row],[Mar 2026(KRW)]]</f>
        <v>-8083</v>
      </c>
      <c r="Z149" s="213">
        <f t="shared" si="2"/>
        <v>-1</v>
      </c>
      <c r="AA149" s="208">
        <f>VLOOKUP(표9[[#This Row],[Team]],표1[],3,0)</f>
        <v>5400</v>
      </c>
    </row>
    <row r="150" spans="1:27" s="8" customFormat="1" ht="15">
      <c r="A150" s="214" t="str">
        <f>VLOOKUP($H150,AWS!$A:$H,2,0)</f>
        <v>AWS</v>
      </c>
      <c r="B150" s="214" t="str">
        <f>VLOOKUP($H150,AWS!$A:$H,3,0)</f>
        <v>KRAFTON HQ</v>
      </c>
      <c r="C150" s="209" t="str">
        <f>VLOOKUP($H150,AWS!$A:$H,4,0)</f>
        <v>KRAFTON HQ</v>
      </c>
      <c r="D150" s="214" t="str">
        <f>VLOOKUP($H150,AWS!$A:$H,5,0)</f>
        <v>Jungle Coaching Dept.</v>
      </c>
      <c r="E150" s="214" t="str">
        <f>VLOOKUP($H150,AWS!$A:$H,6,0)</f>
        <v>PROJECT JUNGLE</v>
      </c>
      <c r="F150" s="202">
        <f>VLOOKUP(표9[[#This Row],[Team]],표1[[내역]:[코스트 센터]],2,0)</f>
        <v>101145</v>
      </c>
      <c r="G150" s="202" t="str">
        <f>VLOOKUP(표9[[#This Row],[Project]],표2[],2,0)</f>
        <v>I100090820</v>
      </c>
      <c r="H150" s="214" t="s">
        <v>177</v>
      </c>
      <c r="I150" s="214" t="str">
        <f>VLOOKUP($H150,AWS!$A:$H,8,0)</f>
        <v>백승현</v>
      </c>
      <c r="J150" s="214" t="str">
        <f>VLOOKUP($H150,AWS!$A:$H,8,0)</f>
        <v>백승현</v>
      </c>
      <c r="K150" s="187" t="s">
        <v>29</v>
      </c>
      <c r="L150" s="215">
        <v>2070050</v>
      </c>
      <c r="M150" s="216">
        <v>2045969</v>
      </c>
      <c r="N150" s="217">
        <v>2140690</v>
      </c>
      <c r="O150" s="217">
        <v>2173643</v>
      </c>
      <c r="P150" s="217">
        <v>2169225</v>
      </c>
      <c r="Q150" s="217">
        <v>3011886</v>
      </c>
      <c r="R150" s="217">
        <v>2929026</v>
      </c>
      <c r="S150" s="217">
        <v>3075940</v>
      </c>
      <c r="T150" s="212">
        <v>3120163</v>
      </c>
      <c r="U150" s="212">
        <v>2968714</v>
      </c>
      <c r="V150" s="205">
        <v>3562304</v>
      </c>
      <c r="W150" s="205">
        <f>ROUND(표9[[#This Row],[Apr 2026 (USD or KRW)]],0)</f>
        <v>0</v>
      </c>
      <c r="X150" s="212"/>
      <c r="Y150" s="206">
        <f>표9[[#This Row],[Apr 2027(KRW)]]-표9[[#This Row],[Mar 2026(KRW)]]</f>
        <v>-3562304</v>
      </c>
      <c r="Z150" s="213">
        <f t="shared" si="2"/>
        <v>-1</v>
      </c>
      <c r="AA150" s="208">
        <f>VLOOKUP(표9[[#This Row],[Team]],표1[],3,0)</f>
        <v>1000</v>
      </c>
    </row>
    <row r="151" spans="1:27" s="8" customFormat="1" ht="15">
      <c r="A151" s="214" t="str">
        <f>VLOOKUP($H151,AWS!$A:$H,2,0)</f>
        <v>AWS</v>
      </c>
      <c r="B151" s="214" t="str">
        <f>VLOOKUP($H151,AWS!$A:$H,3,0)</f>
        <v>KRAFTON HQ</v>
      </c>
      <c r="C151" s="209" t="str">
        <f>VLOOKUP($H151,AWS!$A:$H,4,0)</f>
        <v>KRAFTON HQ</v>
      </c>
      <c r="D151" s="214" t="str">
        <f>VLOOKUP($H151,AWS!$A:$H,5,0)</f>
        <v>KOS Engineering Dept.</v>
      </c>
      <c r="E151" s="214" t="str">
        <f>VLOOKUP($H151,AWS!$A:$H,6,0)</f>
        <v>OVERHEAD/OTHERS</v>
      </c>
      <c r="F151" s="202">
        <f>VLOOKUP(표9[[#This Row],[Team]],표1[[내역]:[코스트 센터]],2,0)</f>
        <v>100025</v>
      </c>
      <c r="G151" s="202" t="str">
        <f>VLOOKUP(표9[[#This Row],[Project]],표2[],2,0)</f>
        <v>I100099999</v>
      </c>
      <c r="H151" s="214" t="s">
        <v>178</v>
      </c>
      <c r="I151" s="214" t="str">
        <f>VLOOKUP($H151,AWS!$A:$H,8,0)</f>
        <v>신근우</v>
      </c>
      <c r="J151" s="214" t="str">
        <f>VLOOKUP($H151,AWS!$A:$H,8,0)</f>
        <v>신근우</v>
      </c>
      <c r="K151" s="187"/>
      <c r="L151" s="221">
        <v>1774859</v>
      </c>
      <c r="M151" s="222">
        <v>1736575</v>
      </c>
      <c r="N151" s="217">
        <v>2515690</v>
      </c>
      <c r="O151" s="217">
        <v>2700912</v>
      </c>
      <c r="P151" s="217">
        <v>2663657</v>
      </c>
      <c r="Q151" s="217">
        <v>3113945</v>
      </c>
      <c r="R151" s="217">
        <v>2983325</v>
      </c>
      <c r="S151" s="217">
        <v>3062313</v>
      </c>
      <c r="T151" s="212">
        <v>4288402</v>
      </c>
      <c r="U151" s="212">
        <v>6245999</v>
      </c>
      <c r="V151" s="205">
        <v>8223725</v>
      </c>
      <c r="W151" s="205">
        <f>ROUND(표9[[#This Row],[Apr 2026 (USD or KRW)]],0)</f>
        <v>0</v>
      </c>
      <c r="X151" s="212"/>
      <c r="Y151" s="206">
        <f>표9[[#This Row],[Apr 2027(KRW)]]-표9[[#This Row],[Mar 2026(KRW)]]</f>
        <v>-8223725</v>
      </c>
      <c r="Z151" s="213">
        <f t="shared" si="2"/>
        <v>-1</v>
      </c>
      <c r="AA151" s="208">
        <f>VLOOKUP(표9[[#This Row],[Team]],표1[],3,0)</f>
        <v>1000</v>
      </c>
    </row>
    <row r="152" spans="1:27" s="8" customFormat="1" ht="15">
      <c r="A152" s="214" t="str">
        <f>VLOOKUP($H152,AWS!$A:$H,2,0)</f>
        <v>AWS</v>
      </c>
      <c r="B152" s="214" t="str">
        <f>VLOOKUP($H152,AWS!$A:$H,3,0)</f>
        <v>KRAFTON HQ</v>
      </c>
      <c r="C152" s="209" t="str">
        <f>VLOOKUP($H152,AWS!$A:$H,4,0)</f>
        <v>KRAFTON HQ</v>
      </c>
      <c r="D152" s="214" t="str">
        <f>VLOOKUP($H152,AWS!$A:$H,5,0)</f>
        <v>KDC Team</v>
      </c>
      <c r="E152" s="214" t="str">
        <f>VLOOKUP($H152,AWS!$A:$H,6,0)</f>
        <v>OVERHEAD/OTHERS</v>
      </c>
      <c r="F152" s="202">
        <f>VLOOKUP(표9[[#This Row],[Team]],표1[[내역]:[코스트 센터]],2,0)</f>
        <v>101050</v>
      </c>
      <c r="G152" s="202" t="str">
        <f>VLOOKUP(표9[[#This Row],[Project]],표2[],2,0)</f>
        <v>I100099999</v>
      </c>
      <c r="H152" s="214" t="s">
        <v>179</v>
      </c>
      <c r="I152" s="214" t="str">
        <f>VLOOKUP($H152,AWS!$A:$H,8,0)</f>
        <v>황영욱</v>
      </c>
      <c r="J152" s="214" t="str">
        <f>VLOOKUP($H152,AWS!$A:$H,8,0)</f>
        <v>황영욱</v>
      </c>
      <c r="K152" s="187"/>
      <c r="L152" s="215"/>
      <c r="M152" s="216"/>
      <c r="N152" s="217"/>
      <c r="O152" s="217"/>
      <c r="P152" s="217"/>
      <c r="Q152" s="217"/>
      <c r="R152" s="217"/>
      <c r="S152" s="217">
        <v>13427</v>
      </c>
      <c r="T152" s="212">
        <v>5427</v>
      </c>
      <c r="U152" s="212">
        <v>6940</v>
      </c>
      <c r="V152" s="205">
        <v>8013</v>
      </c>
      <c r="W152" s="205">
        <f>ROUND(표9[[#This Row],[Apr 2026 (USD or KRW)]],0)</f>
        <v>0</v>
      </c>
      <c r="X152" s="212"/>
      <c r="Y152" s="206">
        <f>표9[[#This Row],[Apr 2027(KRW)]]-표9[[#This Row],[Mar 2026(KRW)]]</f>
        <v>-8013</v>
      </c>
      <c r="Z152" s="213">
        <f t="shared" si="2"/>
        <v>-1</v>
      </c>
      <c r="AA152" s="208">
        <f>VLOOKUP(표9[[#This Row],[Team]],표1[],3,0)</f>
        <v>1000</v>
      </c>
    </row>
    <row r="153" spans="1:27" s="8" customFormat="1" ht="15">
      <c r="A153" s="214" t="str">
        <f>VLOOKUP($H153,AWS!$A:$H,2,0)</f>
        <v>AWS</v>
      </c>
      <c r="B153" s="214" t="str">
        <f>VLOOKUP($H153,AWS!$A:$H,3,0)</f>
        <v>KRAFTON HQ</v>
      </c>
      <c r="C153" s="209" t="str">
        <f>VLOOKUP($H153,AWS!$A:$H,4,0)</f>
        <v>KRAFTON HQ</v>
      </c>
      <c r="D153" s="214" t="str">
        <f>VLOOKUP($H153,AWS!$A:$H,5,0)</f>
        <v>KOS Engineering Dept.</v>
      </c>
      <c r="E153" s="214" t="str">
        <f>VLOOKUP($H153,AWS!$A:$H,6,0)</f>
        <v>OVERHEAD/OTHERS</v>
      </c>
      <c r="F153" s="202">
        <f>VLOOKUP(표9[[#This Row],[Team]],표1[[내역]:[코스트 센터]],2,0)</f>
        <v>100025</v>
      </c>
      <c r="G153" s="202" t="str">
        <f>VLOOKUP(표9[[#This Row],[Project]],표2[],2,0)</f>
        <v>I100099999</v>
      </c>
      <c r="H153" s="214" t="s">
        <v>180</v>
      </c>
      <c r="I153" s="214" t="str">
        <f>VLOOKUP($H153,AWS!$A:$H,8,0)</f>
        <v>신근우</v>
      </c>
      <c r="J153" s="214" t="str">
        <f>VLOOKUP($H153,AWS!$A:$H,8,0)</f>
        <v>신근우</v>
      </c>
      <c r="K153" s="187"/>
      <c r="L153" s="215">
        <v>2944</v>
      </c>
      <c r="M153" s="216">
        <v>14031</v>
      </c>
      <c r="N153" s="217">
        <v>5929</v>
      </c>
      <c r="O153" s="217">
        <v>10782</v>
      </c>
      <c r="P153" s="217">
        <v>8465</v>
      </c>
      <c r="Q153" s="217">
        <v>8940</v>
      </c>
      <c r="R153" s="217">
        <v>9874</v>
      </c>
      <c r="S153" s="217">
        <v>8803</v>
      </c>
      <c r="T153" s="212">
        <v>20623</v>
      </c>
      <c r="U153" s="212">
        <v>13007</v>
      </c>
      <c r="V153" s="205">
        <v>8223</v>
      </c>
      <c r="W153" s="205">
        <f>ROUND(표9[[#This Row],[Apr 2026 (USD or KRW)]],0)</f>
        <v>0</v>
      </c>
      <c r="X153" s="212"/>
      <c r="Y153" s="206">
        <f>표9[[#This Row],[Apr 2027(KRW)]]-표9[[#This Row],[Mar 2026(KRW)]]</f>
        <v>-8223</v>
      </c>
      <c r="Z153" s="213">
        <f t="shared" si="2"/>
        <v>-1</v>
      </c>
      <c r="AA153" s="208">
        <f>VLOOKUP(표9[[#This Row],[Team]],표1[],3,0)</f>
        <v>1000</v>
      </c>
    </row>
    <row r="154" spans="1:27" s="8" customFormat="1" ht="15">
      <c r="A154" s="214" t="str">
        <f>VLOOKUP($H154,AWS!$A:$H,2,0)</f>
        <v>AWS</v>
      </c>
      <c r="B154" s="214" t="str">
        <f>VLOOKUP($H154,AWS!$A:$H,3,0)</f>
        <v>KRAFTON HQ</v>
      </c>
      <c r="C154" s="209" t="str">
        <f>VLOOKUP($H154,AWS!$A:$H,4,0)</f>
        <v>KRAFTON HQ</v>
      </c>
      <c r="D154" s="214" t="str">
        <f>VLOOKUP($H154,AWS!$A:$H,5,0)</f>
        <v>KOS Engineering Dept.</v>
      </c>
      <c r="E154" s="214" t="str">
        <f>VLOOKUP($H154,AWS!$A:$H,6,0)</f>
        <v>GPP</v>
      </c>
      <c r="F154" s="202">
        <f>VLOOKUP(표9[[#This Row],[Team]],표1[[내역]:[코스트 센터]],2,0)</f>
        <v>100025</v>
      </c>
      <c r="G154" s="202" t="str">
        <f>VLOOKUP(표9[[#This Row],[Project]],표2[],2,0)</f>
        <v>I100090813</v>
      </c>
      <c r="H154" s="209" t="s">
        <v>181</v>
      </c>
      <c r="I154" s="214" t="str">
        <f>VLOOKUP($H154,AWS!$A:$H,8,0)</f>
        <v>신근우</v>
      </c>
      <c r="J154" s="214" t="str">
        <f>VLOOKUP($H154,AWS!$A:$H,8,0)</f>
        <v>신근우</v>
      </c>
      <c r="K154" s="187"/>
      <c r="L154" s="215">
        <v>130620641</v>
      </c>
      <c r="M154" s="216">
        <v>130376913</v>
      </c>
      <c r="N154" s="217">
        <v>143390980</v>
      </c>
      <c r="O154" s="217">
        <v>146068145</v>
      </c>
      <c r="P154" s="217">
        <v>145347863</v>
      </c>
      <c r="Q154" s="217">
        <v>153541008</v>
      </c>
      <c r="R154" s="217">
        <v>162289386</v>
      </c>
      <c r="S154" s="217">
        <v>174830814</v>
      </c>
      <c r="T154" s="212">
        <v>172006732</v>
      </c>
      <c r="U154" s="212">
        <v>148867817</v>
      </c>
      <c r="V154" s="205">
        <v>164271627</v>
      </c>
      <c r="W154" s="205">
        <f>ROUND(표9[[#This Row],[Apr 2026 (USD or KRW)]],0)</f>
        <v>0</v>
      </c>
      <c r="X154" s="212"/>
      <c r="Y154" s="206">
        <f>표9[[#This Row],[Apr 2027(KRW)]]-표9[[#This Row],[Mar 2026(KRW)]]</f>
        <v>-164271627</v>
      </c>
      <c r="Z154" s="213">
        <f t="shared" si="2"/>
        <v>-1</v>
      </c>
      <c r="AA154" s="208">
        <f>VLOOKUP(표9[[#This Row],[Team]],표1[],3,0)</f>
        <v>1000</v>
      </c>
    </row>
    <row r="155" spans="1:27" s="8" customFormat="1" ht="15">
      <c r="A155" s="214" t="str">
        <f>VLOOKUP($H155,AWS!$A:$H,2,0)</f>
        <v>AWS</v>
      </c>
      <c r="B155" s="214" t="str">
        <f>VLOOKUP($H155,AWS!$A:$H,3,0)</f>
        <v>KRAFTON HQ</v>
      </c>
      <c r="C155" s="209" t="str">
        <f>VLOOKUP($H155,AWS!$A:$H,4,0)</f>
        <v>KRAFTON HQ</v>
      </c>
      <c r="D155" s="214" t="str">
        <f>VLOOKUP($H155,AWS!$A:$H,5,0)</f>
        <v>Data Engineering Dept.</v>
      </c>
      <c r="E155" s="214" t="str">
        <f>VLOOKUP($H155,AWS!$A:$H,6,0)</f>
        <v>OVERHEAD/OTHERS</v>
      </c>
      <c r="F155" s="202">
        <f>VLOOKUP(표9[[#This Row],[Team]],표1[[내역]:[코스트 센터]],2,0)</f>
        <v>100212</v>
      </c>
      <c r="G155" s="202" t="str">
        <f>VLOOKUP(표9[[#This Row],[Project]],표2[],2,0)</f>
        <v>I100099999</v>
      </c>
      <c r="H155" s="214" t="s">
        <v>182</v>
      </c>
      <c r="I155" s="214" t="str">
        <f>VLOOKUP($H155,AWS!$A:$H,8,0)</f>
        <v>김시훈</v>
      </c>
      <c r="J155" s="214" t="str">
        <f>VLOOKUP($H155,AWS!$A:$H,8,0)</f>
        <v>김시훈</v>
      </c>
      <c r="K155" s="187"/>
      <c r="L155" s="215">
        <v>12911</v>
      </c>
      <c r="M155" s="216">
        <v>20864</v>
      </c>
      <c r="N155" s="217">
        <v>12741</v>
      </c>
      <c r="O155" s="217">
        <v>17937</v>
      </c>
      <c r="P155" s="217">
        <v>15521</v>
      </c>
      <c r="Q155" s="217">
        <v>16107</v>
      </c>
      <c r="R155" s="217">
        <v>24389</v>
      </c>
      <c r="S155" s="217">
        <v>23187</v>
      </c>
      <c r="T155" s="212">
        <v>25143</v>
      </c>
      <c r="U155" s="212">
        <v>23356</v>
      </c>
      <c r="V155" s="205">
        <v>23597</v>
      </c>
      <c r="W155" s="205">
        <f>ROUND(표9[[#This Row],[Apr 2026 (USD or KRW)]],0)</f>
        <v>0</v>
      </c>
      <c r="X155" s="212"/>
      <c r="Y155" s="206">
        <f>표9[[#This Row],[Apr 2027(KRW)]]-표9[[#This Row],[Mar 2026(KRW)]]</f>
        <v>-23597</v>
      </c>
      <c r="Z155" s="213">
        <f t="shared" si="2"/>
        <v>-1</v>
      </c>
      <c r="AA155" s="208">
        <f>VLOOKUP(표9[[#This Row],[Team]],표1[],3,0)</f>
        <v>1000</v>
      </c>
    </row>
    <row r="156" spans="1:27" s="8" customFormat="1" ht="15">
      <c r="A156" s="214" t="str">
        <f>VLOOKUP($H156,AWS!$A:$H,2,0)</f>
        <v>AWS</v>
      </c>
      <c r="B156" s="214" t="str">
        <f>VLOOKUP($H156,AWS!$A:$H,3,0)</f>
        <v>KRAFTON HQ</v>
      </c>
      <c r="C156" s="209" t="str">
        <f>VLOOKUP($H156,AWS!$A:$H,4,0)</f>
        <v>KRAFTON HQ</v>
      </c>
      <c r="D156" s="214" t="str">
        <f>VLOOKUP($H156,AWS!$A:$H,5,0)</f>
        <v>Publishing Tech PM Part</v>
      </c>
      <c r="E156" s="214" t="str">
        <f>VLOOKUP($H156,AWS!$A:$H,6,0)</f>
        <v>Dark and Darker_Mobile</v>
      </c>
      <c r="F156" s="202">
        <f>VLOOKUP(표9[[#This Row],[Team]],표1[[내역]:[코스트 센터]],2,0)</f>
        <v>101269</v>
      </c>
      <c r="G156" s="202" t="str">
        <f>VLOOKUP(표9[[#This Row],[Project]],표2[],2,0)</f>
        <v>P100030073</v>
      </c>
      <c r="H156" s="214" t="s">
        <v>183</v>
      </c>
      <c r="I156" s="214" t="str">
        <f>VLOOKUP($H156,AWS!$A:$H,8,0)</f>
        <v>김정언</v>
      </c>
      <c r="J156" s="214" t="str">
        <f>VLOOKUP($H156,AWS!$A:$H,8,0)</f>
        <v>김정언</v>
      </c>
      <c r="K156" s="187" t="s">
        <v>29</v>
      </c>
      <c r="L156" s="221">
        <v>49115042</v>
      </c>
      <c r="M156" s="222">
        <v>144183752</v>
      </c>
      <c r="N156" s="217">
        <v>129300080</v>
      </c>
      <c r="O156" s="217">
        <v>121041949</v>
      </c>
      <c r="P156" s="217">
        <v>111186356</v>
      </c>
      <c r="Q156" s="217">
        <v>99613624</v>
      </c>
      <c r="R156" s="217">
        <v>98152807</v>
      </c>
      <c r="S156" s="217">
        <v>102129450</v>
      </c>
      <c r="T156" s="212">
        <v>76754350</v>
      </c>
      <c r="U156" s="212">
        <v>14963822</v>
      </c>
      <c r="V156" s="205">
        <v>17130210</v>
      </c>
      <c r="W156" s="205">
        <f>ROUND(표9[[#This Row],[Apr 2026 (USD or KRW)]],0)</f>
        <v>0</v>
      </c>
      <c r="X156" s="212"/>
      <c r="Y156" s="206">
        <f>표9[[#This Row],[Apr 2027(KRW)]]-표9[[#This Row],[Mar 2026(KRW)]]</f>
        <v>-17130210</v>
      </c>
      <c r="Z156" s="213">
        <f t="shared" si="2"/>
        <v>-1</v>
      </c>
      <c r="AA156" s="208">
        <f>VLOOKUP(표9[[#This Row],[Team]],표1[],3,0)</f>
        <v>1000</v>
      </c>
    </row>
    <row r="157" spans="1:27" s="8" customFormat="1" ht="15">
      <c r="A157" s="214" t="str">
        <f>VLOOKUP($H157,AWS!$A:$H,2,0)</f>
        <v>AWS</v>
      </c>
      <c r="B157" s="214" t="str">
        <f>VLOOKUP($H157,AWS!$A:$H,3,0)</f>
        <v>KRAFTON HQ</v>
      </c>
      <c r="C157" s="209" t="str">
        <f>VLOOKUP($H157,AWS!$A:$H,4,0)</f>
        <v>KRAFTON HQ</v>
      </c>
      <c r="D157" s="214" t="str">
        <f>VLOOKUP($H157,AWS!$A:$H,5,0)</f>
        <v>Publishing Tech PM Part</v>
      </c>
      <c r="E157" s="214" t="str">
        <f>VLOOKUP($H157,AWS!$A:$H,6,0)</f>
        <v>Dark and Darker_Mobile</v>
      </c>
      <c r="F157" s="202">
        <f>VLOOKUP(표9[[#This Row],[Team]],표1[[내역]:[코스트 센터]],2,0)</f>
        <v>101269</v>
      </c>
      <c r="G157" s="202" t="str">
        <f>VLOOKUP(표9[[#This Row],[Project]],표2[],2,0)</f>
        <v>P100030073</v>
      </c>
      <c r="H157" s="214" t="s">
        <v>184</v>
      </c>
      <c r="I157" s="214" t="str">
        <f>VLOOKUP($H157,AWS!$A:$H,8,0)</f>
        <v>김정언</v>
      </c>
      <c r="J157" s="214" t="str">
        <f>VLOOKUP($H157,AWS!$A:$H,8,0)</f>
        <v>김정언</v>
      </c>
      <c r="K157" s="187" t="s">
        <v>29</v>
      </c>
      <c r="L157" s="215">
        <v>32284335</v>
      </c>
      <c r="M157" s="216">
        <v>31821848</v>
      </c>
      <c r="N157" s="217">
        <v>33058350</v>
      </c>
      <c r="O157" s="217">
        <v>28614901</v>
      </c>
      <c r="P157" s="217">
        <v>28668699</v>
      </c>
      <c r="Q157" s="217">
        <v>25623433</v>
      </c>
      <c r="R157" s="217">
        <v>27341966</v>
      </c>
      <c r="S157" s="217">
        <v>31217358</v>
      </c>
      <c r="T157" s="212">
        <v>23531287</v>
      </c>
      <c r="U157" s="212">
        <v>815346</v>
      </c>
      <c r="V157" s="205">
        <v>804961</v>
      </c>
      <c r="W157" s="205">
        <f>ROUND(표9[[#This Row],[Apr 2026 (USD or KRW)]],0)</f>
        <v>0</v>
      </c>
      <c r="X157" s="212"/>
      <c r="Y157" s="206">
        <f>표9[[#This Row],[Apr 2027(KRW)]]-표9[[#This Row],[Mar 2026(KRW)]]</f>
        <v>-804961</v>
      </c>
      <c r="Z157" s="213">
        <f t="shared" si="2"/>
        <v>-1</v>
      </c>
      <c r="AA157" s="208">
        <f>VLOOKUP(표9[[#This Row],[Team]],표1[],3,0)</f>
        <v>1000</v>
      </c>
    </row>
    <row r="158" spans="1:27" s="8" customFormat="1" ht="15">
      <c r="A158" s="214" t="str">
        <f>VLOOKUP($H158,AWS!$A:$H,2,0)</f>
        <v>AWS</v>
      </c>
      <c r="B158" s="214" t="str">
        <f>VLOOKUP($H158,AWS!$A:$H,3,0)</f>
        <v>KRAFTON HQ</v>
      </c>
      <c r="C158" s="209" t="str">
        <f>VLOOKUP($H158,AWS!$A:$H,4,0)</f>
        <v>KRAFTON HQ</v>
      </c>
      <c r="D158" s="214" t="str">
        <f>VLOOKUP($H158,AWS!$A:$H,5,0)</f>
        <v>ML Sys &amp; Ops Team</v>
      </c>
      <c r="E158" s="214" t="str">
        <f>VLOOKUP($H158,AWS!$A:$H,6,0)</f>
        <v>OVERHEAD/OTHERS</v>
      </c>
      <c r="F158" s="202">
        <f>VLOOKUP(표9[[#This Row],[Team]],표1[[내역]:[코스트 센터]],2,0)</f>
        <v>100810</v>
      </c>
      <c r="G158" s="202" t="str">
        <f>VLOOKUP(표9[[#This Row],[Project]],표2[],2,0)</f>
        <v>I100099999</v>
      </c>
      <c r="H158" s="214" t="s">
        <v>185</v>
      </c>
      <c r="I158" s="214" t="str">
        <f>VLOOKUP($H158,AWS!$A:$H,8,0)</f>
        <v>김동원</v>
      </c>
      <c r="J158" s="214" t="str">
        <f>VLOOKUP($H158,AWS!$A:$H,8,0)</f>
        <v>김동원</v>
      </c>
      <c r="K158" s="187"/>
      <c r="L158" s="215">
        <v>4680785</v>
      </c>
      <c r="M158" s="216">
        <v>10020054</v>
      </c>
      <c r="N158" s="217">
        <v>101953933</v>
      </c>
      <c r="O158" s="217">
        <v>5369336</v>
      </c>
      <c r="P158" s="217">
        <v>8350990</v>
      </c>
      <c r="Q158" s="217">
        <v>6674984</v>
      </c>
      <c r="R158" s="217">
        <v>8248963</v>
      </c>
      <c r="S158" s="217">
        <v>5531763</v>
      </c>
      <c r="T158" s="212">
        <v>3703059</v>
      </c>
      <c r="U158" s="212">
        <v>974465</v>
      </c>
      <c r="V158" s="205">
        <v>1173492</v>
      </c>
      <c r="W158" s="205">
        <f>ROUND(표9[[#This Row],[Apr 2026 (USD or KRW)]],0)</f>
        <v>0</v>
      </c>
      <c r="X158" s="212"/>
      <c r="Y158" s="206">
        <f>표9[[#This Row],[Apr 2027(KRW)]]-표9[[#This Row],[Mar 2026(KRW)]]</f>
        <v>-1173492</v>
      </c>
      <c r="Z158" s="213">
        <f t="shared" si="2"/>
        <v>-1</v>
      </c>
      <c r="AA158" s="208">
        <f>VLOOKUP(표9[[#This Row],[Team]],표1[],3,0)</f>
        <v>1000</v>
      </c>
    </row>
    <row r="159" spans="1:27" s="8" customFormat="1" ht="15">
      <c r="A159" s="214" t="str">
        <f>VLOOKUP($H159,AWS!$A:$H,2,0)</f>
        <v>AWS</v>
      </c>
      <c r="B159" s="214" t="str">
        <f>VLOOKUP($H159,AWS!$A:$H,3,0)</f>
        <v>KRAFTON HQ</v>
      </c>
      <c r="C159" s="209" t="str">
        <f>VLOOKUP($H159,AWS!$A:$H,4,0)</f>
        <v>KRAFTON HQ</v>
      </c>
      <c r="D159" s="214" t="str">
        <f>VLOOKUP($H159,AWS!$A:$H,5,0)</f>
        <v>KRAFTON HQ</v>
      </c>
      <c r="E159" s="214" t="str">
        <f>VLOOKUP($H159,AWS!$A:$H,6,0)</f>
        <v>OVERHEAD/OTHERS</v>
      </c>
      <c r="F159" s="202">
        <f>VLOOKUP(표9[[#This Row],[Team]],표1[[내역]:[코스트 센터]],2,0)</f>
        <v>100009</v>
      </c>
      <c r="G159" s="202" t="str">
        <f>VLOOKUP(표9[[#This Row],[Project]],표2[],2,0)</f>
        <v>I100099999</v>
      </c>
      <c r="H159" s="214" t="s">
        <v>186</v>
      </c>
      <c r="I159" s="214" t="str">
        <f>VLOOKUP($H159,AWS!$A:$H,8,0)</f>
        <v>김승훈</v>
      </c>
      <c r="J159" s="214" t="str">
        <f>VLOOKUP($H159,AWS!$A:$H,8,0)</f>
        <v>김승훈</v>
      </c>
      <c r="K159" s="187"/>
      <c r="L159" s="215"/>
      <c r="M159" s="216"/>
      <c r="N159" s="217">
        <v>5416</v>
      </c>
      <c r="O159" s="217">
        <v>13005</v>
      </c>
      <c r="P159" s="217">
        <v>9236</v>
      </c>
      <c r="Q159" s="217">
        <v>9054</v>
      </c>
      <c r="R159" s="217">
        <v>10076</v>
      </c>
      <c r="S159" s="217">
        <v>9096</v>
      </c>
      <c r="T159" s="212">
        <v>11034</v>
      </c>
      <c r="U159" s="212">
        <v>9433</v>
      </c>
      <c r="V159" s="205">
        <v>8209</v>
      </c>
      <c r="W159" s="205">
        <f>ROUND(표9[[#This Row],[Apr 2026 (USD or KRW)]],0)</f>
        <v>0</v>
      </c>
      <c r="X159" s="212"/>
      <c r="Y159" s="206">
        <f>표9[[#This Row],[Apr 2027(KRW)]]-표9[[#This Row],[Mar 2026(KRW)]]</f>
        <v>-8209</v>
      </c>
      <c r="Z159" s="213">
        <f t="shared" si="2"/>
        <v>-1</v>
      </c>
      <c r="AA159" s="208">
        <f>VLOOKUP(표9[[#This Row],[Team]],표1[],3,0)</f>
        <v>1000</v>
      </c>
    </row>
    <row r="160" spans="1:27" s="8" customFormat="1" ht="15">
      <c r="A160" s="214" t="str">
        <f>VLOOKUP($H160,AWS!$A:$H,2,0)</f>
        <v>AWS</v>
      </c>
      <c r="B160" s="214" t="str">
        <f>VLOOKUP($H160,AWS!$A:$H,3,0)</f>
        <v>KRAFTON HQ</v>
      </c>
      <c r="C160" s="209" t="str">
        <f>VLOOKUP($H160,AWS!$A:$H,4,0)</f>
        <v>KRAFTON HQ</v>
      </c>
      <c r="D160" s="214" t="str">
        <f>VLOOKUP($H160,AWS!$A:$H,5,0)</f>
        <v>Security team</v>
      </c>
      <c r="E160" s="214" t="str">
        <f>VLOOKUP($H160,AWS!$A:$H,6,0)</f>
        <v>OVERHEAD/OTHERS</v>
      </c>
      <c r="F160" s="202">
        <f>VLOOKUP(표9[[#This Row],[Team]],표1[[내역]:[코스트 센터]],2,0)</f>
        <v>100038</v>
      </c>
      <c r="G160" s="202" t="str">
        <f>VLOOKUP(표9[[#This Row],[Project]],표2[],2,0)</f>
        <v>I100099999</v>
      </c>
      <c r="H160" s="214" t="s">
        <v>187</v>
      </c>
      <c r="I160" s="214" t="str">
        <f>VLOOKUP($H160,AWS!$A:$H,8,0)</f>
        <v>최정헌</v>
      </c>
      <c r="J160" s="214" t="str">
        <f>VLOOKUP($H160,AWS!$A:$H,8,0)</f>
        <v>최정헌</v>
      </c>
      <c r="K160" s="187"/>
      <c r="L160" s="215"/>
      <c r="M160" s="216"/>
      <c r="N160" s="217"/>
      <c r="O160" s="217">
        <v>142286</v>
      </c>
      <c r="P160" s="217">
        <v>651452</v>
      </c>
      <c r="Q160" s="217">
        <v>841257</v>
      </c>
      <c r="R160" s="217">
        <v>635940</v>
      </c>
      <c r="S160" s="217">
        <v>336175</v>
      </c>
      <c r="T160" s="212">
        <v>620383</v>
      </c>
      <c r="U160" s="212">
        <v>634099</v>
      </c>
      <c r="V160" s="205">
        <v>716513</v>
      </c>
      <c r="W160" s="205">
        <f>ROUND(표9[[#This Row],[Apr 2026 (USD or KRW)]],0)</f>
        <v>0</v>
      </c>
      <c r="X160" s="212"/>
      <c r="Y160" s="206">
        <f>표9[[#This Row],[Apr 2027(KRW)]]-표9[[#This Row],[Mar 2026(KRW)]]</f>
        <v>-716513</v>
      </c>
      <c r="Z160" s="213">
        <f t="shared" si="2"/>
        <v>-1</v>
      </c>
      <c r="AA160" s="208">
        <f>VLOOKUP(표9[[#This Row],[Team]],표1[],3,0)</f>
        <v>1000</v>
      </c>
    </row>
    <row r="161" spans="1:27" s="8" customFormat="1" ht="15">
      <c r="A161" s="214" t="str">
        <f>VLOOKUP($H161,AWS!$A:$H,2,0)</f>
        <v>AWS</v>
      </c>
      <c r="B161" s="214" t="str">
        <f>VLOOKUP($H161,AWS!$A:$H,3,0)</f>
        <v>KRAFTON HQ</v>
      </c>
      <c r="C161" s="209" t="str">
        <f>VLOOKUP($H161,AWS!$A:$H,4,0)</f>
        <v>KRAFTON HQ</v>
      </c>
      <c r="D161" s="214" t="str">
        <f>VLOOKUP($H161,AWS!$A:$H,5,0)</f>
        <v>IT Dept.</v>
      </c>
      <c r="E161" s="214" t="str">
        <f>VLOOKUP($H161,AWS!$A:$H,6,0)</f>
        <v>OVERHEAD/OTHERS</v>
      </c>
      <c r="F161" s="202">
        <f>VLOOKUP(표9[[#This Row],[Team]],표1[[내역]:[코스트 센터]],2,0)</f>
        <v>100036</v>
      </c>
      <c r="G161" s="202" t="str">
        <f>VLOOKUP(표9[[#This Row],[Project]],표2[],2,0)</f>
        <v>I100099999</v>
      </c>
      <c r="H161" s="214" t="s">
        <v>188</v>
      </c>
      <c r="I161" s="214" t="str">
        <f>VLOOKUP($H161,AWS!$A:$H,8,0)</f>
        <v>김재윤</v>
      </c>
      <c r="J161" s="214" t="str">
        <f>VLOOKUP($H161,AWS!$A:$H,8,0)</f>
        <v>김재윤</v>
      </c>
      <c r="K161" s="187" t="s">
        <v>29</v>
      </c>
      <c r="L161" s="215">
        <v>3275943</v>
      </c>
      <c r="M161" s="216">
        <v>3298731</v>
      </c>
      <c r="N161" s="217">
        <v>5685020</v>
      </c>
      <c r="O161" s="217">
        <v>14442360</v>
      </c>
      <c r="P161" s="217">
        <v>14867976</v>
      </c>
      <c r="Q161" s="217">
        <v>12184791</v>
      </c>
      <c r="R161" s="217">
        <v>19663350</v>
      </c>
      <c r="S161" s="217">
        <v>25853249</v>
      </c>
      <c r="T161" s="212">
        <v>19541828</v>
      </c>
      <c r="U161" s="212">
        <v>17418802</v>
      </c>
      <c r="V161" s="205">
        <v>19313288</v>
      </c>
      <c r="W161" s="205">
        <f>ROUND(표9[[#This Row],[Apr 2026 (USD or KRW)]],0)</f>
        <v>0</v>
      </c>
      <c r="X161" s="212"/>
      <c r="Y161" s="206">
        <f>표9[[#This Row],[Apr 2027(KRW)]]-표9[[#This Row],[Mar 2026(KRW)]]</f>
        <v>-19313288</v>
      </c>
      <c r="Z161" s="213">
        <f t="shared" si="2"/>
        <v>-1</v>
      </c>
      <c r="AA161" s="208">
        <f>VLOOKUP(표9[[#This Row],[Team]],표1[],3,0)</f>
        <v>1000</v>
      </c>
    </row>
    <row r="162" spans="1:27" s="8" customFormat="1" ht="15">
      <c r="A162" s="209" t="str">
        <f>VLOOKUP($H162,AWS!$A:$H,2,0)</f>
        <v>AWS</v>
      </c>
      <c r="B162" s="209" t="str">
        <f>VLOOKUP($H162,AWS!$A:$H,3,0)</f>
        <v>KRAFTON HQ</v>
      </c>
      <c r="C162" s="209" t="str">
        <f>VLOOKUP($H162,AWS!$A:$H,4,0)</f>
        <v>KRAFTON HQ</v>
      </c>
      <c r="D162" s="214" t="str">
        <f>VLOOKUP($H162,AWS!$A:$H,5,0)</f>
        <v>System Team</v>
      </c>
      <c r="E162" s="214" t="str">
        <f>VLOOKUP($H162,AWS!$A:$H,6,0)</f>
        <v>OVERHEAD/OTHERS</v>
      </c>
      <c r="F162" s="202">
        <f>VLOOKUP(표9[[#This Row],[Team]],표1[[내역]:[코스트 센터]],2,0)</f>
        <v>100037</v>
      </c>
      <c r="G162" s="202" t="str">
        <f>VLOOKUP(표9[[#This Row],[Project]],표2[],2,0)</f>
        <v>I100099999</v>
      </c>
      <c r="H162" s="209" t="s">
        <v>189</v>
      </c>
      <c r="I162" s="219" t="str">
        <f>VLOOKUP($H162,AWS!$A:$H,8,0)</f>
        <v>박상윤</v>
      </c>
      <c r="J162" s="214" t="str">
        <f>VLOOKUP($H162,AWS!$A:$H,8,0)</f>
        <v>박상윤</v>
      </c>
      <c r="K162" s="186"/>
      <c r="L162" s="210"/>
      <c r="M162" s="211"/>
      <c r="N162" s="212"/>
      <c r="O162" s="212"/>
      <c r="P162" s="212"/>
      <c r="Q162" s="212"/>
      <c r="R162" s="212"/>
      <c r="S162" s="212"/>
      <c r="T162" s="212">
        <v>14788</v>
      </c>
      <c r="U162" s="212">
        <v>4762</v>
      </c>
      <c r="V162" s="205">
        <v>8013</v>
      </c>
      <c r="W162" s="205">
        <f>ROUND(표9[[#This Row],[Apr 2026 (USD or KRW)]],0)</f>
        <v>0</v>
      </c>
      <c r="X162" s="212"/>
      <c r="Y162" s="206">
        <f>표9[[#This Row],[Apr 2027(KRW)]]-표9[[#This Row],[Mar 2026(KRW)]]</f>
        <v>-8013</v>
      </c>
      <c r="Z162" s="213">
        <f t="shared" si="2"/>
        <v>-1</v>
      </c>
      <c r="AA162" s="208">
        <f>VLOOKUP(표9[[#This Row],[Team]],표1[],3,0)</f>
        <v>1000</v>
      </c>
    </row>
    <row r="163" spans="1:27" s="8" customFormat="1" ht="15">
      <c r="A163" s="214" t="str">
        <f>VLOOKUP($H163,AWS!$A:$H,2,0)</f>
        <v>AWS</v>
      </c>
      <c r="B163" s="214" t="str">
        <f>VLOOKUP($H163,AWS!$A:$H,3,0)</f>
        <v>KRAFTON HQ</v>
      </c>
      <c r="C163" s="209" t="str">
        <f>VLOOKUP($H163,AWS!$A:$H,4,0)</f>
        <v>KRAFTON HQ</v>
      </c>
      <c r="D163" s="214" t="str">
        <f>VLOOKUP($H163,AWS!$A:$H,5,0)</f>
        <v>Data Engineering Dept.</v>
      </c>
      <c r="E163" s="214" t="str">
        <f>VLOOKUP($H163,AWS!$A:$H,6,0)</f>
        <v>OVERHEAD/OTHERS</v>
      </c>
      <c r="F163" s="202">
        <f>VLOOKUP(표9[[#This Row],[Team]],표1[[내역]:[코스트 센터]],2,0)</f>
        <v>100212</v>
      </c>
      <c r="G163" s="202" t="str">
        <f>VLOOKUP(표9[[#This Row],[Project]],표2[],2,0)</f>
        <v>I100099999</v>
      </c>
      <c r="H163" s="214" t="s">
        <v>190</v>
      </c>
      <c r="I163" s="214" t="str">
        <f>VLOOKUP($H163,AWS!$A:$H,8,0)</f>
        <v>김시훈</v>
      </c>
      <c r="J163" s="214" t="str">
        <f>VLOOKUP($H163,AWS!$A:$H,8,0)</f>
        <v>김시훈</v>
      </c>
      <c r="K163" s="187" t="s">
        <v>29</v>
      </c>
      <c r="L163" s="215">
        <v>238108</v>
      </c>
      <c r="M163" s="216">
        <v>434255</v>
      </c>
      <c r="N163" s="217">
        <v>449326</v>
      </c>
      <c r="O163" s="217">
        <v>444912</v>
      </c>
      <c r="P163" s="217">
        <v>1327567</v>
      </c>
      <c r="Q163" s="217">
        <v>2206969</v>
      </c>
      <c r="R163" s="217">
        <v>3212245</v>
      </c>
      <c r="S163" s="217">
        <v>3359358</v>
      </c>
      <c r="T163" s="212">
        <v>3091453</v>
      </c>
      <c r="U163" s="212">
        <v>2656311</v>
      </c>
      <c r="V163" s="205">
        <v>2997367</v>
      </c>
      <c r="W163" s="205">
        <f>ROUND(표9[[#This Row],[Apr 2026 (USD or KRW)]],0)</f>
        <v>0</v>
      </c>
      <c r="X163" s="212"/>
      <c r="Y163" s="206">
        <f>표9[[#This Row],[Apr 2027(KRW)]]-표9[[#This Row],[Mar 2026(KRW)]]</f>
        <v>-2997367</v>
      </c>
      <c r="Z163" s="213">
        <f t="shared" si="2"/>
        <v>-1</v>
      </c>
      <c r="AA163" s="208">
        <f>VLOOKUP(표9[[#This Row],[Team]],표1[],3,0)</f>
        <v>1000</v>
      </c>
    </row>
    <row r="164" spans="1:27" s="8" customFormat="1" ht="15">
      <c r="A164" s="214" t="str">
        <f>VLOOKUP($H164,AWS!$A:$H,2,0)</f>
        <v>AWS</v>
      </c>
      <c r="B164" s="214" t="str">
        <f>VLOOKUP($H164,AWS!$A:$H,3,0)</f>
        <v>KRAFTON HQ</v>
      </c>
      <c r="C164" s="209" t="str">
        <f>VLOOKUP($H164,AWS!$A:$H,4,0)</f>
        <v>KRAFTON HQ</v>
      </c>
      <c r="D164" s="214" t="str">
        <f>VLOOKUP($H164,AWS!$A:$H,5,0)</f>
        <v>System Team</v>
      </c>
      <c r="E164" s="214" t="str">
        <f>VLOOKUP($H164,AWS!$A:$H,6,0)</f>
        <v>OVERHEAD/OTHERS</v>
      </c>
      <c r="F164" s="202">
        <f>VLOOKUP(표9[[#This Row],[Team]],표1[[내역]:[코스트 센터]],2,0)</f>
        <v>100037</v>
      </c>
      <c r="G164" s="202" t="str">
        <f>VLOOKUP(표9[[#This Row],[Project]],표2[],2,0)</f>
        <v>I100099999</v>
      </c>
      <c r="H164" s="214" t="s">
        <v>191</v>
      </c>
      <c r="I164" s="214" t="str">
        <f>VLOOKUP($H164,AWS!$A:$H,8,0)</f>
        <v>김재윤</v>
      </c>
      <c r="J164" s="214" t="str">
        <f>VLOOKUP($H164,AWS!$A:$H,8,0)</f>
        <v>김재윤</v>
      </c>
      <c r="K164" s="187" t="s">
        <v>29</v>
      </c>
      <c r="L164" s="215"/>
      <c r="M164" s="216"/>
      <c r="N164" s="217"/>
      <c r="O164" s="217"/>
      <c r="P164" s="217">
        <v>230411</v>
      </c>
      <c r="Q164" s="217">
        <v>989577</v>
      </c>
      <c r="R164" s="217">
        <v>1622821</v>
      </c>
      <c r="S164" s="217">
        <v>5222058</v>
      </c>
      <c r="T164" s="212">
        <v>5763091</v>
      </c>
      <c r="U164" s="212">
        <v>7013142</v>
      </c>
      <c r="V164" s="205">
        <v>7506703</v>
      </c>
      <c r="W164" s="205">
        <f>ROUND(표9[[#This Row],[Apr 2026 (USD or KRW)]],0)</f>
        <v>0</v>
      </c>
      <c r="X164" s="212"/>
      <c r="Y164" s="206">
        <f>표9[[#This Row],[Apr 2027(KRW)]]-표9[[#This Row],[Mar 2026(KRW)]]</f>
        <v>-7506703</v>
      </c>
      <c r="Z164" s="213">
        <f t="shared" si="2"/>
        <v>-1</v>
      </c>
      <c r="AA164" s="208">
        <f>VLOOKUP(표9[[#This Row],[Team]],표1[],3,0)</f>
        <v>1000</v>
      </c>
    </row>
    <row r="165" spans="1:27" s="8" customFormat="1" ht="15">
      <c r="A165" s="214" t="str">
        <f>VLOOKUP($H165,AWS!$A:$H,2,0)</f>
        <v>AWS</v>
      </c>
      <c r="B165" s="214" t="str">
        <f>VLOOKUP($H165,AWS!$A:$H,3,0)</f>
        <v>KRAFTON HQ</v>
      </c>
      <c r="C165" s="209" t="str">
        <f>VLOOKUP($H165,AWS!$A:$H,4,0)</f>
        <v>KRAFTON HQ</v>
      </c>
      <c r="D165" s="214" t="str">
        <f>VLOOKUP($H165,AWS!$A:$H,5,0)</f>
        <v>IN Performance Marketing Team</v>
      </c>
      <c r="E165" s="214" t="str">
        <f>VLOOKUP($H165,AWS!$A:$H,6,0)</f>
        <v>OVERHEAD/OTHERS</v>
      </c>
      <c r="F165" s="202">
        <f>VLOOKUP(표9[[#This Row],[Team]],표1[[내역]:[코스트 센터]],2,0)</f>
        <v>101568</v>
      </c>
      <c r="G165" s="202" t="str">
        <f>VLOOKUP(표9[[#This Row],[Project]],표2[],2,0)</f>
        <v>I100099999</v>
      </c>
      <c r="H165" s="214" t="s">
        <v>192</v>
      </c>
      <c r="I165" s="214" t="str">
        <f>VLOOKUP($H165,AWS!$A:$H,8,0)</f>
        <v>김상범</v>
      </c>
      <c r="J165" s="214" t="str">
        <f>VLOOKUP($H165,AWS!$A:$H,8,0)</f>
        <v>김상범</v>
      </c>
      <c r="K165" s="186"/>
      <c r="L165" s="210"/>
      <c r="M165" s="211"/>
      <c r="N165" s="212"/>
      <c r="O165" s="212"/>
      <c r="P165" s="212"/>
      <c r="Q165" s="212"/>
      <c r="R165" s="212"/>
      <c r="S165" s="212"/>
      <c r="T165" s="212"/>
      <c r="U165" s="212">
        <v>14951</v>
      </c>
      <c r="V165" s="205">
        <v>3683</v>
      </c>
      <c r="W165" s="205">
        <f>ROUND(표9[[#This Row],[Apr 2026 (USD or KRW)]],0)</f>
        <v>0</v>
      </c>
      <c r="X165" s="212"/>
      <c r="Y165" s="206">
        <f>표9[[#This Row],[Apr 2027(KRW)]]-표9[[#This Row],[Mar 2026(KRW)]]</f>
        <v>-3683</v>
      </c>
      <c r="Z165" s="213">
        <f t="shared" si="2"/>
        <v>-1</v>
      </c>
      <c r="AA165" s="208">
        <f>VLOOKUP(표9[[#This Row],[Team]],표1[],3,0)</f>
        <v>1000</v>
      </c>
    </row>
    <row r="166" spans="1:27" s="8" customFormat="1" ht="15">
      <c r="A166" s="214" t="str">
        <f>VLOOKUP($H166,AWS!$A:$H,2,0)</f>
        <v>AWS</v>
      </c>
      <c r="B166" s="214" t="str">
        <f>VLOOKUP($H166,AWS!$A:$H,3,0)</f>
        <v>KRAFTON HQ</v>
      </c>
      <c r="C166" s="209" t="str">
        <f>VLOOKUP($H166,AWS!$A:$H,4,0)</f>
        <v>KRAFTON HQ</v>
      </c>
      <c r="D166" s="214" t="str">
        <f>VLOOKUP($H166,AWS!$A:$H,5,0)</f>
        <v>Game Security Engineering Dept.</v>
      </c>
      <c r="E166" s="214" t="str">
        <f>VLOOKUP($H166,AWS!$A:$H,6,0)</f>
        <v>KSS</v>
      </c>
      <c r="F166" s="202">
        <f>VLOOKUP(표9[[#This Row],[Team]],표1[[내역]:[코스트 센터]],2,0)</f>
        <v>100415</v>
      </c>
      <c r="G166" s="202" t="str">
        <f>VLOOKUP(표9[[#This Row],[Project]],표2[],2,0)</f>
        <v xml:space="preserve"> I100090831</v>
      </c>
      <c r="H166" s="214" t="s">
        <v>193</v>
      </c>
      <c r="I166" s="214" t="str">
        <f>VLOOKUP($H166,AWS!$A:$H,8,0)</f>
        <v>황범석</v>
      </c>
      <c r="J166" s="214" t="str">
        <f>VLOOKUP($H166,AWS!$A:$H,8,0)</f>
        <v>황범석</v>
      </c>
      <c r="K166" s="186" t="s">
        <v>29</v>
      </c>
      <c r="L166" s="210"/>
      <c r="M166" s="211"/>
      <c r="N166" s="212"/>
      <c r="O166" s="212"/>
      <c r="P166" s="212"/>
      <c r="Q166" s="212"/>
      <c r="R166" s="212"/>
      <c r="S166" s="212"/>
      <c r="T166" s="212"/>
      <c r="U166" s="212">
        <v>646806</v>
      </c>
      <c r="V166" s="205">
        <v>3154968</v>
      </c>
      <c r="W166" s="205">
        <f>ROUND(표9[[#This Row],[Apr 2026 (USD or KRW)]],0)</f>
        <v>0</v>
      </c>
      <c r="X166" s="212"/>
      <c r="Y166" s="206">
        <f>표9[[#This Row],[Apr 2027(KRW)]]-표9[[#This Row],[Mar 2026(KRW)]]</f>
        <v>-3154968</v>
      </c>
      <c r="Z166" s="213">
        <f t="shared" si="2"/>
        <v>-1</v>
      </c>
      <c r="AA166" s="208">
        <f>VLOOKUP(표9[[#This Row],[Team]],표1[],3,0)</f>
        <v>1000</v>
      </c>
    </row>
    <row r="167" spans="1:27" s="8" customFormat="1" ht="15">
      <c r="A167" s="209" t="str">
        <f>VLOOKUP($H167,AWS!$A:$H,2,0)</f>
        <v>AWS</v>
      </c>
      <c r="B167" s="209" t="str">
        <f>VLOOKUP($H167,AWS!$A:$H,3,0)</f>
        <v>5Minlab</v>
      </c>
      <c r="C167" s="209" t="str">
        <f>VLOOKUP($H167,AWS!$A:$H,4,0)</f>
        <v>5Minlab</v>
      </c>
      <c r="D167" s="214" t="str">
        <f>VLOOKUP($H167,AWS!$A:$H,5,0)</f>
        <v>5ml Tech Dept</v>
      </c>
      <c r="E167" s="214">
        <f>VLOOKUP($H167,AWS!$A:$H,6,0)</f>
        <v>0</v>
      </c>
      <c r="F167" s="202">
        <f>VLOOKUP(표9[[#This Row],[Team]],표1[[내역]:[코스트 센터]],2,0)</f>
        <v>400030</v>
      </c>
      <c r="G167" s="202" t="e">
        <f>VLOOKUP(표9[[#This Row],[Project]],표2[],2,0)</f>
        <v>#N/A</v>
      </c>
      <c r="H167" s="209" t="s">
        <v>194</v>
      </c>
      <c r="I167" s="209" t="str">
        <f>VLOOKUP($H167,AWS!$A:$H,7,0)</f>
        <v>유지현</v>
      </c>
      <c r="J167" s="214" t="str">
        <f>VLOOKUP($H167,AWS!$A:$H,8,0)</f>
        <v>유지현</v>
      </c>
      <c r="K167" s="186"/>
      <c r="L167" s="210">
        <v>14983483</v>
      </c>
      <c r="M167" s="211">
        <v>12885463</v>
      </c>
      <c r="N167" s="212">
        <v>13524964</v>
      </c>
      <c r="O167" s="212">
        <v>13507921</v>
      </c>
      <c r="P167" s="212">
        <v>12151230</v>
      </c>
      <c r="Q167" s="212">
        <v>12211342</v>
      </c>
      <c r="R167" s="212">
        <v>11705754</v>
      </c>
      <c r="S167" s="212">
        <v>11875508</v>
      </c>
      <c r="T167" s="212">
        <v>12817602</v>
      </c>
      <c r="U167" s="212">
        <v>10801777</v>
      </c>
      <c r="V167" s="205">
        <v>10057008</v>
      </c>
      <c r="W167" s="205">
        <f>ROUND(표9[[#This Row],[Apr 2026 (USD or KRW)]],0)</f>
        <v>0</v>
      </c>
      <c r="X167" s="212"/>
      <c r="Y167" s="206">
        <f>표9[[#This Row],[Apr 2027(KRW)]]-표9[[#This Row],[Mar 2026(KRW)]]</f>
        <v>-10057008</v>
      </c>
      <c r="Z167" s="213">
        <f t="shared" si="2"/>
        <v>-1</v>
      </c>
      <c r="AA167" s="208">
        <f>VLOOKUP(표9[[#This Row],[Team]],표1[],3,0)</f>
        <v>4000</v>
      </c>
    </row>
    <row r="168" spans="1:27" s="8" customFormat="1" ht="15">
      <c r="A168" s="209" t="str">
        <f>VLOOKUP($H168,AWS!$A:$H,2,0)</f>
        <v>AWS</v>
      </c>
      <c r="B168" s="209" t="str">
        <f>VLOOKUP($H168,AWS!$A:$H,3,0)</f>
        <v>5Minlab</v>
      </c>
      <c r="C168" s="209" t="str">
        <f>VLOOKUP($H168,AWS!$A:$H,4,0)</f>
        <v>5Minlab</v>
      </c>
      <c r="D168" s="214" t="str">
        <f>VLOOKUP($H168,AWS!$A:$H,5,0)</f>
        <v>5ml Tech Dept</v>
      </c>
      <c r="E168" s="214">
        <f>VLOOKUP($H168,AWS!$A:$H,6,0)</f>
        <v>0</v>
      </c>
      <c r="F168" s="202">
        <f>VLOOKUP(표9[[#This Row],[Team]],표1[[내역]:[코스트 센터]],2,0)</f>
        <v>400030</v>
      </c>
      <c r="G168" s="202" t="e">
        <f>VLOOKUP(표9[[#This Row],[Project]],표2[],2,0)</f>
        <v>#N/A</v>
      </c>
      <c r="H168" s="209" t="s">
        <v>195</v>
      </c>
      <c r="I168" s="209" t="str">
        <f>VLOOKUP($H168,AWS!$A:$H,7,0)</f>
        <v>유지현</v>
      </c>
      <c r="J168" s="214" t="str">
        <f>VLOOKUP($H168,AWS!$A:$H,8,0)</f>
        <v>유지현</v>
      </c>
      <c r="K168" s="186"/>
      <c r="L168" s="210">
        <v>84566</v>
      </c>
      <c r="M168" s="211">
        <v>72752</v>
      </c>
      <c r="N168" s="212">
        <v>74333</v>
      </c>
      <c r="O168" s="212">
        <v>90037</v>
      </c>
      <c r="P168" s="212">
        <v>87295</v>
      </c>
      <c r="Q168" s="212">
        <v>91016</v>
      </c>
      <c r="R168" s="212">
        <v>92025</v>
      </c>
      <c r="S168" s="212">
        <v>67748</v>
      </c>
      <c r="T168" s="212">
        <v>0</v>
      </c>
      <c r="U168" s="212">
        <v>0</v>
      </c>
      <c r="V168" s="205">
        <v>0</v>
      </c>
      <c r="W168" s="205">
        <f>ROUND(표9[[#This Row],[Apr 2026 (USD or KRW)]],0)</f>
        <v>0</v>
      </c>
      <c r="X168" s="212"/>
      <c r="Y168" s="206">
        <f>표9[[#This Row],[Apr 2027(KRW)]]-표9[[#This Row],[Mar 2026(KRW)]]</f>
        <v>0</v>
      </c>
      <c r="Z168" s="213" t="str">
        <f t="shared" si="2"/>
        <v/>
      </c>
      <c r="AA168" s="208">
        <f>VLOOKUP(표9[[#This Row],[Team]],표1[],3,0)</f>
        <v>4000</v>
      </c>
    </row>
    <row r="169" spans="1:27" s="8" customFormat="1" ht="15">
      <c r="A169" s="214" t="str">
        <f>VLOOKUP($H169,AWS!$A:$H,2,0)</f>
        <v>AWS</v>
      </c>
      <c r="B169" s="214" t="str">
        <f>VLOOKUP($H169,AWS!$A:$H,3,0)</f>
        <v>KRAFTON HQ</v>
      </c>
      <c r="C169" s="209" t="str">
        <f>VLOOKUP($H169,AWS!$A:$H,4,0)</f>
        <v>KRAFTON HQ</v>
      </c>
      <c r="D169" s="214" t="str">
        <f>VLOOKUP($H169,AWS!$A:$H,5,0)</f>
        <v>Camp Dept.</v>
      </c>
      <c r="E169" s="214" t="str">
        <f>VLOOKUP($H169,AWS!$A:$H,6,0)</f>
        <v>OVERHEAD/OTHERS</v>
      </c>
      <c r="F169" s="202">
        <f>VLOOKUP(표9[[#This Row],[Team]],표1[[내역]:[코스트 센터]],2,0)</f>
        <v>105019</v>
      </c>
      <c r="G169" s="202" t="str">
        <f>VLOOKUP(표9[[#This Row],[Project]],표2[],2,0)</f>
        <v>I100099999</v>
      </c>
      <c r="H169" s="214" t="s">
        <v>196</v>
      </c>
      <c r="I169" s="214" t="str">
        <f>VLOOKUP($H169,AWS!$A:$H,8,0)</f>
        <v>이태형</v>
      </c>
      <c r="J169" s="214" t="str">
        <f>VLOOKUP($H169,AWS!$A:$H,8,0)</f>
        <v>이태형</v>
      </c>
      <c r="K169" s="187" t="s">
        <v>29</v>
      </c>
      <c r="L169" s="215"/>
      <c r="M169" s="216"/>
      <c r="N169" s="217"/>
      <c r="O169" s="217"/>
      <c r="P169" s="217"/>
      <c r="Q169" s="217"/>
      <c r="R169" s="217"/>
      <c r="S169" s="217">
        <v>48039</v>
      </c>
      <c r="T169" s="212">
        <v>548703</v>
      </c>
      <c r="U169" s="212">
        <v>543831</v>
      </c>
      <c r="V169" s="205">
        <v>579251</v>
      </c>
      <c r="W169" s="205">
        <f>ROUND(표9[[#This Row],[Apr 2026 (USD or KRW)]],0)</f>
        <v>0</v>
      </c>
      <c r="X169" s="212"/>
      <c r="Y169" s="206">
        <f>표9[[#This Row],[Apr 2027(KRW)]]-표9[[#This Row],[Mar 2026(KRW)]]</f>
        <v>-579251</v>
      </c>
      <c r="Z169" s="213">
        <f t="shared" si="2"/>
        <v>-1</v>
      </c>
      <c r="AA169" s="208">
        <f>VLOOKUP(표9[[#This Row],[Team]],표1[],3,0)</f>
        <v>1000</v>
      </c>
    </row>
    <row r="170" spans="1:27" s="8" customFormat="1" ht="15">
      <c r="A170" s="214" t="str">
        <f>VLOOKUP($H170,AWS!$A:$H,2,0)</f>
        <v>AWS</v>
      </c>
      <c r="B170" s="214" t="str">
        <f>VLOOKUP($H170,AWS!$A:$H,3,0)</f>
        <v>KRAFTON HQ</v>
      </c>
      <c r="C170" s="209" t="str">
        <f>VLOOKUP($H170,AWS!$A:$H,4,0)</f>
        <v>KRAFTON HQ</v>
      </c>
      <c r="D170" s="214" t="str">
        <f>VLOOKUP($H170,AWS!$A:$H,5,0)</f>
        <v>MS DevOps Team</v>
      </c>
      <c r="E170" s="214" t="str">
        <f>VLOOKUP($H170,AWS!$A:$H,6,0)</f>
        <v>OVERHEAD/OTHERS</v>
      </c>
      <c r="F170" s="202">
        <f>VLOOKUP(표9[[#This Row],[Team]],표1[[내역]:[코스트 센터]],2,0)</f>
        <v>100774</v>
      </c>
      <c r="G170" s="202" t="str">
        <f>VLOOKUP(표9[[#This Row],[Project]],표2[],2,0)</f>
        <v>I100099999</v>
      </c>
      <c r="H170" s="214" t="s">
        <v>197</v>
      </c>
      <c r="I170" s="214" t="str">
        <f>VLOOKUP($H170,AWS!$A:$H,8,0)</f>
        <v>배시은</v>
      </c>
      <c r="J170" s="214" t="str">
        <f>VLOOKUP($H170,AWS!$A:$H,8,0)</f>
        <v>배시은</v>
      </c>
      <c r="K170" s="187" t="s">
        <v>29</v>
      </c>
      <c r="L170" s="215"/>
      <c r="M170" s="216"/>
      <c r="N170" s="217"/>
      <c r="O170" s="217"/>
      <c r="P170" s="217"/>
      <c r="Q170" s="217"/>
      <c r="R170" s="217"/>
      <c r="S170" s="217">
        <v>276181</v>
      </c>
      <c r="T170" s="212">
        <v>535436</v>
      </c>
      <c r="U170" s="212">
        <v>697985</v>
      </c>
      <c r="V170" s="205">
        <v>959823</v>
      </c>
      <c r="W170" s="205">
        <f>ROUND(표9[[#This Row],[Apr 2026 (USD or KRW)]],0)</f>
        <v>0</v>
      </c>
      <c r="X170" s="212"/>
      <c r="Y170" s="206">
        <f>표9[[#This Row],[Apr 2027(KRW)]]-표9[[#This Row],[Mar 2026(KRW)]]</f>
        <v>-959823</v>
      </c>
      <c r="Z170" s="213">
        <f t="shared" si="2"/>
        <v>-1</v>
      </c>
      <c r="AA170" s="208">
        <f>VLOOKUP(표9[[#This Row],[Team]],표1[],3,0)</f>
        <v>1000</v>
      </c>
    </row>
    <row r="171" spans="1:27" s="8" customFormat="1" ht="15">
      <c r="A171" s="214" t="str">
        <f>VLOOKUP($H171,AWS!$A:$H,2,0)</f>
        <v>AWS</v>
      </c>
      <c r="B171" s="214" t="str">
        <f>VLOOKUP($H171,AWS!$A:$H,3,0)</f>
        <v>KRAFTON HQ</v>
      </c>
      <c r="C171" s="209" t="str">
        <f>VLOOKUP($H171,AWS!$A:$H,4,0)</f>
        <v>KRAFTON HQ</v>
      </c>
      <c r="D171" s="214" t="str">
        <f>VLOOKUP($H171,AWS!$A:$H,5,0)</f>
        <v>MS DevOps Team</v>
      </c>
      <c r="E171" s="214" t="str">
        <f>VLOOKUP($H171,AWS!$A:$H,6,0)</f>
        <v>OVERHEAD/OTHERS</v>
      </c>
      <c r="F171" s="202">
        <f>VLOOKUP(표9[[#This Row],[Team]],표1[[내역]:[코스트 센터]],2,0)</f>
        <v>100774</v>
      </c>
      <c r="G171" s="202" t="str">
        <f>VLOOKUP(표9[[#This Row],[Project]],표2[],2,0)</f>
        <v>I100099999</v>
      </c>
      <c r="H171" s="214" t="s">
        <v>198</v>
      </c>
      <c r="I171" s="214" t="str">
        <f>VLOOKUP($H171,AWS!$A:$H,8,0)</f>
        <v>배시은</v>
      </c>
      <c r="J171" s="214" t="str">
        <f>VLOOKUP($H171,AWS!$A:$H,8,0)</f>
        <v>배시은</v>
      </c>
      <c r="K171" s="187" t="s">
        <v>29</v>
      </c>
      <c r="L171" s="215">
        <v>1826555</v>
      </c>
      <c r="M171" s="216">
        <v>1561629</v>
      </c>
      <c r="N171" s="217">
        <v>1629700</v>
      </c>
      <c r="O171" s="217">
        <v>1858534</v>
      </c>
      <c r="P171" s="217">
        <v>2714649</v>
      </c>
      <c r="Q171" s="217">
        <v>2596925</v>
      </c>
      <c r="R171" s="217">
        <v>2752322</v>
      </c>
      <c r="S171" s="217">
        <v>2884835</v>
      </c>
      <c r="T171" s="212">
        <v>2959586</v>
      </c>
      <c r="U171" s="212">
        <v>3512845</v>
      </c>
      <c r="V171" s="205">
        <v>4355810</v>
      </c>
      <c r="W171" s="205">
        <f>ROUND(표9[[#This Row],[Apr 2026 (USD or KRW)]],0)</f>
        <v>0</v>
      </c>
      <c r="X171" s="212"/>
      <c r="Y171" s="206">
        <f>표9[[#This Row],[Apr 2027(KRW)]]-표9[[#This Row],[Mar 2026(KRW)]]</f>
        <v>-4355810</v>
      </c>
      <c r="Z171" s="213">
        <f t="shared" si="2"/>
        <v>-1</v>
      </c>
      <c r="AA171" s="208">
        <f>VLOOKUP(표9[[#This Row],[Team]],표1[],3,0)</f>
        <v>1000</v>
      </c>
    </row>
    <row r="172" spans="1:27" s="8" customFormat="1" ht="15">
      <c r="A172" s="209" t="str">
        <f>VLOOKUP($H172,AWS!$A:$H,2,0)</f>
        <v>AWS</v>
      </c>
      <c r="B172" s="209" t="str">
        <f>VLOOKUP($H172,AWS!$A:$H,3,0)</f>
        <v>KRAFTON HQ</v>
      </c>
      <c r="C172" s="209" t="str">
        <f>VLOOKUP($H172,AWS!$A:$H,4,0)</f>
        <v>KRAFTON HQ</v>
      </c>
      <c r="D172" s="214" t="str">
        <f>VLOOKUP($H172,AWS!$A:$H,5,0)</f>
        <v>KRAFTON HQ</v>
      </c>
      <c r="E172" s="214" t="str">
        <f>VLOOKUP($H172,AWS!$A:$H,6,0)</f>
        <v>OVERHEAD/OTHERS</v>
      </c>
      <c r="F172" s="202">
        <f>VLOOKUP(표9[[#This Row],[Team]],표1[[내역]:[코스트 센터]],2,0)</f>
        <v>100009</v>
      </c>
      <c r="G172" s="202" t="str">
        <f>VLOOKUP(표9[[#This Row],[Project]],표2[],2,0)</f>
        <v>I100099999</v>
      </c>
      <c r="H172" s="209" t="s">
        <v>199</v>
      </c>
      <c r="I172" s="219" t="str">
        <f>VLOOKUP($H172,AWS!$A:$H,8,0)</f>
        <v>이윤슬</v>
      </c>
      <c r="J172" s="214" t="str">
        <f>VLOOKUP($H172,AWS!$A:$H,8,0)</f>
        <v>이윤슬</v>
      </c>
      <c r="K172" s="186"/>
      <c r="L172" s="210"/>
      <c r="M172" s="211"/>
      <c r="N172" s="212"/>
      <c r="O172" s="212"/>
      <c r="P172" s="212"/>
      <c r="Q172" s="212"/>
      <c r="R172" s="212"/>
      <c r="S172" s="212"/>
      <c r="T172" s="212">
        <v>11353</v>
      </c>
      <c r="U172" s="212">
        <v>3828</v>
      </c>
      <c r="V172" s="205">
        <v>43103061</v>
      </c>
      <c r="W172" s="205">
        <f>ROUND(표9[[#This Row],[Apr 2026 (USD or KRW)]],0)</f>
        <v>0</v>
      </c>
      <c r="X172" s="212"/>
      <c r="Y172" s="206">
        <f>표9[[#This Row],[Apr 2027(KRW)]]-표9[[#This Row],[Mar 2026(KRW)]]</f>
        <v>-43103061</v>
      </c>
      <c r="Z172" s="213">
        <f t="shared" si="2"/>
        <v>-1</v>
      </c>
      <c r="AA172" s="208">
        <f>VLOOKUP(표9[[#This Row],[Team]],표1[],3,0)</f>
        <v>1000</v>
      </c>
    </row>
    <row r="173" spans="1:27" s="8" customFormat="1" ht="15">
      <c r="A173" s="214" t="str">
        <f>VLOOKUP($H173,AWS!$A:$H,2,0)</f>
        <v>AWS</v>
      </c>
      <c r="B173" s="214" t="str">
        <f>VLOOKUP($H173,AWS!$A:$H,3,0)</f>
        <v>KRAFTON HQ</v>
      </c>
      <c r="C173" s="209" t="str">
        <f>VLOOKUP($H173,AWS!$A:$H,4,0)</f>
        <v>Mad Glory</v>
      </c>
      <c r="D173" s="214" t="str">
        <f>VLOOKUP($H173,AWS!$A:$H,5,0)</f>
        <v>Valor Core Tech Team</v>
      </c>
      <c r="E173" s="214" t="str">
        <f>VLOOKUP($H173,AWS!$A:$H,6,0)</f>
        <v>Valor_Console</v>
      </c>
      <c r="F173" s="202">
        <f>VLOOKUP(표9[[#This Row],[Team]],표1[[내역]:[코스트 센터]],2,0)</f>
        <v>150107</v>
      </c>
      <c r="G173" s="202" t="str">
        <f>VLOOKUP(표9[[#This Row],[Project]],표2[],2,0)</f>
        <v>P100020081</v>
      </c>
      <c r="H173" s="214" t="s">
        <v>200</v>
      </c>
      <c r="I173" s="214" t="str">
        <f>VLOOKUP($H173,AWS!$A:$H,8,0)</f>
        <v>송영재</v>
      </c>
      <c r="J173" s="214" t="str">
        <f>VLOOKUP($H173,AWS!$A:$H,8,0)</f>
        <v>송영재</v>
      </c>
      <c r="K173" s="187" t="s">
        <v>29</v>
      </c>
      <c r="L173" s="215"/>
      <c r="M173" s="216"/>
      <c r="N173" s="217"/>
      <c r="O173" s="217">
        <v>46272</v>
      </c>
      <c r="P173" s="217">
        <v>469680</v>
      </c>
      <c r="Q173" s="217">
        <v>1287275</v>
      </c>
      <c r="R173" s="217">
        <v>4005361</v>
      </c>
      <c r="S173" s="217">
        <v>4938647</v>
      </c>
      <c r="T173" s="212">
        <v>4348298</v>
      </c>
      <c r="U173" s="212">
        <v>4418959</v>
      </c>
      <c r="V173" s="205">
        <v>6171472</v>
      </c>
      <c r="W173" s="205">
        <f>ROUND(표9[[#This Row],[Apr 2026 (USD or KRW)]],0)</f>
        <v>0</v>
      </c>
      <c r="X173" s="212"/>
      <c r="Y173" s="206">
        <f>표9[[#This Row],[Apr 2027(KRW)]]-표9[[#This Row],[Mar 2026(KRW)]]</f>
        <v>-6171472</v>
      </c>
      <c r="Z173" s="213">
        <f t="shared" si="2"/>
        <v>-1</v>
      </c>
      <c r="AA173" s="208">
        <f>VLOOKUP(표9[[#This Row],[Team]],표1[],3,0)</f>
        <v>1500</v>
      </c>
    </row>
    <row r="174" spans="1:27" s="8" customFormat="1" ht="15">
      <c r="A174" s="214" t="str">
        <f>VLOOKUP($H174,AWS!$A:$H,2,0)</f>
        <v>AWS</v>
      </c>
      <c r="B174" s="214" t="str">
        <f>VLOOKUP($H174,AWS!$A:$H,3,0)</f>
        <v>KRAFTON HQ</v>
      </c>
      <c r="C174" s="209" t="str">
        <f>VLOOKUP($H174,AWS!$A:$H,4,0)</f>
        <v>OliveTree Games</v>
      </c>
      <c r="D174" s="214" t="str">
        <f>VLOOKUP($H174,AWS!$A:$H,5,0)</f>
        <v>Olive Game Development Team</v>
      </c>
      <c r="E174" s="214" t="str">
        <f>VLOOKUP($H174,AWS!$A:$H,6,0)</f>
        <v>OVERHEAD/OTHERS</v>
      </c>
      <c r="F174" s="202">
        <f>VLOOKUP(표9[[#This Row],[Team]],표1[[내역]:[코스트 센터]],2,0)</f>
        <v>102078</v>
      </c>
      <c r="G174" s="202" t="str">
        <f>VLOOKUP(표9[[#This Row],[Project]],표2[],2,0)</f>
        <v>I100099999</v>
      </c>
      <c r="H174" s="214" t="s">
        <v>201</v>
      </c>
      <c r="I174" s="214" t="str">
        <f>VLOOKUP($H174,AWS!$A:$H,8,0)</f>
        <v>이지운</v>
      </c>
      <c r="J174" s="214" t="str">
        <f>VLOOKUP($H174,AWS!$A:$H,8,0)</f>
        <v>이지운</v>
      </c>
      <c r="K174" s="187" t="s">
        <v>29</v>
      </c>
      <c r="L174" s="215"/>
      <c r="M174" s="216"/>
      <c r="N174" s="217"/>
      <c r="O174" s="217"/>
      <c r="P174" s="217"/>
      <c r="Q174" s="217"/>
      <c r="R174" s="217">
        <v>19309</v>
      </c>
      <c r="S174" s="217">
        <v>210145</v>
      </c>
      <c r="T174" s="212">
        <v>250984</v>
      </c>
      <c r="U174" s="212">
        <v>783529</v>
      </c>
      <c r="V174" s="205">
        <v>1142372</v>
      </c>
      <c r="W174" s="205">
        <f>ROUND(표9[[#This Row],[Apr 2026 (USD or KRW)]],0)</f>
        <v>0</v>
      </c>
      <c r="X174" s="212"/>
      <c r="Y174" s="206">
        <f>표9[[#This Row],[Apr 2027(KRW)]]-표9[[#This Row],[Mar 2026(KRW)]]</f>
        <v>-1142372</v>
      </c>
      <c r="Z174" s="213">
        <f t="shared" si="2"/>
        <v>-1</v>
      </c>
      <c r="AA174" s="208">
        <f>VLOOKUP(표9[[#This Row],[Team]],표1[],3,0)</f>
        <v>1000</v>
      </c>
    </row>
    <row r="175" spans="1:27" s="8" customFormat="1" ht="15">
      <c r="A175" s="214" t="str">
        <f>VLOOKUP($H175,AWS!$A:$H,2,0)</f>
        <v>AWS</v>
      </c>
      <c r="B175" s="214" t="str">
        <f>VLOOKUP($H175,AWS!$A:$H,3,0)</f>
        <v>KRAFTON HQ</v>
      </c>
      <c r="C175" s="209" t="str">
        <f>VLOOKUP($H175,AWS!$A:$H,4,0)</f>
        <v>OliveTree Games</v>
      </c>
      <c r="D175" s="214" t="str">
        <f>VLOOKUP($H175,AWS!$A:$H,5,0)</f>
        <v>Olive Game Development Team</v>
      </c>
      <c r="E175" s="214" t="str">
        <f>VLOOKUP($H175,AWS!$A:$H,6,0)</f>
        <v>OVERHEAD/OTHERS</v>
      </c>
      <c r="F175" s="202">
        <f>VLOOKUP(표9[[#This Row],[Team]],표1[[내역]:[코스트 센터]],2,0)</f>
        <v>102078</v>
      </c>
      <c r="G175" s="202" t="str">
        <f>VLOOKUP(표9[[#This Row],[Project]],표2[],2,0)</f>
        <v>I100099999</v>
      </c>
      <c r="H175" s="214" t="s">
        <v>202</v>
      </c>
      <c r="I175" s="214" t="str">
        <f>VLOOKUP($H175,AWS!$A:$H,8,0)</f>
        <v>이지운</v>
      </c>
      <c r="J175" s="214" t="str">
        <f>VLOOKUP($H175,AWS!$A:$H,8,0)</f>
        <v>이지운</v>
      </c>
      <c r="K175" s="186" t="s">
        <v>29</v>
      </c>
      <c r="L175" s="210"/>
      <c r="M175" s="211"/>
      <c r="N175" s="212"/>
      <c r="O175" s="212"/>
      <c r="P175" s="212"/>
      <c r="Q175" s="212"/>
      <c r="R175" s="212"/>
      <c r="S175" s="212"/>
      <c r="T175" s="212"/>
      <c r="U175" s="212">
        <v>12927</v>
      </c>
      <c r="V175" s="205">
        <v>18984</v>
      </c>
      <c r="W175" s="205">
        <f>ROUND(표9[[#This Row],[Apr 2026 (USD or KRW)]],0)</f>
        <v>0</v>
      </c>
      <c r="X175" s="212"/>
      <c r="Y175" s="206">
        <f>표9[[#This Row],[Apr 2027(KRW)]]-표9[[#This Row],[Mar 2026(KRW)]]</f>
        <v>-18984</v>
      </c>
      <c r="Z175" s="213">
        <f t="shared" si="2"/>
        <v>-1</v>
      </c>
      <c r="AA175" s="208">
        <f>VLOOKUP(표9[[#This Row],[Team]],표1[],3,0)</f>
        <v>1000</v>
      </c>
    </row>
    <row r="176" spans="1:27" s="8" customFormat="1" ht="15">
      <c r="A176" s="214" t="str">
        <f>VLOOKUP($H176,AWS!$A:$H,2,0)</f>
        <v>AWS</v>
      </c>
      <c r="B176" s="214" t="str">
        <f>VLOOKUP($H176,AWS!$A:$H,3,0)</f>
        <v>KRAFTON HQ</v>
      </c>
      <c r="C176" s="209" t="str">
        <f>VLOOKUP($H176,AWS!$A:$H,4,0)</f>
        <v>Omnicraftlabs</v>
      </c>
      <c r="D176" s="214" t="str">
        <f>VLOOKUP($H176,AWS!$A:$H,5,0)</f>
        <v>OCL GW Server Team</v>
      </c>
      <c r="E176" s="214" t="str">
        <f>VLOOKUP($H176,AWS!$A:$H,6,0)</f>
        <v>GW</v>
      </c>
      <c r="F176" s="202">
        <f>VLOOKUP(표9[[#This Row],[Team]],표1[[내역]:[코스트 센터]],2,0)</f>
        <v>330046</v>
      </c>
      <c r="G176" s="202" t="e">
        <f>VLOOKUP(표9[[#This Row],[Project]],표2[],2,0)</f>
        <v>#N/A</v>
      </c>
      <c r="H176" s="214" t="s">
        <v>203</v>
      </c>
      <c r="I176" s="214" t="e">
        <f>VLOOKUP($H176,AWS!$A:$H,9,0)</f>
        <v>#REF!</v>
      </c>
      <c r="J176" s="214" t="str">
        <f>VLOOKUP($H176,AWS!$A:$H,8,0)</f>
        <v>강동혁</v>
      </c>
      <c r="K176" s="187" t="s">
        <v>29</v>
      </c>
      <c r="L176" s="215"/>
      <c r="M176" s="216"/>
      <c r="N176" s="217"/>
      <c r="O176" s="217">
        <v>808</v>
      </c>
      <c r="P176" s="217">
        <v>14506</v>
      </c>
      <c r="Q176" s="217">
        <v>16318</v>
      </c>
      <c r="R176" s="217">
        <v>12535</v>
      </c>
      <c r="S176" s="217">
        <v>13166</v>
      </c>
      <c r="T176" s="212">
        <v>13112</v>
      </c>
      <c r="U176" s="212">
        <v>11112</v>
      </c>
      <c r="V176" s="205">
        <v>13060</v>
      </c>
      <c r="W176" s="205">
        <f>ROUND(표9[[#This Row],[Apr 2026 (USD or KRW)]],0)</f>
        <v>0</v>
      </c>
      <c r="X176" s="212"/>
      <c r="Y176" s="206">
        <f>표9[[#This Row],[Apr 2027(KRW)]]-표9[[#This Row],[Mar 2026(KRW)]]</f>
        <v>-13060</v>
      </c>
      <c r="Z176" s="213">
        <f t="shared" si="2"/>
        <v>-1</v>
      </c>
      <c r="AA176" s="208">
        <f>VLOOKUP(표9[[#This Row],[Team]],표1[],3,0)</f>
        <v>3300</v>
      </c>
    </row>
    <row r="177" spans="1:27" s="8" customFormat="1" ht="15">
      <c r="A177" s="209" t="str">
        <f>VLOOKUP($H177,AWS!$A:$H,2,0)</f>
        <v>AWS</v>
      </c>
      <c r="B177" s="209" t="str">
        <f>VLOOKUP($H177,AWS!$A:$H,3,0)</f>
        <v>OVERDARE</v>
      </c>
      <c r="C177" s="209" t="str">
        <f>VLOOKUP($H177,AWS!$A:$H,4,0)</f>
        <v>OVERDARE</v>
      </c>
      <c r="D177" s="214" t="str">
        <f>VLOOKUP($H177,AWS!$A:$H,5,0)</f>
        <v>OVDR Platform Engineering Dept</v>
      </c>
      <c r="E177" s="214">
        <f>VLOOKUP($H177,AWS!$A:$H,6,0)</f>
        <v>0</v>
      </c>
      <c r="F177" s="202" t="e">
        <f>VLOOKUP(표9[[#This Row],[Team]],표1[[내역]:[코스트 센터]],2,0)</f>
        <v>#N/A</v>
      </c>
      <c r="G177" s="202" t="e">
        <f>VLOOKUP(표9[[#This Row],[Project]],표2[],2,0)</f>
        <v>#N/A</v>
      </c>
      <c r="H177" s="209" t="s">
        <v>204</v>
      </c>
      <c r="I177" s="209" t="str">
        <f>VLOOKUP($H177,AWS!$A:$H,7,0)</f>
        <v>이제우</v>
      </c>
      <c r="J177" s="214" t="str">
        <f>VLOOKUP($H177,AWS!$A:$H,8,0)</f>
        <v>이제우</v>
      </c>
      <c r="K177" s="186"/>
      <c r="L177" s="210">
        <v>6573</v>
      </c>
      <c r="M177" s="211">
        <v>14392</v>
      </c>
      <c r="N177" s="212">
        <v>6229</v>
      </c>
      <c r="O177" s="212">
        <v>27400</v>
      </c>
      <c r="P177" s="212">
        <v>20064</v>
      </c>
      <c r="Q177" s="212">
        <v>10951</v>
      </c>
      <c r="R177" s="212">
        <v>10492</v>
      </c>
      <c r="S177" s="212">
        <v>9156</v>
      </c>
      <c r="T177" s="212">
        <v>11221</v>
      </c>
      <c r="U177" s="212">
        <v>9661</v>
      </c>
      <c r="V177" s="205">
        <v>8402</v>
      </c>
      <c r="W177" s="205">
        <f>ROUND(표9[[#This Row],[Apr 2026 (USD or KRW)]],0)</f>
        <v>0</v>
      </c>
      <c r="X177" s="212"/>
      <c r="Y177" s="206">
        <f>표9[[#This Row],[Apr 2027(KRW)]]-표9[[#This Row],[Mar 2026(KRW)]]</f>
        <v>-8402</v>
      </c>
      <c r="Z177" s="213">
        <f t="shared" si="2"/>
        <v>-1</v>
      </c>
      <c r="AA177" s="208" t="e">
        <f>VLOOKUP(표9[[#This Row],[Team]],표1[],3,0)</f>
        <v>#N/A</v>
      </c>
    </row>
    <row r="178" spans="1:27" s="8" customFormat="1" ht="15">
      <c r="A178" s="214" t="str">
        <f>VLOOKUP($H178,AWS!$A:$H,2,0)</f>
        <v>AWS</v>
      </c>
      <c r="B178" s="214" t="str">
        <f>VLOOKUP($H178,AWS!$A:$H,3,0)</f>
        <v>KRAFTON HQ</v>
      </c>
      <c r="C178" s="209" t="str">
        <f>VLOOKUP($H178,AWS!$A:$H,4,0)</f>
        <v>PUBG STUDIO</v>
      </c>
      <c r="D178" s="214" t="str">
        <f>VLOOKUP($H178,AWS!$A:$H,5,0)</f>
        <v>PUBG Marketing Team 1</v>
      </c>
      <c r="E178" s="214" t="str">
        <f>VLOOKUP($H178,AWS!$A:$H,6,0)</f>
        <v>BLACK BUDGET</v>
      </c>
      <c r="F178" s="202">
        <f>VLOOKUP(표9[[#This Row],[Team]],표1[[내역]:[코스트 센터]],2,0)</f>
        <v>101609</v>
      </c>
      <c r="G178" s="202" t="str">
        <f>VLOOKUP(표9[[#This Row],[Project]],표2[],2,0)</f>
        <v>P100010048</v>
      </c>
      <c r="H178" s="214" t="s">
        <v>205</v>
      </c>
      <c r="I178" s="214" t="str">
        <f>VLOOKUP($H178,AWS!$A:$H,8,0)</f>
        <v>유해찬</v>
      </c>
      <c r="J178" s="214" t="str">
        <f>VLOOKUP($H178,AWS!$A:$H,8,0)</f>
        <v>유해찬</v>
      </c>
      <c r="K178" s="187"/>
      <c r="L178" s="215"/>
      <c r="M178" s="216"/>
      <c r="N178" s="217"/>
      <c r="O178" s="217"/>
      <c r="P178" s="217"/>
      <c r="Q178" s="217"/>
      <c r="R178" s="217">
        <v>18566</v>
      </c>
      <c r="S178" s="217">
        <v>8879</v>
      </c>
      <c r="T178" s="212">
        <v>14239</v>
      </c>
      <c r="U178" s="212">
        <v>12193</v>
      </c>
      <c r="V178" s="205">
        <v>4666</v>
      </c>
      <c r="W178" s="205">
        <f>ROUND(표9[[#This Row],[Apr 2026 (USD or KRW)]],0)</f>
        <v>0</v>
      </c>
      <c r="X178" s="212"/>
      <c r="Y178" s="206">
        <f>표9[[#This Row],[Apr 2027(KRW)]]-표9[[#This Row],[Mar 2026(KRW)]]</f>
        <v>-4666</v>
      </c>
      <c r="Z178" s="213">
        <f t="shared" si="2"/>
        <v>-1</v>
      </c>
      <c r="AA178" s="208">
        <f>VLOOKUP(표9[[#This Row],[Team]],표1[],3,0)</f>
        <v>1000</v>
      </c>
    </row>
    <row r="179" spans="1:27" s="8" customFormat="1" ht="15">
      <c r="A179" s="214" t="str">
        <f>VLOOKUP($H179,AWS!$A:$H,2,0)</f>
        <v>AWS</v>
      </c>
      <c r="B179" s="214" t="str">
        <f>VLOOKUP($H179,AWS!$A:$H,3,0)</f>
        <v>Research</v>
      </c>
      <c r="C179" s="209" t="str">
        <f>VLOOKUP($H179,AWS!$A:$H,4,0)</f>
        <v>Research</v>
      </c>
      <c r="D179" s="214" t="str">
        <f>VLOOKUP($H179,AWS!$A:$H,5,0)</f>
        <v>AI Research Center</v>
      </c>
      <c r="E179" s="214" t="str">
        <f>VLOOKUP($H179,AWS!$A:$H,6,0)</f>
        <v>OVERHEAD/OTHERS</v>
      </c>
      <c r="F179" s="202">
        <f>VLOOKUP(표9[[#This Row],[Team]],표1[[내역]:[코스트 센터]],2,0)</f>
        <v>100677</v>
      </c>
      <c r="G179" s="202" t="str">
        <f>VLOOKUP(표9[[#This Row],[Project]],표2[],2,0)</f>
        <v>I100099999</v>
      </c>
      <c r="H179" s="214" t="s">
        <v>206</v>
      </c>
      <c r="I179" s="214" t="str">
        <f>VLOOKUP($H179,AWS!$A:$H,8,0)</f>
        <v>이영도</v>
      </c>
      <c r="J179" s="214" t="str">
        <f>VLOOKUP($H179,AWS!$A:$H,8,0)</f>
        <v>이영도</v>
      </c>
      <c r="K179" s="187"/>
      <c r="L179" s="215"/>
      <c r="M179" s="216">
        <v>242092</v>
      </c>
      <c r="N179" s="217">
        <v>397985</v>
      </c>
      <c r="O179" s="217">
        <v>146075</v>
      </c>
      <c r="P179" s="217">
        <v>143845</v>
      </c>
      <c r="Q179" s="217">
        <v>147807</v>
      </c>
      <c r="R179" s="217">
        <v>151770</v>
      </c>
      <c r="S179" s="217">
        <v>148401</v>
      </c>
      <c r="T179" s="212">
        <v>149410</v>
      </c>
      <c r="U179" s="212">
        <v>144387</v>
      </c>
      <c r="V179" s="205">
        <v>173764</v>
      </c>
      <c r="W179" s="205">
        <f>ROUND(표9[[#This Row],[Apr 2026 (USD or KRW)]],0)</f>
        <v>0</v>
      </c>
      <c r="X179" s="212"/>
      <c r="Y179" s="206">
        <f>표9[[#This Row],[Apr 2027(KRW)]]-표9[[#This Row],[Mar 2026(KRW)]]</f>
        <v>-173764</v>
      </c>
      <c r="Z179" s="213">
        <f t="shared" si="2"/>
        <v>-1</v>
      </c>
      <c r="AA179" s="208">
        <f>VLOOKUP(표9[[#This Row],[Team]],표1[],3,0)</f>
        <v>1000</v>
      </c>
    </row>
    <row r="180" spans="1:27" s="8" customFormat="1" ht="15">
      <c r="A180" s="209" t="str">
        <f>VLOOKUP($H180,AWS!$A:$H,2,0)</f>
        <v>AWS</v>
      </c>
      <c r="B180" s="209" t="str">
        <f>VLOOKUP($H180,AWS!$A:$H,3,0)</f>
        <v>KRAFTON HQ</v>
      </c>
      <c r="C180" s="209" t="str">
        <f>VLOOKUP($H180,AWS!$A:$H,4,0)</f>
        <v>KRAFTON HQ</v>
      </c>
      <c r="D180" s="214" t="str">
        <f>VLOOKUP($H180,AWS!$A:$H,5,0)</f>
        <v>GPSI Team</v>
      </c>
      <c r="E180" s="214" t="str">
        <f>VLOOKUP($H180,AWS!$A:$H,6,0)</f>
        <v>OVERHEAD/OTHERS</v>
      </c>
      <c r="F180" s="202">
        <f>VLOOKUP(표9[[#This Row],[Team]],표1[[내역]:[코스트 센터]],2,0)</f>
        <v>101993</v>
      </c>
      <c r="G180" s="202" t="str">
        <f>VLOOKUP(표9[[#This Row],[Project]],표2[],2,0)</f>
        <v>I100099999</v>
      </c>
      <c r="H180" s="209" t="s">
        <v>207</v>
      </c>
      <c r="I180" s="219" t="str">
        <f>VLOOKUP($H180,AWS!$A:$H,8,0)</f>
        <v>이채영</v>
      </c>
      <c r="J180" s="214" t="str">
        <f>VLOOKUP($H180,AWS!$A:$H,8,0)</f>
        <v>이채영</v>
      </c>
      <c r="K180" s="186"/>
      <c r="L180" s="210"/>
      <c r="M180" s="211"/>
      <c r="N180" s="212"/>
      <c r="O180" s="212"/>
      <c r="P180" s="212"/>
      <c r="Q180" s="212"/>
      <c r="R180" s="212"/>
      <c r="S180" s="212"/>
      <c r="T180" s="212">
        <v>11752</v>
      </c>
      <c r="U180" s="212">
        <v>3824</v>
      </c>
      <c r="V180" s="205">
        <v>7922</v>
      </c>
      <c r="W180" s="205">
        <f>ROUND(표9[[#This Row],[Apr 2026 (USD or KRW)]],0)</f>
        <v>0</v>
      </c>
      <c r="X180" s="212"/>
      <c r="Y180" s="206">
        <f>표9[[#This Row],[Apr 2027(KRW)]]-표9[[#This Row],[Mar 2026(KRW)]]</f>
        <v>-7922</v>
      </c>
      <c r="Z180" s="213">
        <f t="shared" si="2"/>
        <v>-1</v>
      </c>
      <c r="AA180" s="208">
        <f>VLOOKUP(표9[[#This Row],[Team]],표1[],3,0)</f>
        <v>1000</v>
      </c>
    </row>
    <row r="181" spans="1:27" s="8" customFormat="1" ht="15">
      <c r="A181" s="209" t="str">
        <f>VLOOKUP($H181,AWS!$A:$H,2,0)</f>
        <v>AWS</v>
      </c>
      <c r="B181" s="209" t="str">
        <f>VLOOKUP($H181,AWS!$A:$H,3,0)</f>
        <v>KRAFTON HQ</v>
      </c>
      <c r="C181" s="209" t="str">
        <f>VLOOKUP($H181,AWS!$A:$H,4,0)</f>
        <v>KRAFTON HQ</v>
      </c>
      <c r="D181" s="214" t="str">
        <f>VLOOKUP($H181,AWS!$A:$H,5,0)</f>
        <v>Publishing Platform Div.</v>
      </c>
      <c r="E181" s="214" t="str">
        <f>VLOOKUP($H181,AWS!$A:$H,6,0)</f>
        <v>GPP</v>
      </c>
      <c r="F181" s="202">
        <f>VLOOKUP(표9[[#This Row],[Team]],표1[[내역]:[코스트 센터]],2,0)</f>
        <v>101685</v>
      </c>
      <c r="G181" s="202" t="str">
        <f>VLOOKUP(표9[[#This Row],[Project]],표2[],2,0)</f>
        <v>I100090813</v>
      </c>
      <c r="H181" s="209" t="s">
        <v>208</v>
      </c>
      <c r="I181" s="219" t="str">
        <f>VLOOKUP($H181,AWS!$A:$H,8,0)</f>
        <v>김시훈</v>
      </c>
      <c r="J181" s="214" t="str">
        <f>VLOOKUP($H181,AWS!$A:$H,8,0)</f>
        <v>김시훈</v>
      </c>
      <c r="K181" s="186" t="s">
        <v>29</v>
      </c>
      <c r="L181" s="210"/>
      <c r="M181" s="211"/>
      <c r="N181" s="212"/>
      <c r="O181" s="212"/>
      <c r="P181" s="212"/>
      <c r="Q181" s="212"/>
      <c r="R181" s="212"/>
      <c r="S181" s="212"/>
      <c r="T181" s="212">
        <v>45112</v>
      </c>
      <c r="U181" s="212">
        <v>948054</v>
      </c>
      <c r="V181" s="205">
        <v>869213</v>
      </c>
      <c r="W181" s="205">
        <f>ROUND(표9[[#This Row],[Apr 2026 (USD or KRW)]],0)</f>
        <v>0</v>
      </c>
      <c r="X181" s="212"/>
      <c r="Y181" s="206">
        <f>표9[[#This Row],[Apr 2027(KRW)]]-표9[[#This Row],[Mar 2026(KRW)]]</f>
        <v>-869213</v>
      </c>
      <c r="Z181" s="213">
        <f t="shared" si="2"/>
        <v>-1</v>
      </c>
      <c r="AA181" s="208">
        <f>VLOOKUP(표9[[#This Row],[Team]],표1[],3,0)</f>
        <v>1000</v>
      </c>
    </row>
    <row r="182" spans="1:27" s="8" customFormat="1" ht="15">
      <c r="A182" s="214" t="str">
        <f>VLOOKUP($H182,AWS!$A:$H,2,0)</f>
        <v>AWS</v>
      </c>
      <c r="B182" s="214" t="str">
        <f>VLOOKUP($H182,AWS!$A:$H,3,0)</f>
        <v>KRAFTON HQ</v>
      </c>
      <c r="C182" s="209" t="str">
        <f>VLOOKUP($H182,AWS!$A:$H,4,0)</f>
        <v>KRAFTON HQ</v>
      </c>
      <c r="D182" s="214" t="str">
        <f>VLOOKUP($H182,AWS!$A:$H,5,0)</f>
        <v>Publishing Platform PM Dept.</v>
      </c>
      <c r="E182" s="214" t="str">
        <f>VLOOKUP($H182,AWS!$A:$H,6,0)</f>
        <v>GPP</v>
      </c>
      <c r="F182" s="202">
        <f>VLOOKUP(표9[[#This Row],[Team]],표1[[내역]:[코스트 센터]],2,0)</f>
        <v>101313</v>
      </c>
      <c r="G182" s="202" t="str">
        <f>VLOOKUP(표9[[#This Row],[Project]],표2[],2,0)</f>
        <v>I100090813</v>
      </c>
      <c r="H182" s="214" t="s">
        <v>209</v>
      </c>
      <c r="I182" s="214" t="str">
        <f>VLOOKUP($H182,AWS!$A:$H,8,0)</f>
        <v>서강석</v>
      </c>
      <c r="J182" s="214" t="str">
        <f>VLOOKUP($H182,AWS!$A:$H,8,0)</f>
        <v>서강석</v>
      </c>
      <c r="K182" s="186" t="s">
        <v>29</v>
      </c>
      <c r="L182" s="210"/>
      <c r="M182" s="211"/>
      <c r="N182" s="212"/>
      <c r="O182" s="212"/>
      <c r="P182" s="212"/>
      <c r="Q182" s="212"/>
      <c r="R182" s="212"/>
      <c r="S182" s="212"/>
      <c r="T182" s="212"/>
      <c r="U182" s="212">
        <v>110982</v>
      </c>
      <c r="V182" s="205">
        <v>282067</v>
      </c>
      <c r="W182" s="205">
        <f>ROUND(표9[[#This Row],[Apr 2026 (USD or KRW)]],0)</f>
        <v>0</v>
      </c>
      <c r="X182" s="212"/>
      <c r="Y182" s="206">
        <f>표9[[#This Row],[Apr 2027(KRW)]]-표9[[#This Row],[Mar 2026(KRW)]]</f>
        <v>-282067</v>
      </c>
      <c r="Z182" s="213">
        <f t="shared" si="2"/>
        <v>-1</v>
      </c>
      <c r="AA182" s="208">
        <f>VLOOKUP(표9[[#This Row],[Team]],표1[],3,0)</f>
        <v>1000</v>
      </c>
    </row>
    <row r="183" spans="1:27" s="8" customFormat="1" ht="15">
      <c r="A183" s="209" t="str">
        <f>VLOOKUP($H183,AWS!$A:$H,2,0)</f>
        <v>AWS</v>
      </c>
      <c r="B183" s="209" t="str">
        <f>VLOOKUP($H183,AWS!$A:$H,3,0)</f>
        <v>KRAFTON HQ</v>
      </c>
      <c r="C183" s="209" t="str">
        <f>VLOOKUP($H183,AWS!$A:$H,4,0)</f>
        <v>NineB</v>
      </c>
      <c r="D183" s="214" t="str">
        <f>VLOOKUP($H183,AWS!$A:$H,5,0)</f>
        <v>ORN Game Design &amp; Production Team</v>
      </c>
      <c r="E183" s="214" t="str">
        <f>VLOOKUP($H183,AWS!$A:$H,6,0)</f>
        <v>Project Orion</v>
      </c>
      <c r="F183" s="202">
        <f>VLOOKUP(표9[[#This Row],[Team]],표1[[내역]:[코스트 센터]],2,0)</f>
        <v>107017</v>
      </c>
      <c r="G183" s="202" t="str">
        <f>VLOOKUP(표9[[#This Row],[Project]],표2[],2,0)</f>
        <v>P100010146</v>
      </c>
      <c r="H183" s="209" t="s">
        <v>210</v>
      </c>
      <c r="I183" s="219" t="str">
        <f>VLOOKUP($H183,AWS!$A:$H,8,0)</f>
        <v>김영제</v>
      </c>
      <c r="J183" s="214" t="str">
        <f>VLOOKUP($H183,AWS!$A:$H,8,0)</f>
        <v>김영제</v>
      </c>
      <c r="K183" s="188" t="s">
        <v>29</v>
      </c>
      <c r="L183" s="210"/>
      <c r="M183" s="211"/>
      <c r="N183" s="212"/>
      <c r="O183" s="212"/>
      <c r="P183" s="212"/>
      <c r="Q183" s="212"/>
      <c r="R183" s="212"/>
      <c r="S183" s="212"/>
      <c r="T183" s="212">
        <v>370274</v>
      </c>
      <c r="U183" s="212">
        <v>1789499</v>
      </c>
      <c r="V183" s="205">
        <v>1348023</v>
      </c>
      <c r="W183" s="205">
        <f>ROUND(표9[[#This Row],[Apr 2026 (USD or KRW)]],0)</f>
        <v>0</v>
      </c>
      <c r="X183" s="212"/>
      <c r="Y183" s="206">
        <f>표9[[#This Row],[Apr 2027(KRW)]]-표9[[#This Row],[Mar 2026(KRW)]]</f>
        <v>-1348023</v>
      </c>
      <c r="Z183" s="213">
        <f t="shared" si="2"/>
        <v>-1</v>
      </c>
      <c r="AA183" s="208">
        <f>VLOOKUP(표9[[#This Row],[Team]],표1[],3,0)</f>
        <v>1000</v>
      </c>
    </row>
    <row r="184" spans="1:27" s="8" customFormat="1" ht="15">
      <c r="A184" s="214" t="str">
        <f>VLOOKUP($H184,AWS!$A:$H,2,0)</f>
        <v>AWS</v>
      </c>
      <c r="B184" s="214" t="str">
        <f>VLOOKUP($H184,AWS!$A:$H,3,0)</f>
        <v>KRAFTON HQ</v>
      </c>
      <c r="C184" s="209" t="str">
        <f>VLOOKUP($H184,AWS!$A:$H,4,0)</f>
        <v>KRAFTON HQ</v>
      </c>
      <c r="D184" s="214" t="str">
        <f>VLOOKUP($H184,AWS!$A:$H,5,0)</f>
        <v>Player Support Team</v>
      </c>
      <c r="E184" s="214" t="str">
        <f>VLOOKUP($H184,AWS!$A:$H,6,0)</f>
        <v>OVERHEAD/OTHERS</v>
      </c>
      <c r="F184" s="202">
        <f>VLOOKUP(표9[[#This Row],[Team]],표1[[내역]:[코스트 센터]],2,0)</f>
        <v>100156</v>
      </c>
      <c r="G184" s="202" t="str">
        <f>VLOOKUP(표9[[#This Row],[Project]],표2[],2,0)</f>
        <v>I100099999</v>
      </c>
      <c r="H184" s="214" t="s">
        <v>211</v>
      </c>
      <c r="I184" s="214" t="str">
        <f>VLOOKUP($H184,AWS!$A:$H,8,0)</f>
        <v>최병욱</v>
      </c>
      <c r="J184" s="214" t="str">
        <f>VLOOKUP($H184,AWS!$A:$H,8,0)</f>
        <v>최병욱</v>
      </c>
      <c r="K184" s="187" t="s">
        <v>29</v>
      </c>
      <c r="L184" s="215"/>
      <c r="M184" s="216">
        <v>6795</v>
      </c>
      <c r="N184" s="217">
        <v>2306</v>
      </c>
      <c r="O184" s="217">
        <v>719896</v>
      </c>
      <c r="P184" s="217">
        <v>2405786</v>
      </c>
      <c r="Q184" s="217">
        <v>1280932</v>
      </c>
      <c r="R184" s="217">
        <v>327253</v>
      </c>
      <c r="S184" s="217">
        <v>493898</v>
      </c>
      <c r="T184" s="212">
        <v>639720</v>
      </c>
      <c r="U184" s="212">
        <v>531238</v>
      </c>
      <c r="V184" s="205">
        <v>708485</v>
      </c>
      <c r="W184" s="205">
        <f>ROUND(표9[[#This Row],[Apr 2026 (USD or KRW)]],0)</f>
        <v>0</v>
      </c>
      <c r="X184" s="212"/>
      <c r="Y184" s="206">
        <f>표9[[#This Row],[Apr 2027(KRW)]]-표9[[#This Row],[Mar 2026(KRW)]]</f>
        <v>-708485</v>
      </c>
      <c r="Z184" s="213">
        <f t="shared" si="2"/>
        <v>-1</v>
      </c>
      <c r="AA184" s="208">
        <f>VLOOKUP(표9[[#This Row],[Team]],표1[],3,0)</f>
        <v>1000</v>
      </c>
    </row>
    <row r="185" spans="1:27" s="8" customFormat="1" ht="15">
      <c r="A185" s="214" t="str">
        <f>VLOOKUP($H185,AWS!$A:$H,2,0)</f>
        <v>AWS</v>
      </c>
      <c r="B185" s="214" t="str">
        <f>VLOOKUP($H185,AWS!$A:$H,3,0)</f>
        <v>KRAFTON HQ</v>
      </c>
      <c r="C185" s="209" t="str">
        <f>VLOOKUP($H185,AWS!$A:$H,4,0)</f>
        <v>PUBG STUDIO</v>
      </c>
      <c r="D185" s="214" t="str">
        <f>VLOOKUP($H185,AWS!$A:$H,5,0)</f>
        <v>Translation Team 2</v>
      </c>
      <c r="E185" s="214" t="str">
        <f>VLOOKUP($H185,AWS!$A:$H,6,0)</f>
        <v>OVERHEAD/OTHERS</v>
      </c>
      <c r="F185" s="202">
        <f>VLOOKUP(표9[[#This Row],[Team]],표1[[내역]:[코스트 센터]],2,0)</f>
        <v>100424</v>
      </c>
      <c r="G185" s="202" t="str">
        <f>VLOOKUP(표9[[#This Row],[Project]],표2[],2,0)</f>
        <v>I100099999</v>
      </c>
      <c r="H185" s="214" t="s">
        <v>212</v>
      </c>
      <c r="I185" s="214" t="str">
        <f>VLOOKUP($H185,AWS!$A:$H,8,0)</f>
        <v>이경호</v>
      </c>
      <c r="J185" s="214" t="str">
        <f>VLOOKUP($H185,AWS!$A:$H,8,0)</f>
        <v>이경호</v>
      </c>
      <c r="K185" s="187" t="s">
        <v>29</v>
      </c>
      <c r="L185" s="215"/>
      <c r="M185" s="216"/>
      <c r="N185" s="217"/>
      <c r="O185" s="217"/>
      <c r="P185" s="217"/>
      <c r="Q185" s="217"/>
      <c r="R185" s="217"/>
      <c r="S185" s="217">
        <v>13391</v>
      </c>
      <c r="T185" s="212">
        <v>6138</v>
      </c>
      <c r="U185" s="212">
        <v>18239</v>
      </c>
      <c r="V185" s="205">
        <v>26826</v>
      </c>
      <c r="W185" s="205">
        <f>ROUND(표9[[#This Row],[Apr 2026 (USD or KRW)]],0)</f>
        <v>0</v>
      </c>
      <c r="X185" s="212"/>
      <c r="Y185" s="206">
        <f>표9[[#This Row],[Apr 2027(KRW)]]-표9[[#This Row],[Mar 2026(KRW)]]</f>
        <v>-26826</v>
      </c>
      <c r="Z185" s="213">
        <f t="shared" si="2"/>
        <v>-1</v>
      </c>
      <c r="AA185" s="208">
        <f>VLOOKUP(표9[[#This Row],[Team]],표1[],3,0)</f>
        <v>1000</v>
      </c>
    </row>
    <row r="186" spans="1:27" s="8" customFormat="1" ht="15">
      <c r="A186" s="214" t="str">
        <f>VLOOKUP($H186,AWS!$A:$H,2,0)</f>
        <v>AWS</v>
      </c>
      <c r="B186" s="214" t="str">
        <f>VLOOKUP($H186,AWS!$A:$H,3,0)</f>
        <v>KRAFTON HQ</v>
      </c>
      <c r="C186" s="209" t="str">
        <f>VLOOKUP($H186,AWS!$A:$H,4,0)</f>
        <v>PUBG STUDIO</v>
      </c>
      <c r="D186" s="214" t="str">
        <f>VLOOKUP($H186,AWS!$A:$H,5,0)</f>
        <v>Game Security Engineering Dept.</v>
      </c>
      <c r="E186" s="214" t="str">
        <f>VLOOKUP($H186,AWS!$A:$H,6,0)</f>
        <v>PUBG 2.0</v>
      </c>
      <c r="F186" s="202">
        <f>VLOOKUP(표9[[#This Row],[Team]],표1[[내역]:[코스트 센터]],2,0)</f>
        <v>100415</v>
      </c>
      <c r="G186" s="202" t="str">
        <f>VLOOKUP(표9[[#This Row],[Project]],표2[],2,0)</f>
        <v>P100010096</v>
      </c>
      <c r="H186" s="8" t="s">
        <v>213</v>
      </c>
      <c r="I186" s="214" t="str">
        <f>VLOOKUP($H186,AWS!$A:$H,8,0)</f>
        <v>박종민</v>
      </c>
      <c r="J186" s="214" t="str">
        <f>VLOOKUP($H186,AWS!$A:$H,8,0)</f>
        <v>박종민</v>
      </c>
      <c r="K186" s="187"/>
      <c r="L186" s="215">
        <v>35794</v>
      </c>
      <c r="M186" s="216">
        <v>43351</v>
      </c>
      <c r="N186" s="217">
        <v>43463</v>
      </c>
      <c r="O186" s="217">
        <v>59076</v>
      </c>
      <c r="P186" s="217">
        <v>63778</v>
      </c>
      <c r="Q186" s="217">
        <v>25226</v>
      </c>
      <c r="R186" s="217">
        <v>24644</v>
      </c>
      <c r="S186" s="217">
        <v>28469</v>
      </c>
      <c r="T186" s="212">
        <v>44045</v>
      </c>
      <c r="U186" s="212">
        <v>44879</v>
      </c>
      <c r="V186" s="205">
        <v>45251</v>
      </c>
      <c r="W186" s="205">
        <f>ROUND(표9[[#This Row],[Apr 2026 (USD or KRW)]],0)</f>
        <v>0</v>
      </c>
      <c r="X186" s="212"/>
      <c r="Y186" s="206">
        <f>표9[[#This Row],[Apr 2027(KRW)]]-표9[[#This Row],[Mar 2026(KRW)]]</f>
        <v>-45251</v>
      </c>
      <c r="Z186" s="213">
        <f t="shared" si="2"/>
        <v>-1</v>
      </c>
      <c r="AA186" s="208">
        <f>VLOOKUP(표9[[#This Row],[Team]],표1[],3,0)</f>
        <v>1000</v>
      </c>
    </row>
    <row r="187" spans="1:27" s="8" customFormat="1" ht="15">
      <c r="A187" s="214" t="str">
        <f>VLOOKUP($H187,AWS!$A:$H,2,0)</f>
        <v>AWS</v>
      </c>
      <c r="B187" s="214" t="str">
        <f>VLOOKUP($H187,AWS!$A:$H,3,0)</f>
        <v>KRAFTON HQ</v>
      </c>
      <c r="C187" s="209" t="str">
        <f>VLOOKUP($H187,AWS!$A:$H,4,0)</f>
        <v>PUBG STUDIO</v>
      </c>
      <c r="D187" s="214" t="str">
        <f>VLOOKUP($H187,AWS!$A:$H,5,0)</f>
        <v>MS DevOps Team</v>
      </c>
      <c r="E187" s="214" t="str">
        <f>VLOOKUP($H187,AWS!$A:$H,6,0)</f>
        <v>OVERHEAD/OTHERS</v>
      </c>
      <c r="F187" s="202">
        <f>VLOOKUP(표9[[#This Row],[Team]],표1[[내역]:[코스트 센터]],2,0)</f>
        <v>100774</v>
      </c>
      <c r="G187" s="202" t="str">
        <f>VLOOKUP(표9[[#This Row],[Project]],표2[],2,0)</f>
        <v>I100099999</v>
      </c>
      <c r="H187" s="214" t="s">
        <v>214</v>
      </c>
      <c r="I187" s="214" t="str">
        <f>VLOOKUP($H187,AWS!$A:$H,8,0)</f>
        <v>최보성</v>
      </c>
      <c r="J187" s="214" t="str">
        <f>VLOOKUP($H187,AWS!$A:$H,8,0)</f>
        <v>최보성</v>
      </c>
      <c r="K187" s="187" t="s">
        <v>29</v>
      </c>
      <c r="L187" s="215"/>
      <c r="M187" s="216">
        <v>8364</v>
      </c>
      <c r="N187" s="217">
        <v>2179133</v>
      </c>
      <c r="O187" s="217">
        <v>3148632</v>
      </c>
      <c r="P187" s="217">
        <v>2073595</v>
      </c>
      <c r="Q187" s="217">
        <v>2387489</v>
      </c>
      <c r="R187" s="217">
        <v>3491666</v>
      </c>
      <c r="S187" s="217">
        <v>9158234</v>
      </c>
      <c r="T187" s="212">
        <v>11483484</v>
      </c>
      <c r="U187" s="212">
        <v>7074010</v>
      </c>
      <c r="V187" s="205">
        <v>5855349</v>
      </c>
      <c r="W187" s="205">
        <f>ROUND(표9[[#This Row],[Apr 2026 (USD or KRW)]],0)</f>
        <v>0</v>
      </c>
      <c r="X187" s="212"/>
      <c r="Y187" s="206">
        <f>표9[[#This Row],[Apr 2027(KRW)]]-표9[[#This Row],[Mar 2026(KRW)]]</f>
        <v>-5855349</v>
      </c>
      <c r="Z187" s="213">
        <f t="shared" si="2"/>
        <v>-1</v>
      </c>
      <c r="AA187" s="208">
        <f>VLOOKUP(표9[[#This Row],[Team]],표1[],3,0)</f>
        <v>1000</v>
      </c>
    </row>
    <row r="188" spans="1:27" s="8" customFormat="1" ht="15">
      <c r="A188" s="214" t="str">
        <f>VLOOKUP($H188,AWS!$A:$H,2,0)</f>
        <v>AWS</v>
      </c>
      <c r="B188" s="214" t="str">
        <f>VLOOKUP($H188,AWS!$A:$H,3,0)</f>
        <v>KRAFTON HQ</v>
      </c>
      <c r="C188" s="209" t="str">
        <f>VLOOKUP($H188,AWS!$A:$H,4,0)</f>
        <v>PUBG STUDIO</v>
      </c>
      <c r="D188" s="214" t="str">
        <f>VLOOKUP($H188,AWS!$A:$H,5,0)</f>
        <v>MS DevOps Team</v>
      </c>
      <c r="E188" s="214" t="str">
        <f>VLOOKUP($H188,AWS!$A:$H,6,0)</f>
        <v>OVERHEAD/OTHERS</v>
      </c>
      <c r="F188" s="202">
        <f>VLOOKUP(표9[[#This Row],[Team]],표1[[내역]:[코스트 센터]],2,0)</f>
        <v>100774</v>
      </c>
      <c r="G188" s="202" t="str">
        <f>VLOOKUP(표9[[#This Row],[Project]],표2[],2,0)</f>
        <v>I100099999</v>
      </c>
      <c r="H188" s="214" t="s">
        <v>215</v>
      </c>
      <c r="I188" s="214" t="str">
        <f>VLOOKUP($H188,AWS!$A:$H,8,0)</f>
        <v>최보성</v>
      </c>
      <c r="J188" s="214" t="str">
        <f>VLOOKUP($H188,AWS!$A:$H,8,0)</f>
        <v>최보성</v>
      </c>
      <c r="K188" s="187" t="s">
        <v>29</v>
      </c>
      <c r="L188" s="215">
        <v>2629</v>
      </c>
      <c r="M188" s="216">
        <v>12687</v>
      </c>
      <c r="N188" s="217">
        <v>153133</v>
      </c>
      <c r="O188" s="217">
        <v>1931348</v>
      </c>
      <c r="P188" s="217">
        <v>1015628</v>
      </c>
      <c r="Q188" s="217">
        <v>1051189</v>
      </c>
      <c r="R188" s="217">
        <v>1004162</v>
      </c>
      <c r="S188" s="217">
        <v>1757269</v>
      </c>
      <c r="T188" s="212">
        <v>2648792</v>
      </c>
      <c r="U188" s="212">
        <v>3648860</v>
      </c>
      <c r="V188" s="205">
        <v>3655654</v>
      </c>
      <c r="W188" s="205">
        <f>ROUND(표9[[#This Row],[Apr 2026 (USD or KRW)]],0)</f>
        <v>0</v>
      </c>
      <c r="X188" s="212"/>
      <c r="Y188" s="206">
        <f>표9[[#This Row],[Apr 2027(KRW)]]-표9[[#This Row],[Mar 2026(KRW)]]</f>
        <v>-3655654</v>
      </c>
      <c r="Z188" s="213">
        <f t="shared" si="2"/>
        <v>-1</v>
      </c>
      <c r="AA188" s="208">
        <f>VLOOKUP(표9[[#This Row],[Team]],표1[],3,0)</f>
        <v>1000</v>
      </c>
    </row>
    <row r="189" spans="1:27" s="8" customFormat="1" ht="15">
      <c r="A189" s="209" t="str">
        <f>VLOOKUP($H189,AWS!$A:$H,2,0)</f>
        <v>AWS</v>
      </c>
      <c r="B189" s="209" t="str">
        <f>VLOOKUP($H189,AWS!$A:$H,3,0)</f>
        <v>KRAFTON HQ</v>
      </c>
      <c r="C189" s="209" t="str">
        <f>VLOOKUP($H189,AWS!$A:$H,4,0)</f>
        <v>PUBG STUDIO</v>
      </c>
      <c r="D189" s="214" t="str">
        <f>VLOOKUP($H189,AWS!$A:$H,5,0)</f>
        <v>MS DevOps Team</v>
      </c>
      <c r="E189" s="214" t="str">
        <f>VLOOKUP($H189,AWS!$A:$H,6,0)</f>
        <v>Arc_PC</v>
      </c>
      <c r="F189" s="202">
        <f>VLOOKUP(표9[[#This Row],[Team]],표1[[내역]:[코스트 센터]],2,0)</f>
        <v>100774</v>
      </c>
      <c r="G189" s="202" t="str">
        <f>VLOOKUP(표9[[#This Row],[Project]],표2[],2,0)</f>
        <v>P100010091</v>
      </c>
      <c r="H189" s="8" t="s">
        <v>216</v>
      </c>
      <c r="I189" s="219" t="str">
        <f>VLOOKUP($H189,AWS!$A:$H,8,0)</f>
        <v>이민기</v>
      </c>
      <c r="J189" s="214" t="str">
        <f>VLOOKUP($H189,AWS!$A:$H,8,0)</f>
        <v>이민기</v>
      </c>
      <c r="K189" s="186" t="s">
        <v>29</v>
      </c>
      <c r="L189" s="210"/>
      <c r="M189" s="211"/>
      <c r="N189" s="212"/>
      <c r="O189" s="212"/>
      <c r="P189" s="212"/>
      <c r="Q189" s="212"/>
      <c r="R189" s="212"/>
      <c r="S189" s="212"/>
      <c r="T189" s="212">
        <v>10391066</v>
      </c>
      <c r="U189" s="212">
        <v>28782929</v>
      </c>
      <c r="V189" s="205">
        <v>25601721</v>
      </c>
      <c r="W189" s="205">
        <f>ROUND(표9[[#This Row],[Apr 2026 (USD or KRW)]],0)</f>
        <v>0</v>
      </c>
      <c r="X189" s="212"/>
      <c r="Y189" s="206">
        <f>표9[[#This Row],[Apr 2027(KRW)]]-표9[[#This Row],[Mar 2026(KRW)]]</f>
        <v>-25601721</v>
      </c>
      <c r="Z189" s="213">
        <f t="shared" si="2"/>
        <v>-1</v>
      </c>
      <c r="AA189" s="208">
        <f>VLOOKUP(표9[[#This Row],[Team]],표1[],3,0)</f>
        <v>1000</v>
      </c>
    </row>
    <row r="190" spans="1:27" s="8" customFormat="1" ht="15">
      <c r="A190" s="214" t="str">
        <f>VLOOKUP($H190,AWS!$A:$H,2,0)</f>
        <v>AWS</v>
      </c>
      <c r="B190" s="214" t="str">
        <f>VLOOKUP($H190,AWS!$A:$H,3,0)</f>
        <v>KRAFTON HQ</v>
      </c>
      <c r="C190" s="209" t="str">
        <f>VLOOKUP($H190,AWS!$A:$H,4,0)</f>
        <v>PUBG STUDIO</v>
      </c>
      <c r="D190" s="214" t="str">
        <f>VLOOKUP($H190,AWS!$A:$H,5,0)</f>
        <v>MS DevOps Team</v>
      </c>
      <c r="E190" s="214" t="str">
        <f>VLOOKUP($H190,AWS!$A:$H,6,0)</f>
        <v>OVERHEAD/OTHERS</v>
      </c>
      <c r="F190" s="202">
        <f>VLOOKUP(표9[[#This Row],[Team]],표1[[내역]:[코스트 센터]],2,0)</f>
        <v>100774</v>
      </c>
      <c r="G190" s="202" t="str">
        <f>VLOOKUP(표9[[#This Row],[Project]],표2[],2,0)</f>
        <v>I100099999</v>
      </c>
      <c r="H190" s="214" t="s">
        <v>217</v>
      </c>
      <c r="I190" s="214" t="str">
        <f>VLOOKUP($H190,AWS!$A:$H,8,0)</f>
        <v>최보성</v>
      </c>
      <c r="J190" s="214" t="str">
        <f>VLOOKUP($H190,AWS!$A:$H,8,0)</f>
        <v>최보성</v>
      </c>
      <c r="K190" s="187" t="s">
        <v>29</v>
      </c>
      <c r="L190" s="215">
        <v>3080</v>
      </c>
      <c r="M190" s="216">
        <v>13352</v>
      </c>
      <c r="N190" s="217">
        <v>5945</v>
      </c>
      <c r="O190" s="217">
        <v>12206</v>
      </c>
      <c r="P190" s="217">
        <v>9773</v>
      </c>
      <c r="Q190" s="217">
        <v>10272</v>
      </c>
      <c r="R190" s="217">
        <v>10926</v>
      </c>
      <c r="S190" s="217">
        <v>9838</v>
      </c>
      <c r="T190" s="212">
        <v>8025937</v>
      </c>
      <c r="U190" s="212">
        <v>10499812</v>
      </c>
      <c r="V190" s="205">
        <v>11074163</v>
      </c>
      <c r="W190" s="205">
        <f>ROUND(표9[[#This Row],[Apr 2026 (USD or KRW)]],0)</f>
        <v>0</v>
      </c>
      <c r="X190" s="212"/>
      <c r="Y190" s="206">
        <f>표9[[#This Row],[Apr 2027(KRW)]]-표9[[#This Row],[Mar 2026(KRW)]]</f>
        <v>-11074163</v>
      </c>
      <c r="Z190" s="213">
        <f t="shared" si="2"/>
        <v>-1</v>
      </c>
      <c r="AA190" s="208">
        <f>VLOOKUP(표9[[#This Row],[Team]],표1[],3,0)</f>
        <v>1000</v>
      </c>
    </row>
    <row r="191" spans="1:27" s="8" customFormat="1" ht="15">
      <c r="A191" s="214" t="str">
        <f>VLOOKUP($H191,AWS!$A:$H,2,0)</f>
        <v>AWS</v>
      </c>
      <c r="B191" s="214" t="str">
        <f>VLOOKUP($H191,AWS!$A:$H,3,0)</f>
        <v>KRAFTON HQ</v>
      </c>
      <c r="C191" s="209" t="str">
        <f>VLOOKUP($H191,AWS!$A:$H,4,0)</f>
        <v>PUBG STUDIO</v>
      </c>
      <c r="D191" s="214" t="str">
        <f>VLOOKUP($H191,AWS!$A:$H,5,0)</f>
        <v>Adrenaline Rush Lab Unit</v>
      </c>
      <c r="E191" s="214" t="str">
        <f>VLOOKUP($H191,AWS!$A:$H,6,0)</f>
        <v>OVERHEAD/OTHERS</v>
      </c>
      <c r="F191" s="202">
        <f>VLOOKUP(표9[[#This Row],[Team]],표1[[내역]:[코스트 센터]],2,0)</f>
        <v>101465</v>
      </c>
      <c r="G191" s="202" t="str">
        <f>VLOOKUP(표9[[#This Row],[Project]],표2[],2,0)</f>
        <v>I100099999</v>
      </c>
      <c r="H191" s="214" t="s">
        <v>218</v>
      </c>
      <c r="I191" s="214" t="str">
        <f>VLOOKUP($H191,AWS!$A:$H,8,0)</f>
        <v>이민기</v>
      </c>
      <c r="J191" s="214" t="str">
        <f>VLOOKUP($H191,AWS!$A:$H,8,0)</f>
        <v>이민기</v>
      </c>
      <c r="K191" s="187" t="s">
        <v>29</v>
      </c>
      <c r="L191" s="215"/>
      <c r="M191" s="216">
        <v>7597</v>
      </c>
      <c r="N191" s="217">
        <v>1246</v>
      </c>
      <c r="O191" s="217">
        <v>11253</v>
      </c>
      <c r="P191" s="217">
        <v>8580</v>
      </c>
      <c r="Q191" s="217">
        <v>9106</v>
      </c>
      <c r="R191" s="217">
        <v>9891</v>
      </c>
      <c r="S191" s="217">
        <v>9693</v>
      </c>
      <c r="T191" s="212">
        <v>11759</v>
      </c>
      <c r="U191" s="212">
        <v>10028</v>
      </c>
      <c r="V191" s="205">
        <v>3786</v>
      </c>
      <c r="W191" s="205">
        <f>ROUND(표9[[#This Row],[Apr 2026 (USD or KRW)]],0)</f>
        <v>0</v>
      </c>
      <c r="X191" s="212"/>
      <c r="Y191" s="206">
        <f>표9[[#This Row],[Apr 2027(KRW)]]-표9[[#This Row],[Mar 2026(KRW)]]</f>
        <v>-3786</v>
      </c>
      <c r="Z191" s="213">
        <f t="shared" si="2"/>
        <v>-1</v>
      </c>
      <c r="AA191" s="208">
        <f>VLOOKUP(표9[[#This Row],[Team]],표1[],3,0)</f>
        <v>1000</v>
      </c>
    </row>
    <row r="192" spans="1:27" s="8" customFormat="1" ht="15">
      <c r="A192" s="214" t="str">
        <f>VLOOKUP($H192,AWS!$A:$H,2,0)</f>
        <v>AWS</v>
      </c>
      <c r="B192" s="214" t="str">
        <f>VLOOKUP($H192,AWS!$A:$H,3,0)</f>
        <v>KRAFTON HQ</v>
      </c>
      <c r="C192" s="209" t="str">
        <f>VLOOKUP($H192,AWS!$A:$H,4,0)</f>
        <v>PUBG STUDIO</v>
      </c>
      <c r="D192" s="214" t="str">
        <f>VLOOKUP($H192,AWS!$A:$H,5,0)</f>
        <v>Adrenaline Rush Lab Unit</v>
      </c>
      <c r="E192" s="214" t="str">
        <f>VLOOKUP($H192,AWS!$A:$H,6,0)</f>
        <v>OVERHEAD/OTHERS</v>
      </c>
      <c r="F192" s="202">
        <f>VLOOKUP(표9[[#This Row],[Team]],표1[[내역]:[코스트 센터]],2,0)</f>
        <v>101465</v>
      </c>
      <c r="G192" s="202" t="str">
        <f>VLOOKUP(표9[[#This Row],[Project]],표2[],2,0)</f>
        <v>I100099999</v>
      </c>
      <c r="H192" s="214" t="s">
        <v>219</v>
      </c>
      <c r="I192" s="214" t="str">
        <f>VLOOKUP($H192,AWS!$A:$H,8,0)</f>
        <v>이민기</v>
      </c>
      <c r="J192" s="214" t="str">
        <f>VLOOKUP($H192,AWS!$A:$H,8,0)</f>
        <v>이민기</v>
      </c>
      <c r="K192" s="187" t="s">
        <v>29</v>
      </c>
      <c r="L192" s="215">
        <v>2272</v>
      </c>
      <c r="M192" s="216">
        <v>12277</v>
      </c>
      <c r="N192" s="217">
        <v>57418</v>
      </c>
      <c r="O192" s="217">
        <v>516365</v>
      </c>
      <c r="P192" s="217">
        <v>740922</v>
      </c>
      <c r="Q192" s="217">
        <v>759211</v>
      </c>
      <c r="R192" s="217">
        <v>939650</v>
      </c>
      <c r="S192" s="217">
        <v>1306065</v>
      </c>
      <c r="T192" s="212">
        <v>944945</v>
      </c>
      <c r="U192" s="212">
        <v>534149</v>
      </c>
      <c r="V192" s="205">
        <v>119915</v>
      </c>
      <c r="W192" s="205">
        <f>ROUND(표9[[#This Row],[Apr 2026 (USD or KRW)]],0)</f>
        <v>0</v>
      </c>
      <c r="X192" s="212"/>
      <c r="Y192" s="206">
        <f>표9[[#This Row],[Apr 2027(KRW)]]-표9[[#This Row],[Mar 2026(KRW)]]</f>
        <v>-119915</v>
      </c>
      <c r="Z192" s="213">
        <f t="shared" si="2"/>
        <v>-1</v>
      </c>
      <c r="AA192" s="208">
        <f>VLOOKUP(표9[[#This Row],[Team]],표1[],3,0)</f>
        <v>1000</v>
      </c>
    </row>
    <row r="193" spans="1:27" s="8" customFormat="1" ht="15">
      <c r="A193" s="214" t="str">
        <f>VLOOKUP($H193,AWS!$A:$H,2,0)</f>
        <v>AWS</v>
      </c>
      <c r="B193" s="214" t="str">
        <f>VLOOKUP($H193,AWS!$A:$H,3,0)</f>
        <v>KRAFTON HQ</v>
      </c>
      <c r="C193" s="209" t="str">
        <f>VLOOKUP($H193,AWS!$A:$H,4,0)</f>
        <v>PUBG STUDIO</v>
      </c>
      <c r="D193" s="214" t="str">
        <f>VLOOKUP($H193,AWS!$A:$H,5,0)</f>
        <v>Adrenaline Rush Lab Unit</v>
      </c>
      <c r="E193" s="214" t="str">
        <f>VLOOKUP($H193,AWS!$A:$H,6,0)</f>
        <v>OVERHEAD/OTHERS</v>
      </c>
      <c r="F193" s="202">
        <f>VLOOKUP(표9[[#This Row],[Team]],표1[[내역]:[코스트 센터]],2,0)</f>
        <v>101465</v>
      </c>
      <c r="G193" s="202" t="str">
        <f>VLOOKUP(표9[[#This Row],[Project]],표2[],2,0)</f>
        <v>I100099999</v>
      </c>
      <c r="H193" s="214" t="s">
        <v>220</v>
      </c>
      <c r="I193" s="214" t="str">
        <f>VLOOKUP($H193,AWS!$A:$H,8,0)</f>
        <v>이민기</v>
      </c>
      <c r="J193" s="214" t="str">
        <f>VLOOKUP($H193,AWS!$A:$H,8,0)</f>
        <v>이민기</v>
      </c>
      <c r="K193" s="187" t="s">
        <v>29</v>
      </c>
      <c r="L193" s="215">
        <v>2690005</v>
      </c>
      <c r="M193" s="216">
        <v>2726179</v>
      </c>
      <c r="N193" s="217">
        <v>3352465</v>
      </c>
      <c r="O193" s="217">
        <v>4295867</v>
      </c>
      <c r="P193" s="217">
        <v>6119366</v>
      </c>
      <c r="Q193" s="217">
        <v>8442854</v>
      </c>
      <c r="R193" s="217">
        <v>11250617</v>
      </c>
      <c r="S193" s="217">
        <v>15876493</v>
      </c>
      <c r="T193" s="212">
        <v>13780400</v>
      </c>
      <c r="U193" s="212">
        <v>8447415</v>
      </c>
      <c r="V193" s="205">
        <v>1966066</v>
      </c>
      <c r="W193" s="205">
        <f>ROUND(표9[[#This Row],[Apr 2026 (USD or KRW)]],0)</f>
        <v>0</v>
      </c>
      <c r="X193" s="212"/>
      <c r="Y193" s="206">
        <f>표9[[#This Row],[Apr 2027(KRW)]]-표9[[#This Row],[Mar 2026(KRW)]]</f>
        <v>-1966066</v>
      </c>
      <c r="Z193" s="213">
        <f t="shared" si="2"/>
        <v>-1</v>
      </c>
      <c r="AA193" s="208">
        <f>VLOOKUP(표9[[#This Row],[Team]],표1[],3,0)</f>
        <v>1000</v>
      </c>
    </row>
    <row r="194" spans="1:27" s="8" customFormat="1" ht="15">
      <c r="A194" s="214" t="str">
        <f>VLOOKUP($H194,AWS!$A:$H,2,0)</f>
        <v>AWS</v>
      </c>
      <c r="B194" s="214" t="str">
        <f>VLOOKUP($H194,AWS!$A:$H,3,0)</f>
        <v>KRAFTON HQ</v>
      </c>
      <c r="C194" s="209" t="str">
        <f>VLOOKUP($H194,AWS!$A:$H,4,0)</f>
        <v>PUBG STUDIO</v>
      </c>
      <c r="D194" s="214" t="str">
        <f>VLOOKUP($H194,AWS!$A:$H,5,0)</f>
        <v>Adrenaline Rush Lab Unit</v>
      </c>
      <c r="E194" s="214" t="str">
        <f>VLOOKUP($H194,AWS!$A:$H,6,0)</f>
        <v>OVERHEAD/OTHERS</v>
      </c>
      <c r="F194" s="202">
        <f>VLOOKUP(표9[[#This Row],[Team]],표1[[내역]:[코스트 센터]],2,0)</f>
        <v>101465</v>
      </c>
      <c r="G194" s="202" t="str">
        <f>VLOOKUP(표9[[#This Row],[Project]],표2[],2,0)</f>
        <v>I100099999</v>
      </c>
      <c r="H194" s="214" t="s">
        <v>221</v>
      </c>
      <c r="I194" s="214" t="str">
        <f>VLOOKUP($H194,AWS!$A:$H,8,0)</f>
        <v>이민기</v>
      </c>
      <c r="J194" s="214" t="str">
        <f>VLOOKUP($H194,AWS!$A:$H,8,0)</f>
        <v>이민기</v>
      </c>
      <c r="K194" s="187" t="s">
        <v>29</v>
      </c>
      <c r="L194" s="215">
        <v>2732</v>
      </c>
      <c r="M194" s="216">
        <v>12875</v>
      </c>
      <c r="N194" s="217">
        <v>5807</v>
      </c>
      <c r="O194" s="217">
        <v>10844</v>
      </c>
      <c r="P194" s="217">
        <v>8419</v>
      </c>
      <c r="Q194" s="217">
        <v>8841</v>
      </c>
      <c r="R194" s="217">
        <v>9560</v>
      </c>
      <c r="S194" s="217">
        <v>9333</v>
      </c>
      <c r="T194" s="212">
        <v>11430</v>
      </c>
      <c r="U194" s="212">
        <v>9802</v>
      </c>
      <c r="V194" s="205">
        <v>3647</v>
      </c>
      <c r="W194" s="205">
        <f>ROUND(표9[[#This Row],[Apr 2026 (USD or KRW)]],0)</f>
        <v>0</v>
      </c>
      <c r="X194" s="212"/>
      <c r="Y194" s="206">
        <f>표9[[#This Row],[Apr 2027(KRW)]]-표9[[#This Row],[Mar 2026(KRW)]]</f>
        <v>-3647</v>
      </c>
      <c r="Z194" s="213">
        <f t="shared" si="2"/>
        <v>-1</v>
      </c>
      <c r="AA194" s="208">
        <f>VLOOKUP(표9[[#This Row],[Team]],표1[],3,0)</f>
        <v>1000</v>
      </c>
    </row>
    <row r="195" spans="1:27" s="8" customFormat="1" ht="15">
      <c r="A195" s="214" t="str">
        <f>VLOOKUP($H195,AWS!$A:$H,2,0)</f>
        <v>AWS</v>
      </c>
      <c r="B195" s="214" t="str">
        <f>VLOOKUP($H195,AWS!$A:$H,3,0)</f>
        <v>KRAFTON HQ</v>
      </c>
      <c r="C195" s="209" t="str">
        <f>VLOOKUP($H195,AWS!$A:$H,4,0)</f>
        <v>PUBG STUDIO</v>
      </c>
      <c r="D195" s="214" t="str">
        <f>VLOOKUP($H195,AWS!$A:$H,5,0)</f>
        <v>MS DevOps Team</v>
      </c>
      <c r="E195" s="214" t="str">
        <f>VLOOKUP($H195,AWS!$A:$H,6,0)</f>
        <v>OVERHEAD/OTHERS</v>
      </c>
      <c r="F195" s="202">
        <f>VLOOKUP(표9[[#This Row],[Team]],표1[[내역]:[코스트 센터]],2,0)</f>
        <v>100774</v>
      </c>
      <c r="G195" s="202" t="str">
        <f>VLOOKUP(표9[[#This Row],[Project]],표2[],2,0)</f>
        <v>I100099999</v>
      </c>
      <c r="H195" s="214" t="s">
        <v>222</v>
      </c>
      <c r="I195" s="214" t="str">
        <f>VLOOKUP($H195,AWS!$A:$H,8,0)</f>
        <v>배시은</v>
      </c>
      <c r="J195" s="214" t="str">
        <f>VLOOKUP($H195,AWS!$A:$H,8,0)</f>
        <v>배시은</v>
      </c>
      <c r="K195" s="187" t="s">
        <v>29</v>
      </c>
      <c r="L195" s="215">
        <v>2729</v>
      </c>
      <c r="M195" s="216">
        <v>13443</v>
      </c>
      <c r="N195" s="217">
        <v>5929</v>
      </c>
      <c r="O195" s="217">
        <v>11187</v>
      </c>
      <c r="P195" s="217">
        <v>8609</v>
      </c>
      <c r="Q195" s="217">
        <v>9016</v>
      </c>
      <c r="R195" s="217">
        <v>9783</v>
      </c>
      <c r="S195" s="217">
        <v>8730</v>
      </c>
      <c r="T195" s="212">
        <v>10685</v>
      </c>
      <c r="U195" s="212">
        <v>9295</v>
      </c>
      <c r="V195" s="205">
        <v>7912</v>
      </c>
      <c r="W195" s="205">
        <f>ROUND(표9[[#This Row],[Apr 2026 (USD or KRW)]],0)</f>
        <v>0</v>
      </c>
      <c r="X195" s="212"/>
      <c r="Y195" s="206">
        <f>표9[[#This Row],[Apr 2027(KRW)]]-표9[[#This Row],[Mar 2026(KRW)]]</f>
        <v>-7912</v>
      </c>
      <c r="Z195" s="213">
        <f t="shared" si="2"/>
        <v>-1</v>
      </c>
      <c r="AA195" s="208">
        <f>VLOOKUP(표9[[#This Row],[Team]],표1[],3,0)</f>
        <v>1000</v>
      </c>
    </row>
    <row r="196" spans="1:27" s="8" customFormat="1" ht="15">
      <c r="A196" s="214" t="str">
        <f>VLOOKUP($H196,AWS!$A:$H,2,0)</f>
        <v>AWS</v>
      </c>
      <c r="B196" s="214" t="str">
        <f>VLOOKUP($H196,AWS!$A:$H,3,0)</f>
        <v>KRAFTON HQ</v>
      </c>
      <c r="C196" s="209" t="str">
        <f>VLOOKUP($H196,AWS!$A:$H,4,0)</f>
        <v>PUBG STUDIO</v>
      </c>
      <c r="D196" s="214" t="str">
        <f>VLOOKUP($H196,AWS!$A:$H,5,0)</f>
        <v>IT Cost Engineering Part</v>
      </c>
      <c r="E196" s="214" t="str">
        <f>VLOOKUP($H196,AWS!$A:$H,6,0)</f>
        <v>BATTLEGROUNDS_MOBILE</v>
      </c>
      <c r="F196" s="202">
        <f>VLOOKUP(표9[[#This Row],[Team]],표1[[내역]:[코스트 센터]],2,0)</f>
        <v>101294</v>
      </c>
      <c r="G196" s="202" t="str">
        <f>VLOOKUP(표9[[#This Row],[Project]],표2[],2,0)</f>
        <v>P100030012</v>
      </c>
      <c r="H196" s="214" t="s">
        <v>223</v>
      </c>
      <c r="I196" s="214" t="str">
        <f>VLOOKUP($H196,AWS!$A:$H,8,0)</f>
        <v>심재한</v>
      </c>
      <c r="J196" s="214" t="str">
        <f>VLOOKUP($H196,AWS!$A:$H,8,0)</f>
        <v>심재한</v>
      </c>
      <c r="K196" s="187"/>
      <c r="L196" s="215"/>
      <c r="M196" s="216"/>
      <c r="N196" s="217">
        <v>14139</v>
      </c>
      <c r="O196" s="217">
        <v>33528</v>
      </c>
      <c r="P196" s="217">
        <v>14781</v>
      </c>
      <c r="Q196" s="217">
        <v>9880</v>
      </c>
      <c r="R196" s="217">
        <v>10606</v>
      </c>
      <c r="S196" s="217">
        <v>9597</v>
      </c>
      <c r="T196" s="212">
        <v>11566</v>
      </c>
      <c r="U196" s="212">
        <v>2186718</v>
      </c>
      <c r="V196" s="205">
        <v>84530</v>
      </c>
      <c r="W196" s="205">
        <f>ROUND(표9[[#This Row],[Apr 2026 (USD or KRW)]],0)</f>
        <v>0</v>
      </c>
      <c r="X196" s="212"/>
      <c r="Y196" s="206">
        <f>표9[[#This Row],[Apr 2027(KRW)]]-표9[[#This Row],[Mar 2026(KRW)]]</f>
        <v>-84530</v>
      </c>
      <c r="Z196" s="213">
        <f t="shared" ref="Z196:Z259" si="3">IF(V196=0,"",(W196-V196)/V196)</f>
        <v>-1</v>
      </c>
      <c r="AA196" s="208">
        <f>VLOOKUP(표9[[#This Row],[Team]],표1[],3,0)</f>
        <v>1000</v>
      </c>
    </row>
    <row r="197" spans="1:27" s="8" customFormat="1" ht="15">
      <c r="A197" s="214" t="str">
        <f>VLOOKUP($H197,AWS!$A:$H,2,0)</f>
        <v>AWS</v>
      </c>
      <c r="B197" s="214" t="str">
        <f>VLOOKUP($H197,AWS!$A:$H,3,0)</f>
        <v>KRAFTON HQ</v>
      </c>
      <c r="C197" s="209" t="str">
        <f>VLOOKUP($H197,AWS!$A:$H,4,0)</f>
        <v>PUBG STUDIO</v>
      </c>
      <c r="D197" s="214" t="str">
        <f>VLOOKUP($H197,AWS!$A:$H,5,0)</f>
        <v>PalM Unit</v>
      </c>
      <c r="E197" s="214" t="str">
        <f>VLOOKUP($H197,AWS!$A:$H,6,0)</f>
        <v>OVERHEAD/OTHERS</v>
      </c>
      <c r="F197" s="202">
        <f>VLOOKUP(표9[[#This Row],[Team]],표1[[내역]:[코스트 센터]],2,0)</f>
        <v>101758</v>
      </c>
      <c r="G197" s="202" t="str">
        <f>VLOOKUP(표9[[#This Row],[Project]],표2[],2,0)</f>
        <v>I100099999</v>
      </c>
      <c r="H197" s="214" t="s">
        <v>224</v>
      </c>
      <c r="I197" s="214" t="str">
        <f>VLOOKUP($H197,AWS!$A:$H,8,0)</f>
        <v>이민기</v>
      </c>
      <c r="J197" s="214" t="str">
        <f>VLOOKUP($H197,AWS!$A:$H,8,0)</f>
        <v>이민기</v>
      </c>
      <c r="K197" s="187" t="s">
        <v>29</v>
      </c>
      <c r="L197" s="215">
        <v>4199974</v>
      </c>
      <c r="M197" s="216">
        <v>7050561</v>
      </c>
      <c r="N197" s="217">
        <v>9407340</v>
      </c>
      <c r="O197" s="217">
        <v>10077469</v>
      </c>
      <c r="P197" s="217">
        <v>22315434</v>
      </c>
      <c r="Q197" s="217">
        <v>51770159</v>
      </c>
      <c r="R197" s="217">
        <v>54319492</v>
      </c>
      <c r="S197" s="217">
        <v>34118003</v>
      </c>
      <c r="T197" s="212">
        <v>17664118</v>
      </c>
      <c r="U197" s="212">
        <v>14840340</v>
      </c>
      <c r="V197" s="205">
        <v>18804084</v>
      </c>
      <c r="W197" s="205">
        <f>ROUND(표9[[#This Row],[Apr 2026 (USD or KRW)]],0)</f>
        <v>0</v>
      </c>
      <c r="X197" s="212"/>
      <c r="Y197" s="206">
        <f>표9[[#This Row],[Apr 2027(KRW)]]-표9[[#This Row],[Mar 2026(KRW)]]</f>
        <v>-18804084</v>
      </c>
      <c r="Z197" s="213">
        <f t="shared" si="3"/>
        <v>-1</v>
      </c>
      <c r="AA197" s="208">
        <f>VLOOKUP(표9[[#This Row],[Team]],표1[],3,0)</f>
        <v>1000</v>
      </c>
    </row>
    <row r="198" spans="1:27" s="8" customFormat="1" ht="15">
      <c r="A198" s="214" t="str">
        <f>VLOOKUP($H198,AWS!$A:$H,2,0)</f>
        <v>AWS</v>
      </c>
      <c r="B198" s="214" t="str">
        <f>VLOOKUP($H198,AWS!$A:$H,3,0)</f>
        <v>KRAFTON HQ</v>
      </c>
      <c r="C198" s="209" t="str">
        <f>VLOOKUP($H198,AWS!$A:$H,4,0)</f>
        <v>PUBG STUDIO</v>
      </c>
      <c r="D198" s="214" t="str">
        <f>VLOOKUP($H198,AWS!$A:$H,5,0)</f>
        <v>PUBG PC&amp;Console Dev Div.</v>
      </c>
      <c r="E198" s="214" t="str">
        <f>VLOOKUP($H198,AWS!$A:$H,6,0)</f>
        <v>BATTLEGROUNDS_PC/CONSOLE</v>
      </c>
      <c r="F198" s="202">
        <f>VLOOKUP(표9[[#This Row],[Team]],표1[[내역]:[코스트 센터]],2,0)</f>
        <v>100414</v>
      </c>
      <c r="G198" s="202" t="str">
        <f>VLOOKUP(표9[[#This Row],[Project]],표2[],2,0)</f>
        <v>P100010012</v>
      </c>
      <c r="H198" s="214" t="s">
        <v>225</v>
      </c>
      <c r="I198" s="214" t="str">
        <f>VLOOKUP($H198,AWS!$A:$H,8,0)</f>
        <v>최준석</v>
      </c>
      <c r="J198" s="214" t="str">
        <f>VLOOKUP($H198,AWS!$A:$H,8,0)</f>
        <v>최준석</v>
      </c>
      <c r="K198" s="186"/>
      <c r="L198" s="215">
        <v>13647032</v>
      </c>
      <c r="M198" s="216">
        <v>15848904</v>
      </c>
      <c r="N198" s="217">
        <v>16235703</v>
      </c>
      <c r="O198" s="217">
        <v>15168502</v>
      </c>
      <c r="P198" s="217">
        <v>13902869</v>
      </c>
      <c r="Q198" s="217">
        <v>14490754</v>
      </c>
      <c r="R198" s="217">
        <v>14716389</v>
      </c>
      <c r="S198" s="217">
        <v>15767097</v>
      </c>
      <c r="T198" s="212">
        <v>15621198</v>
      </c>
      <c r="U198" s="212">
        <v>13658792</v>
      </c>
      <c r="V198" s="205">
        <v>18760835</v>
      </c>
      <c r="W198" s="205">
        <f>ROUND(표9[[#This Row],[Apr 2026 (USD or KRW)]],0)</f>
        <v>0</v>
      </c>
      <c r="X198" s="212"/>
      <c r="Y198" s="206">
        <f>표9[[#This Row],[Apr 2027(KRW)]]-표9[[#This Row],[Mar 2026(KRW)]]</f>
        <v>-18760835</v>
      </c>
      <c r="Z198" s="213">
        <f t="shared" si="3"/>
        <v>-1</v>
      </c>
      <c r="AA198" s="208">
        <f>VLOOKUP(표9[[#This Row],[Team]],표1[],3,0)</f>
        <v>1000</v>
      </c>
    </row>
    <row r="199" spans="1:27" s="8" customFormat="1" ht="15">
      <c r="A199" s="214" t="str">
        <f>VLOOKUP($H199,AWS!$A:$H,2,0)</f>
        <v>AWS</v>
      </c>
      <c r="B199" s="214" t="str">
        <f>VLOOKUP($H199,AWS!$A:$H,3,0)</f>
        <v>KRAFTON HQ</v>
      </c>
      <c r="C199" s="209" t="str">
        <f>VLOOKUP($H199,AWS!$A:$H,4,0)</f>
        <v>PUBG STUDIO</v>
      </c>
      <c r="D199" s="214" t="str">
        <f>VLOOKUP($H199,AWS!$A:$H,5,0)</f>
        <v>PalM Unit</v>
      </c>
      <c r="E199" s="214" t="str">
        <f>VLOOKUP($H199,AWS!$A:$H,6,0)</f>
        <v>OVERHEAD/OTHERS</v>
      </c>
      <c r="F199" s="202">
        <f>VLOOKUP(표9[[#This Row],[Team]],표1[[내역]:[코스트 센터]],2,0)</f>
        <v>101758</v>
      </c>
      <c r="G199" s="202" t="str">
        <f>VLOOKUP(표9[[#This Row],[Project]],표2[],2,0)</f>
        <v>I100099999</v>
      </c>
      <c r="H199" s="214" t="s">
        <v>226</v>
      </c>
      <c r="I199" s="214" t="str">
        <f>VLOOKUP($H199,AWS!$A:$H,8,0)</f>
        <v>이민기</v>
      </c>
      <c r="J199" s="214" t="str">
        <f>VLOOKUP($H199,AWS!$A:$H,8,0)</f>
        <v>이민기</v>
      </c>
      <c r="K199" s="187" t="s">
        <v>29</v>
      </c>
      <c r="L199" s="215"/>
      <c r="M199" s="216">
        <v>7622</v>
      </c>
      <c r="N199" s="217">
        <v>1324</v>
      </c>
      <c r="O199" s="217">
        <v>280202</v>
      </c>
      <c r="P199" s="217">
        <v>1699803</v>
      </c>
      <c r="Q199" s="217">
        <v>1952037</v>
      </c>
      <c r="R199" s="217">
        <v>1075146</v>
      </c>
      <c r="S199" s="217">
        <v>37716</v>
      </c>
      <c r="T199" s="212">
        <v>38026</v>
      </c>
      <c r="U199" s="212">
        <v>35579</v>
      </c>
      <c r="V199" s="205">
        <v>1009298</v>
      </c>
      <c r="W199" s="205">
        <f>ROUND(표9[[#This Row],[Apr 2026 (USD or KRW)]],0)</f>
        <v>0</v>
      </c>
      <c r="X199" s="212"/>
      <c r="Y199" s="206">
        <f>표9[[#This Row],[Apr 2027(KRW)]]-표9[[#This Row],[Mar 2026(KRW)]]</f>
        <v>-1009298</v>
      </c>
      <c r="Z199" s="213">
        <f t="shared" si="3"/>
        <v>-1</v>
      </c>
      <c r="AA199" s="208">
        <f>VLOOKUP(표9[[#This Row],[Team]],표1[],3,0)</f>
        <v>1000</v>
      </c>
    </row>
    <row r="200" spans="1:27" s="8" customFormat="1" ht="15">
      <c r="A200" s="214" t="str">
        <f>VLOOKUP($H200,AWS!$A:$H,2,0)</f>
        <v>AWS</v>
      </c>
      <c r="B200" s="214" t="str">
        <f>VLOOKUP($H200,AWS!$A:$H,3,0)</f>
        <v>KRAFTON HQ</v>
      </c>
      <c r="C200" s="209" t="str">
        <f>VLOOKUP($H200,AWS!$A:$H,4,0)</f>
        <v>PUBG STUDIO</v>
      </c>
      <c r="D200" s="214" t="str">
        <f>VLOOKUP($H200,AWS!$A:$H,5,0)</f>
        <v>PalM Unit</v>
      </c>
      <c r="E200" s="214" t="str">
        <f>VLOOKUP($H200,AWS!$A:$H,6,0)</f>
        <v>OVERHEAD/OTHERS</v>
      </c>
      <c r="F200" s="202">
        <f>VLOOKUP(표9[[#This Row],[Team]],표1[[내역]:[코스트 센터]],2,0)</f>
        <v>101758</v>
      </c>
      <c r="G200" s="202" t="str">
        <f>VLOOKUP(표9[[#This Row],[Project]],표2[],2,0)</f>
        <v>I100099999</v>
      </c>
      <c r="H200" s="214" t="s">
        <v>227</v>
      </c>
      <c r="I200" s="214" t="str">
        <f>VLOOKUP($H200,AWS!$A:$H,8,0)</f>
        <v>이민기</v>
      </c>
      <c r="J200" s="214" t="str">
        <f>VLOOKUP($H200,AWS!$A:$H,8,0)</f>
        <v>이민기</v>
      </c>
      <c r="K200" s="187" t="s">
        <v>29</v>
      </c>
      <c r="L200" s="215">
        <v>4699</v>
      </c>
      <c r="M200" s="216">
        <v>591628</v>
      </c>
      <c r="N200" s="217">
        <v>926853</v>
      </c>
      <c r="O200" s="217">
        <v>1068993</v>
      </c>
      <c r="P200" s="217">
        <v>1687907</v>
      </c>
      <c r="Q200" s="217">
        <v>2716587</v>
      </c>
      <c r="R200" s="217">
        <v>2923758</v>
      </c>
      <c r="S200" s="217">
        <v>2317672</v>
      </c>
      <c r="T200" s="212">
        <v>1766080</v>
      </c>
      <c r="U200" s="212">
        <v>1729355</v>
      </c>
      <c r="V200" s="205">
        <v>2543752</v>
      </c>
      <c r="W200" s="205">
        <f>ROUND(표9[[#This Row],[Apr 2026 (USD or KRW)]],0)</f>
        <v>0</v>
      </c>
      <c r="X200" s="212"/>
      <c r="Y200" s="206">
        <f>표9[[#This Row],[Apr 2027(KRW)]]-표9[[#This Row],[Mar 2026(KRW)]]</f>
        <v>-2543752</v>
      </c>
      <c r="Z200" s="213">
        <f t="shared" si="3"/>
        <v>-1</v>
      </c>
      <c r="AA200" s="208">
        <f>VLOOKUP(표9[[#This Row],[Team]],표1[],3,0)</f>
        <v>1000</v>
      </c>
    </row>
    <row r="201" spans="1:27" s="8" customFormat="1" ht="15">
      <c r="A201" s="214" t="str">
        <f>VLOOKUP($H201,AWS!$A:$H,2,0)</f>
        <v>AWS</v>
      </c>
      <c r="B201" s="214" t="str">
        <f>VLOOKUP($H201,AWS!$A:$H,3,0)</f>
        <v>KRAFTON HQ</v>
      </c>
      <c r="C201" s="209" t="str">
        <f>VLOOKUP($H201,AWS!$A:$H,4,0)</f>
        <v>PUBG STUDIO</v>
      </c>
      <c r="D201" s="214" t="str">
        <f>VLOOKUP($H201,AWS!$A:$H,5,0)</f>
        <v>PalM Unit</v>
      </c>
      <c r="E201" s="214" t="str">
        <f>VLOOKUP($H201,AWS!$A:$H,6,0)</f>
        <v>OVERHEAD/OTHERS</v>
      </c>
      <c r="F201" s="202">
        <f>VLOOKUP(표9[[#This Row],[Team]],표1[[내역]:[코스트 센터]],2,0)</f>
        <v>101758</v>
      </c>
      <c r="G201" s="202" t="str">
        <f>VLOOKUP(표9[[#This Row],[Project]],표2[],2,0)</f>
        <v>I100099999</v>
      </c>
      <c r="H201" s="214" t="s">
        <v>228</v>
      </c>
      <c r="I201" s="214" t="str">
        <f>VLOOKUP($H201,AWS!$A:$H,8,0)</f>
        <v>이민기</v>
      </c>
      <c r="J201" s="214" t="str">
        <f>VLOOKUP($H201,AWS!$A:$H,8,0)</f>
        <v>이민기</v>
      </c>
      <c r="K201" s="187" t="s">
        <v>29</v>
      </c>
      <c r="L201" s="215">
        <v>17697</v>
      </c>
      <c r="M201" s="216">
        <v>14589</v>
      </c>
      <c r="N201" s="217">
        <v>6018</v>
      </c>
      <c r="O201" s="217">
        <v>12256</v>
      </c>
      <c r="P201" s="217">
        <v>9754</v>
      </c>
      <c r="Q201" s="217">
        <v>10218</v>
      </c>
      <c r="R201" s="217">
        <v>10980</v>
      </c>
      <c r="S201" s="217">
        <v>9901</v>
      </c>
      <c r="T201" s="212">
        <v>12135</v>
      </c>
      <c r="U201" s="212">
        <v>10267</v>
      </c>
      <c r="V201" s="205">
        <v>9026</v>
      </c>
      <c r="W201" s="205">
        <f>ROUND(표9[[#This Row],[Apr 2026 (USD or KRW)]],0)</f>
        <v>0</v>
      </c>
      <c r="X201" s="212"/>
      <c r="Y201" s="206">
        <f>표9[[#This Row],[Apr 2027(KRW)]]-표9[[#This Row],[Mar 2026(KRW)]]</f>
        <v>-9026</v>
      </c>
      <c r="Z201" s="213">
        <f t="shared" si="3"/>
        <v>-1</v>
      </c>
      <c r="AA201" s="208">
        <f>VLOOKUP(표9[[#This Row],[Team]],표1[],3,0)</f>
        <v>1000</v>
      </c>
    </row>
    <row r="202" spans="1:27" s="8" customFormat="1" ht="15">
      <c r="A202" s="214" t="str">
        <f>VLOOKUP($H202,AWS!$A:$H,2,0)</f>
        <v>AWS</v>
      </c>
      <c r="B202" s="214" t="str">
        <f>VLOOKUP($H202,AWS!$A:$H,3,0)</f>
        <v>KRAFTON HQ</v>
      </c>
      <c r="C202" s="209" t="str">
        <f>VLOOKUP($H202,AWS!$A:$H,4,0)</f>
        <v>PUBG STUDIO</v>
      </c>
      <c r="D202" s="214" t="str">
        <f>VLOOKUP($H202,AWS!$A:$H,5,0)</f>
        <v>KRAFTON HQ</v>
      </c>
      <c r="E202" s="214" t="str">
        <f>VLOOKUP($H202,AWS!$A:$H,6,0)</f>
        <v>OVERHEAD/OTHERS</v>
      </c>
      <c r="F202" s="202">
        <f>VLOOKUP(표9[[#This Row],[Team]],표1[[내역]:[코스트 센터]],2,0)</f>
        <v>100009</v>
      </c>
      <c r="G202" s="202" t="str">
        <f>VLOOKUP(표9[[#This Row],[Project]],표2[],2,0)</f>
        <v>I100099999</v>
      </c>
      <c r="H202" s="214" t="s">
        <v>229</v>
      </c>
      <c r="I202" s="214" t="str">
        <f>VLOOKUP($H202,AWS!$A:$H,8,0)</f>
        <v>김승훈</v>
      </c>
      <c r="J202" s="214" t="str">
        <f>VLOOKUP($H202,AWS!$A:$H,8,0)</f>
        <v>김승훈</v>
      </c>
      <c r="K202" s="187"/>
      <c r="L202" s="215"/>
      <c r="M202" s="216"/>
      <c r="N202" s="217">
        <v>10892</v>
      </c>
      <c r="O202" s="217">
        <v>12297</v>
      </c>
      <c r="P202" s="217">
        <v>8289</v>
      </c>
      <c r="Q202" s="217">
        <v>9024</v>
      </c>
      <c r="R202" s="217">
        <v>9770</v>
      </c>
      <c r="S202" s="217">
        <v>8711</v>
      </c>
      <c r="T202" s="212">
        <v>10786</v>
      </c>
      <c r="U202" s="212">
        <v>9145</v>
      </c>
      <c r="V202" s="205">
        <v>7961</v>
      </c>
      <c r="W202" s="205">
        <f>ROUND(표9[[#This Row],[Apr 2026 (USD or KRW)]],0)</f>
        <v>0</v>
      </c>
      <c r="X202" s="212"/>
      <c r="Y202" s="206">
        <f>표9[[#This Row],[Apr 2027(KRW)]]-표9[[#This Row],[Mar 2026(KRW)]]</f>
        <v>-7961</v>
      </c>
      <c r="Z202" s="213">
        <f t="shared" si="3"/>
        <v>-1</v>
      </c>
      <c r="AA202" s="208">
        <f>VLOOKUP(표9[[#This Row],[Team]],표1[],3,0)</f>
        <v>1000</v>
      </c>
    </row>
    <row r="203" spans="1:27" s="8" customFormat="1" ht="15">
      <c r="A203" s="214" t="str">
        <f>VLOOKUP($H203,AWS!$A:$H,2,0)</f>
        <v>AWS</v>
      </c>
      <c r="B203" s="214" t="str">
        <f>VLOOKUP($H203,AWS!$A:$H,3,0)</f>
        <v>KRAFTON HQ</v>
      </c>
      <c r="C203" s="209" t="str">
        <f>VLOOKUP($H203,AWS!$A:$H,4,0)</f>
        <v>PUBG STUDIO</v>
      </c>
      <c r="D203" s="214" t="str">
        <f>VLOOKUP($H203,AWS!$A:$H,5,0)</f>
        <v>MS DevOps Team</v>
      </c>
      <c r="E203" s="214" t="str">
        <f>VLOOKUP($H203,AWS!$A:$H,6,0)</f>
        <v>UROPA_mobile</v>
      </c>
      <c r="F203" s="202">
        <f>VLOOKUP(표9[[#This Row],[Team]],표1[[내역]:[코스트 센터]],2,0)</f>
        <v>100774</v>
      </c>
      <c r="G203" s="202" t="str">
        <f>VLOOKUP(표9[[#This Row],[Project]],표2[],2,0)</f>
        <v>P100030092</v>
      </c>
      <c r="H203" s="209" t="s">
        <v>230</v>
      </c>
      <c r="I203" s="214" t="str">
        <f>VLOOKUP($H203,AWS!$A:$H,8,0)</f>
        <v>최보성</v>
      </c>
      <c r="J203" s="214" t="str">
        <f>VLOOKUP($H203,AWS!$A:$H,8,0)</f>
        <v>최보성</v>
      </c>
      <c r="K203" s="187" t="s">
        <v>29</v>
      </c>
      <c r="L203" s="215"/>
      <c r="M203" s="216">
        <v>8135</v>
      </c>
      <c r="N203" s="217">
        <v>1286</v>
      </c>
      <c r="O203" s="217">
        <v>11236</v>
      </c>
      <c r="P203" s="217">
        <v>8509</v>
      </c>
      <c r="Q203" s="217">
        <v>8972</v>
      </c>
      <c r="R203" s="217">
        <v>9788</v>
      </c>
      <c r="S203" s="217">
        <v>3953283</v>
      </c>
      <c r="T203" s="212">
        <v>8174320</v>
      </c>
      <c r="U203" s="212">
        <v>5856517</v>
      </c>
      <c r="V203" s="205">
        <v>9139132</v>
      </c>
      <c r="W203" s="205">
        <f>ROUND(표9[[#This Row],[Apr 2026 (USD or KRW)]],0)</f>
        <v>0</v>
      </c>
      <c r="X203" s="212"/>
      <c r="Y203" s="206">
        <f>표9[[#This Row],[Apr 2027(KRW)]]-표9[[#This Row],[Mar 2026(KRW)]]</f>
        <v>-9139132</v>
      </c>
      <c r="Z203" s="213">
        <f t="shared" si="3"/>
        <v>-1</v>
      </c>
      <c r="AA203" s="208">
        <f>VLOOKUP(표9[[#This Row],[Team]],표1[],3,0)</f>
        <v>1000</v>
      </c>
    </row>
    <row r="204" spans="1:27" s="8" customFormat="1" ht="15">
      <c r="A204" s="214" t="str">
        <f>VLOOKUP($H204,AWS!$A:$H,2,0)</f>
        <v>AWS</v>
      </c>
      <c r="B204" s="214" t="str">
        <f>VLOOKUP($H204,AWS!$A:$H,3,0)</f>
        <v>KRAFTON HQ</v>
      </c>
      <c r="C204" s="209" t="str">
        <f>VLOOKUP($H204,AWS!$A:$H,4,0)</f>
        <v>PUBG STUDIO</v>
      </c>
      <c r="D204" s="214" t="str">
        <f>VLOOKUP($H204,AWS!$A:$H,5,0)</f>
        <v>MS DevOps Team</v>
      </c>
      <c r="E204" s="214" t="str">
        <f>VLOOKUP($H204,AWS!$A:$H,6,0)</f>
        <v>OVERHEAD/OTHERS</v>
      </c>
      <c r="F204" s="202">
        <f>VLOOKUP(표9[[#This Row],[Team]],표1[[내역]:[코스트 센터]],2,0)</f>
        <v>100774</v>
      </c>
      <c r="G204" s="202" t="str">
        <f>VLOOKUP(표9[[#This Row],[Project]],표2[],2,0)</f>
        <v>I100099999</v>
      </c>
      <c r="H204" s="214" t="s">
        <v>231</v>
      </c>
      <c r="I204" s="214" t="str">
        <f>VLOOKUP($H204,AWS!$A:$H,8,0)</f>
        <v>최보성</v>
      </c>
      <c r="J204" s="214" t="str">
        <f>VLOOKUP($H204,AWS!$A:$H,8,0)</f>
        <v>최보성</v>
      </c>
      <c r="K204" s="187" t="s">
        <v>29</v>
      </c>
      <c r="L204" s="215">
        <v>2259</v>
      </c>
      <c r="M204" s="216">
        <v>12304</v>
      </c>
      <c r="N204" s="217">
        <v>122007</v>
      </c>
      <c r="O204" s="217">
        <v>1861555</v>
      </c>
      <c r="P204" s="217">
        <v>3909368</v>
      </c>
      <c r="Q204" s="217">
        <v>1495136</v>
      </c>
      <c r="R204" s="217">
        <v>1116619</v>
      </c>
      <c r="S204" s="217">
        <v>1708271</v>
      </c>
      <c r="T204" s="212">
        <v>2543706</v>
      </c>
      <c r="U204" s="212">
        <v>1798915</v>
      </c>
      <c r="V204" s="205">
        <v>2837934</v>
      </c>
      <c r="W204" s="205">
        <f>ROUND(표9[[#This Row],[Apr 2026 (USD or KRW)]],0)</f>
        <v>0</v>
      </c>
      <c r="X204" s="212"/>
      <c r="Y204" s="206">
        <f>표9[[#This Row],[Apr 2027(KRW)]]-표9[[#This Row],[Mar 2026(KRW)]]</f>
        <v>-2837934</v>
      </c>
      <c r="Z204" s="213">
        <f t="shared" si="3"/>
        <v>-1</v>
      </c>
      <c r="AA204" s="208">
        <f>VLOOKUP(표9[[#This Row],[Team]],표1[],3,0)</f>
        <v>1000</v>
      </c>
    </row>
    <row r="205" spans="1:27" s="8" customFormat="1" ht="15" customHeight="1">
      <c r="A205" s="209" t="str">
        <f>VLOOKUP($H205,AWS!$A:$H,2,0)</f>
        <v>AWS</v>
      </c>
      <c r="B205" s="209" t="str">
        <f>VLOOKUP($H205,AWS!$A:$H,3,0)</f>
        <v>KRAFTON HQ</v>
      </c>
      <c r="C205" s="209" t="str">
        <f>VLOOKUP($H205,AWS!$A:$H,4,0)</f>
        <v>PUBG STUDIO</v>
      </c>
      <c r="D205" s="214" t="str">
        <f>VLOOKUP($H205,AWS!$A:$H,5,0)</f>
        <v>MS DevOps Team</v>
      </c>
      <c r="E205" s="214" t="str">
        <f>VLOOKUP($H205,AWS!$A:$H,6,0)</f>
        <v>UROPA_mobile</v>
      </c>
      <c r="F205" s="202">
        <f>VLOOKUP(표9[[#This Row],[Team]],표1[[내역]:[코스트 센터]],2,0)</f>
        <v>100774</v>
      </c>
      <c r="G205" s="202" t="str">
        <f>VLOOKUP(표9[[#This Row],[Project]],표2[],2,0)</f>
        <v>P100030092</v>
      </c>
      <c r="H205" s="209" t="s">
        <v>232</v>
      </c>
      <c r="I205" s="219" t="str">
        <f>VLOOKUP($H205,AWS!$A:$H,8,0)</f>
        <v>이민기</v>
      </c>
      <c r="J205" s="214" t="str">
        <f>VLOOKUP($H205,AWS!$A:$H,8,0)</f>
        <v>이민기</v>
      </c>
      <c r="K205" s="186" t="s">
        <v>29</v>
      </c>
      <c r="L205" s="210"/>
      <c r="M205" s="211"/>
      <c r="N205" s="212"/>
      <c r="O205" s="212"/>
      <c r="P205" s="212"/>
      <c r="Q205" s="212"/>
      <c r="R205" s="212"/>
      <c r="S205" s="212"/>
      <c r="T205" s="212">
        <v>12173</v>
      </c>
      <c r="U205" s="212">
        <v>3593</v>
      </c>
      <c r="V205" s="205">
        <v>9324</v>
      </c>
      <c r="W205" s="205">
        <f>ROUND(표9[[#This Row],[Apr 2026 (USD or KRW)]],0)</f>
        <v>0</v>
      </c>
      <c r="X205" s="212"/>
      <c r="Y205" s="206">
        <f>표9[[#This Row],[Apr 2027(KRW)]]-표9[[#This Row],[Mar 2026(KRW)]]</f>
        <v>-9324</v>
      </c>
      <c r="Z205" s="213">
        <f t="shared" si="3"/>
        <v>-1</v>
      </c>
      <c r="AA205" s="208">
        <f>VLOOKUP(표9[[#This Row],[Team]],표1[],3,0)</f>
        <v>1000</v>
      </c>
    </row>
    <row r="206" spans="1:27" s="8" customFormat="1" ht="15">
      <c r="A206" s="214" t="str">
        <f>VLOOKUP($H206,AWS!$A:$H,2,0)</f>
        <v>AWS</v>
      </c>
      <c r="B206" s="214" t="str">
        <f>VLOOKUP($H206,AWS!$A:$H,3,0)</f>
        <v>KRAFTON HQ</v>
      </c>
      <c r="C206" s="209" t="str">
        <f>VLOOKUP($H206,AWS!$A:$H,4,0)</f>
        <v>PUBG STUDIO</v>
      </c>
      <c r="D206" s="214" t="str">
        <f>VLOOKUP($H206,AWS!$A:$H,5,0)</f>
        <v>MS DevOps Team</v>
      </c>
      <c r="E206" s="214" t="str">
        <f>VLOOKUP($H206,AWS!$A:$H,6,0)</f>
        <v>OVERHEAD/OTHERS</v>
      </c>
      <c r="F206" s="202">
        <f>VLOOKUP(표9[[#This Row],[Team]],표1[[내역]:[코스트 센터]],2,0)</f>
        <v>100774</v>
      </c>
      <c r="G206" s="202" t="str">
        <f>VLOOKUP(표9[[#This Row],[Project]],표2[],2,0)</f>
        <v>I100099999</v>
      </c>
      <c r="H206" s="214" t="s">
        <v>233</v>
      </c>
      <c r="I206" s="214" t="str">
        <f>VLOOKUP($H206,AWS!$A:$H,8,0)</f>
        <v>최보성</v>
      </c>
      <c r="J206" s="214" t="str">
        <f>VLOOKUP($H206,AWS!$A:$H,8,0)</f>
        <v>최보성</v>
      </c>
      <c r="K206" s="187" t="s">
        <v>29</v>
      </c>
      <c r="L206" s="215">
        <v>2728</v>
      </c>
      <c r="M206" s="216">
        <v>13448</v>
      </c>
      <c r="N206" s="217">
        <v>5891</v>
      </c>
      <c r="O206" s="217">
        <v>11328</v>
      </c>
      <c r="P206" s="217">
        <v>8822</v>
      </c>
      <c r="Q206" s="217">
        <v>9210</v>
      </c>
      <c r="R206" s="217">
        <v>9988</v>
      </c>
      <c r="S206" s="217">
        <v>9762</v>
      </c>
      <c r="T206" s="212">
        <v>4179170</v>
      </c>
      <c r="U206" s="212">
        <v>1468613</v>
      </c>
      <c r="V206" s="205">
        <v>3395607</v>
      </c>
      <c r="W206" s="205">
        <f>ROUND(표9[[#This Row],[Apr 2026 (USD or KRW)]],0)</f>
        <v>0</v>
      </c>
      <c r="X206" s="212"/>
      <c r="Y206" s="206">
        <f>표9[[#This Row],[Apr 2027(KRW)]]-표9[[#This Row],[Mar 2026(KRW)]]</f>
        <v>-3395607</v>
      </c>
      <c r="Z206" s="213">
        <f t="shared" si="3"/>
        <v>-1</v>
      </c>
      <c r="AA206" s="208">
        <f>VLOOKUP(표9[[#This Row],[Team]],표1[],3,0)</f>
        <v>1000</v>
      </c>
    </row>
    <row r="207" spans="1:27" s="8" customFormat="1" ht="15">
      <c r="A207" s="214" t="str">
        <f>VLOOKUP($H207,AWS!$A:$H,2,0)</f>
        <v>AWS</v>
      </c>
      <c r="B207" s="214" t="str">
        <f>VLOOKUP($H207,AWS!$A:$H,3,0)</f>
        <v>KRAFTON HQ</v>
      </c>
      <c r="C207" s="209" t="str">
        <f>VLOOKUP($H207,AWS!$A:$H,4,0)</f>
        <v>PUBG STUDIO</v>
      </c>
      <c r="D207" s="214" t="str">
        <f>VLOOKUP($H207,AWS!$A:$H,5,0)</f>
        <v>PUBG PC&amp;Console Dev Div.</v>
      </c>
      <c r="E207" s="214" t="str">
        <f>VLOOKUP($H207,AWS!$A:$H,6,0)</f>
        <v>BATTLEGROUNDS_PC/CONSOLE</v>
      </c>
      <c r="F207" s="202">
        <f>VLOOKUP(표9[[#This Row],[Team]],표1[[내역]:[코스트 센터]],2,0)</f>
        <v>100414</v>
      </c>
      <c r="G207" s="202" t="str">
        <f>VLOOKUP(표9[[#This Row],[Project]],표2[],2,0)</f>
        <v>P100010012</v>
      </c>
      <c r="H207" s="214" t="s">
        <v>234</v>
      </c>
      <c r="I207" s="214" t="str">
        <f>VLOOKUP($H207,AWS!$A:$H,8,0)</f>
        <v>최준석</v>
      </c>
      <c r="J207" s="214" t="str">
        <f>VLOOKUP($H207,AWS!$A:$H,8,0)</f>
        <v>최준석</v>
      </c>
      <c r="K207" s="186"/>
      <c r="L207" s="215">
        <v>6212</v>
      </c>
      <c r="M207" s="216">
        <v>295985</v>
      </c>
      <c r="N207" s="217">
        <v>1515575</v>
      </c>
      <c r="O207" s="217">
        <v>1859655</v>
      </c>
      <c r="P207" s="217">
        <v>3920082</v>
      </c>
      <c r="Q207" s="217">
        <v>5254058</v>
      </c>
      <c r="R207" s="217">
        <v>7813616</v>
      </c>
      <c r="S207" s="217">
        <v>9213329</v>
      </c>
      <c r="T207" s="212">
        <v>7988074</v>
      </c>
      <c r="U207" s="212">
        <v>7646568</v>
      </c>
      <c r="V207" s="205">
        <v>11042279</v>
      </c>
      <c r="W207" s="205">
        <f>ROUND(표9[[#This Row],[Apr 2026 (USD or KRW)]],0)</f>
        <v>0</v>
      </c>
      <c r="X207" s="212"/>
      <c r="Y207" s="206">
        <f>표9[[#This Row],[Apr 2027(KRW)]]-표9[[#This Row],[Mar 2026(KRW)]]</f>
        <v>-11042279</v>
      </c>
      <c r="Z207" s="213">
        <f t="shared" si="3"/>
        <v>-1</v>
      </c>
      <c r="AA207" s="208">
        <f>VLOOKUP(표9[[#This Row],[Team]],표1[],3,0)</f>
        <v>1000</v>
      </c>
    </row>
    <row r="208" spans="1:27" s="8" customFormat="1" ht="15">
      <c r="A208" s="214" t="str">
        <f>VLOOKUP($H208,AWS!$A:$H,2,0)</f>
        <v>AWS</v>
      </c>
      <c r="B208" s="214" t="str">
        <f>VLOOKUP($H208,AWS!$A:$H,3,0)</f>
        <v>KRAFTON HQ</v>
      </c>
      <c r="C208" s="209" t="str">
        <f>VLOOKUP($H208,AWS!$A:$H,4,0)</f>
        <v>PUBG STUDIO</v>
      </c>
      <c r="D208" s="214" t="str">
        <f>VLOOKUP($H208,AWS!$A:$H,5,0)</f>
        <v>Translation Team 2</v>
      </c>
      <c r="E208" s="214" t="str">
        <f>VLOOKUP($H208,AWS!$A:$H,6,0)</f>
        <v>OVERHEAD/OTHERS</v>
      </c>
      <c r="F208" s="202">
        <f>VLOOKUP(표9[[#This Row],[Team]],표1[[내역]:[코스트 센터]],2,0)</f>
        <v>100424</v>
      </c>
      <c r="G208" s="202" t="str">
        <f>VLOOKUP(표9[[#This Row],[Project]],표2[],2,0)</f>
        <v>I100099999</v>
      </c>
      <c r="H208" s="8" t="s">
        <v>235</v>
      </c>
      <c r="I208" s="214" t="str">
        <f>VLOOKUP($H208,AWS!$A:$H,8,0)</f>
        <v>이경호</v>
      </c>
      <c r="J208" s="214" t="str">
        <f>VLOOKUP($H208,AWS!$A:$H,8,0)</f>
        <v>이경호</v>
      </c>
      <c r="K208" s="187" t="s">
        <v>29</v>
      </c>
      <c r="L208" s="215">
        <v>6175</v>
      </c>
      <c r="M208" s="216">
        <v>13978</v>
      </c>
      <c r="N208" s="217">
        <v>5923</v>
      </c>
      <c r="O208" s="217">
        <v>3198</v>
      </c>
      <c r="P208" s="217"/>
      <c r="Q208" s="217"/>
      <c r="R208" s="217"/>
      <c r="S208" s="217">
        <v>0</v>
      </c>
      <c r="T208" s="212">
        <v>0</v>
      </c>
      <c r="U208" s="212">
        <v>0</v>
      </c>
      <c r="V208" s="205">
        <v>0</v>
      </c>
      <c r="W208" s="205">
        <f>ROUND(표9[[#This Row],[Apr 2026 (USD or KRW)]],0)</f>
        <v>0</v>
      </c>
      <c r="X208" s="212"/>
      <c r="Y208" s="206">
        <f>표9[[#This Row],[Apr 2027(KRW)]]-표9[[#This Row],[Mar 2026(KRW)]]</f>
        <v>0</v>
      </c>
      <c r="Z208" s="213" t="str">
        <f t="shared" si="3"/>
        <v/>
      </c>
      <c r="AA208" s="208">
        <f>VLOOKUP(표9[[#This Row],[Team]],표1[],3,0)</f>
        <v>1000</v>
      </c>
    </row>
    <row r="209" spans="1:27" s="8" customFormat="1" ht="15">
      <c r="A209" s="214" t="str">
        <f>VLOOKUP($H209,AWS!$A:$H,2,0)</f>
        <v>AWS</v>
      </c>
      <c r="B209" s="214" t="str">
        <f>VLOOKUP($H209,AWS!$A:$H,3,0)</f>
        <v>KRAFTON HQ</v>
      </c>
      <c r="C209" s="209" t="str">
        <f>VLOOKUP($H209,AWS!$A:$H,4,0)</f>
        <v>KRAFTON HQ</v>
      </c>
      <c r="D209" s="214" t="str">
        <f>VLOOKUP($H209,AWS!$A:$H,5,0)</f>
        <v>Publishing QA Team 1</v>
      </c>
      <c r="E209" s="214" t="str">
        <f>VLOOKUP($H209,AWS!$A:$H,6,0)</f>
        <v>OVERHEAD/OTHERS</v>
      </c>
      <c r="F209" s="202">
        <f>VLOOKUP(표9[[#This Row],[Team]],표1[[내역]:[코스트 센터]],2,0)</f>
        <v>101505</v>
      </c>
      <c r="G209" s="202" t="str">
        <f>VLOOKUP(표9[[#This Row],[Project]],표2[],2,0)</f>
        <v>I100099999</v>
      </c>
      <c r="H209" s="219" t="s">
        <v>236</v>
      </c>
      <c r="I209" s="214" t="str">
        <f>VLOOKUP($H209,AWS!$A:$H,8,0)</f>
        <v>양준식</v>
      </c>
      <c r="J209" s="214" t="str">
        <f>VLOOKUP($H209,AWS!$A:$H,8,0)</f>
        <v>양준식</v>
      </c>
      <c r="K209" s="187" t="s">
        <v>29</v>
      </c>
      <c r="L209" s="215"/>
      <c r="M209" s="216"/>
      <c r="N209" s="217"/>
      <c r="O209" s="217"/>
      <c r="P209" s="217"/>
      <c r="Q209" s="217"/>
      <c r="R209" s="217"/>
      <c r="S209" s="217">
        <v>24690</v>
      </c>
      <c r="T209" s="212">
        <v>31421</v>
      </c>
      <c r="U209" s="212">
        <v>43355</v>
      </c>
      <c r="V209" s="205">
        <v>98001</v>
      </c>
      <c r="W209" s="205">
        <f>ROUND(표9[[#This Row],[Apr 2026 (USD or KRW)]],0)</f>
        <v>0</v>
      </c>
      <c r="X209" s="212"/>
      <c r="Y209" s="206">
        <f>표9[[#This Row],[Apr 2027(KRW)]]-표9[[#This Row],[Mar 2026(KRW)]]</f>
        <v>-98001</v>
      </c>
      <c r="Z209" s="213">
        <f t="shared" si="3"/>
        <v>-1</v>
      </c>
      <c r="AA209" s="208">
        <f>VLOOKUP(표9[[#This Row],[Team]],표1[],3,0)</f>
        <v>1000</v>
      </c>
    </row>
    <row r="210" spans="1:27" s="8" customFormat="1" ht="15">
      <c r="A210" s="214" t="str">
        <f>VLOOKUP($H210,AWS!$A:$H,2,0)</f>
        <v>AWS</v>
      </c>
      <c r="B210" s="214" t="str">
        <f>VLOOKUP($H210,AWS!$A:$H,3,0)</f>
        <v>KRAFTON HQ</v>
      </c>
      <c r="C210" s="209" t="str">
        <f>VLOOKUP($H210,AWS!$A:$H,4,0)</f>
        <v>KRAFTON HQ</v>
      </c>
      <c r="D210" s="214" t="str">
        <f>VLOOKUP($H210,AWS!$A:$H,5,0)</f>
        <v>Platform Management Team</v>
      </c>
      <c r="E210" s="214" t="str">
        <f>VLOOKUP($H210,AWS!$A:$H,6,0)</f>
        <v>OVERHEAD/OTHERS</v>
      </c>
      <c r="F210" s="202">
        <f>VLOOKUP(표9[[#This Row],[Team]],표1[[내역]:[코스트 센터]],2,0)</f>
        <v>101323</v>
      </c>
      <c r="G210" s="202" t="str">
        <f>VLOOKUP(표9[[#This Row],[Project]],표2[],2,0)</f>
        <v>I100099999</v>
      </c>
      <c r="H210" s="214" t="s">
        <v>237</v>
      </c>
      <c r="I210" s="214" t="str">
        <f>VLOOKUP($H210,AWS!$A:$H,8,0)</f>
        <v>김수진</v>
      </c>
      <c r="J210" s="214" t="str">
        <f>VLOOKUP($H210,AWS!$A:$H,8,0)</f>
        <v>김수진</v>
      </c>
      <c r="K210" s="187"/>
      <c r="L210" s="215"/>
      <c r="M210" s="216"/>
      <c r="N210" s="217"/>
      <c r="O210" s="217"/>
      <c r="P210" s="217">
        <v>0</v>
      </c>
      <c r="Q210" s="217">
        <v>2548</v>
      </c>
      <c r="R210" s="217">
        <v>21744</v>
      </c>
      <c r="S210" s="217">
        <v>8603</v>
      </c>
      <c r="T210" s="212">
        <v>10483</v>
      </c>
      <c r="U210" s="212">
        <v>8969</v>
      </c>
      <c r="V210" s="205">
        <v>7718</v>
      </c>
      <c r="W210" s="205">
        <f>ROUND(표9[[#This Row],[Apr 2026 (USD or KRW)]],0)</f>
        <v>0</v>
      </c>
      <c r="X210" s="212"/>
      <c r="Y210" s="206">
        <f>표9[[#This Row],[Apr 2027(KRW)]]-표9[[#This Row],[Mar 2026(KRW)]]</f>
        <v>-7718</v>
      </c>
      <c r="Z210" s="213">
        <f t="shared" si="3"/>
        <v>-1</v>
      </c>
      <c r="AA210" s="208">
        <f>VLOOKUP(표9[[#This Row],[Team]],표1[],3,0)</f>
        <v>1000</v>
      </c>
    </row>
    <row r="211" spans="1:27" s="8" customFormat="1" ht="15">
      <c r="A211" s="214" t="str">
        <f>VLOOKUP($H211,AWS!$A:$H,2,0)</f>
        <v>AWS</v>
      </c>
      <c r="B211" s="214" t="str">
        <f>VLOOKUP($H211,AWS!$A:$H,3,0)</f>
        <v>KRAFTON HQ</v>
      </c>
      <c r="C211" s="209" t="str">
        <f>VLOOKUP($H211,AWS!$A:$H,4,0)</f>
        <v>KRAFTON HQ</v>
      </c>
      <c r="D211" s="214" t="str">
        <f>VLOOKUP($H211,AWS!$A:$H,5,0)</f>
        <v>Publishing Tech PM Part</v>
      </c>
      <c r="E211" s="214" t="str">
        <f>VLOOKUP($H211,AWS!$A:$H,6,0)</f>
        <v>PalM</v>
      </c>
      <c r="F211" s="202">
        <f>VLOOKUP(표9[[#This Row],[Team]],표1[[내역]:[코스트 센터]],2,0)</f>
        <v>101269</v>
      </c>
      <c r="G211" s="202" t="str">
        <f>VLOOKUP(표9[[#This Row],[Project]],표2[],2,0)</f>
        <v>P100030103</v>
      </c>
      <c r="H211" s="214" t="s">
        <v>238</v>
      </c>
      <c r="I211" s="214" t="str">
        <f>VLOOKUP($H211,AWS!$A:$H,8,0)</f>
        <v>김정언</v>
      </c>
      <c r="J211" s="214" t="str">
        <f>VLOOKUP($H211,AWS!$A:$H,8,0)</f>
        <v>김정언</v>
      </c>
      <c r="K211" s="187" t="s">
        <v>29</v>
      </c>
      <c r="L211" s="215">
        <v>342858</v>
      </c>
      <c r="M211" s="216">
        <v>343282</v>
      </c>
      <c r="N211" s="217">
        <v>251313</v>
      </c>
      <c r="O211" s="217">
        <v>610024</v>
      </c>
      <c r="P211" s="217">
        <v>2430250</v>
      </c>
      <c r="Q211" s="217">
        <v>369036</v>
      </c>
      <c r="R211" s="217">
        <v>347690</v>
      </c>
      <c r="S211" s="217">
        <v>454752</v>
      </c>
      <c r="T211" s="212">
        <v>406290</v>
      </c>
      <c r="U211" s="212">
        <v>280704</v>
      </c>
      <c r="V211" s="205">
        <v>310181</v>
      </c>
      <c r="W211" s="205">
        <f>ROUND(표9[[#This Row],[Apr 2026 (USD or KRW)]],0)</f>
        <v>0</v>
      </c>
      <c r="X211" s="212"/>
      <c r="Y211" s="206">
        <f>표9[[#This Row],[Apr 2027(KRW)]]-표9[[#This Row],[Mar 2026(KRW)]]</f>
        <v>-310181</v>
      </c>
      <c r="Z211" s="213">
        <f t="shared" si="3"/>
        <v>-1</v>
      </c>
      <c r="AA211" s="208">
        <f>VLOOKUP(표9[[#This Row],[Team]],표1[],3,0)</f>
        <v>1000</v>
      </c>
    </row>
    <row r="212" spans="1:27" s="8" customFormat="1" ht="15">
      <c r="A212" s="214" t="str">
        <f>VLOOKUP($H212,AWS!$A:$H,2,0)</f>
        <v>AWS</v>
      </c>
      <c r="B212" s="214" t="str">
        <f>VLOOKUP($H212,AWS!$A:$H,3,0)</f>
        <v>KRAFTON HQ</v>
      </c>
      <c r="C212" s="209" t="str">
        <f>VLOOKUP($H212,AWS!$A:$H,4,0)</f>
        <v>KRAFTON HQ</v>
      </c>
      <c r="D212" s="214" t="str">
        <f>VLOOKUP($H212,AWS!$A:$H,5,0)</f>
        <v>AI Applied Research Dept.</v>
      </c>
      <c r="E212" s="214" t="str">
        <f>VLOOKUP($H212,AWS!$A:$H,6,0)</f>
        <v>DEEP LEARNING</v>
      </c>
      <c r="F212" s="202">
        <f>VLOOKUP(표9[[#This Row],[Team]],표1[[내역]:[코스트 센터]],2,0)</f>
        <v>101315</v>
      </c>
      <c r="G212" s="202" t="str">
        <f>VLOOKUP(표9[[#This Row],[Project]],표2[],2,0)</f>
        <v>I100090817</v>
      </c>
      <c r="H212" s="214" t="s">
        <v>239</v>
      </c>
      <c r="I212" s="214" t="str">
        <f>VLOOKUP($H212,AWS!$A:$H,8,0)</f>
        <v>권태환</v>
      </c>
      <c r="J212" s="214" t="str">
        <f>VLOOKUP($H212,AWS!$A:$H,8,0)</f>
        <v>권태환</v>
      </c>
      <c r="K212" s="187"/>
      <c r="L212" s="215">
        <v>21062169</v>
      </c>
      <c r="M212" s="216">
        <v>18248643</v>
      </c>
      <c r="N212" s="217">
        <v>21070856</v>
      </c>
      <c r="O212" s="217">
        <v>30386976</v>
      </c>
      <c r="P212" s="217">
        <v>25070220</v>
      </c>
      <c r="Q212" s="217">
        <v>50465830</v>
      </c>
      <c r="R212" s="217">
        <v>52098241</v>
      </c>
      <c r="S212" s="217">
        <v>58812021</v>
      </c>
      <c r="T212" s="212">
        <v>45957739</v>
      </c>
      <c r="U212" s="212">
        <v>44398725</v>
      </c>
      <c r="V212" s="205">
        <v>25003106</v>
      </c>
      <c r="W212" s="205">
        <f>ROUND(표9[[#This Row],[Apr 2026 (USD or KRW)]],0)</f>
        <v>0</v>
      </c>
      <c r="X212" s="212"/>
      <c r="Y212" s="206">
        <f>표9[[#This Row],[Apr 2027(KRW)]]-표9[[#This Row],[Mar 2026(KRW)]]</f>
        <v>-25003106</v>
      </c>
      <c r="Z212" s="213">
        <f t="shared" si="3"/>
        <v>-1</v>
      </c>
      <c r="AA212" s="208">
        <f>VLOOKUP(표9[[#This Row],[Team]],표1[],3,0)</f>
        <v>1000</v>
      </c>
    </row>
    <row r="213" spans="1:27" s="8" customFormat="1" ht="15">
      <c r="A213" s="209" t="str">
        <f>VLOOKUP($H213,AWS!$A:$H,2,0)</f>
        <v>AWS</v>
      </c>
      <c r="B213" s="209" t="str">
        <f>VLOOKUP($H213,AWS!$A:$H,3,0)</f>
        <v>Risingwings</v>
      </c>
      <c r="C213" s="209" t="str">
        <f>VLOOKUP($H213,AWS!$A:$H,4,0)</f>
        <v>Risingwings</v>
      </c>
      <c r="D213" s="214" t="str">
        <f>VLOOKUP($H213,AWS!$A:$H,5,0)</f>
        <v>TechSupport</v>
      </c>
      <c r="E213" s="214" t="str">
        <f>VLOOKUP($H213,AWS!$A:$H,6,0)</f>
        <v>ProjectA</v>
      </c>
      <c r="F213" s="202" t="e">
        <f>VLOOKUP(표9[[#This Row],[Team]],표1[[내역]:[코스트 센터]],2,0)</f>
        <v>#N/A</v>
      </c>
      <c r="G213" s="202" t="e">
        <f>VLOOKUP(표9[[#This Row],[Project]],표2[],2,0)</f>
        <v>#N/A</v>
      </c>
      <c r="H213" s="209" t="s">
        <v>240</v>
      </c>
      <c r="I213" s="209" t="str">
        <f>VLOOKUP($H213,AWS!$A:$H,7,0)</f>
        <v>허지웅</v>
      </c>
      <c r="J213" s="214" t="str">
        <f>VLOOKUP($H213,AWS!$A:$H,8,0)</f>
        <v>허지웅</v>
      </c>
      <c r="K213" s="186"/>
      <c r="L213" s="210"/>
      <c r="M213" s="211"/>
      <c r="N213" s="212"/>
      <c r="O213" s="212">
        <v>59656</v>
      </c>
      <c r="P213" s="212">
        <v>193748</v>
      </c>
      <c r="Q213" s="212">
        <v>248412</v>
      </c>
      <c r="R213" s="212">
        <v>248954</v>
      </c>
      <c r="S213" s="212">
        <v>244703</v>
      </c>
      <c r="T213" s="212">
        <v>183479</v>
      </c>
      <c r="U213" s="212">
        <v>0</v>
      </c>
      <c r="V213" s="205">
        <v>0</v>
      </c>
      <c r="W213" s="205">
        <f>ROUND(표9[[#This Row],[Apr 2026 (USD or KRW)]],0)</f>
        <v>0</v>
      </c>
      <c r="X213" s="212"/>
      <c r="Y213" s="206">
        <f>표9[[#This Row],[Apr 2027(KRW)]]-표9[[#This Row],[Mar 2026(KRW)]]</f>
        <v>0</v>
      </c>
      <c r="Z213" s="213" t="str">
        <f t="shared" si="3"/>
        <v/>
      </c>
      <c r="AA213" s="208" t="e">
        <f>VLOOKUP(표9[[#This Row],[Team]],표1[],3,0)</f>
        <v>#N/A</v>
      </c>
    </row>
    <row r="214" spans="1:27" s="8" customFormat="1" ht="15">
      <c r="A214" s="209" t="str">
        <f>VLOOKUP($H214,AWS!$A:$H,2,0)</f>
        <v>AWS</v>
      </c>
      <c r="B214" s="209" t="str">
        <f>VLOOKUP($H214,AWS!$A:$H,3,0)</f>
        <v>Risingwings</v>
      </c>
      <c r="C214" s="209" t="str">
        <f>VLOOKUP($H214,AWS!$A:$H,4,0)</f>
        <v>Risingwings</v>
      </c>
      <c r="D214" s="214" t="str">
        <f>VLOOKUP($H214,AWS!$A:$H,5,0)</f>
        <v>TechSupport</v>
      </c>
      <c r="E214" s="214">
        <f>VLOOKUP($H214,AWS!$A:$H,6,0)</f>
        <v>0</v>
      </c>
      <c r="F214" s="202" t="e">
        <f>VLOOKUP(표9[[#This Row],[Team]],표1[[내역]:[코스트 센터]],2,0)</f>
        <v>#N/A</v>
      </c>
      <c r="G214" s="202" t="e">
        <f>VLOOKUP(표9[[#This Row],[Project]],표2[],2,0)</f>
        <v>#N/A</v>
      </c>
      <c r="H214" s="209" t="s">
        <v>241</v>
      </c>
      <c r="I214" s="209" t="str">
        <f>VLOOKUP($H214,AWS!$A:$H,7,0)</f>
        <v>허지웅</v>
      </c>
      <c r="J214" s="214" t="str">
        <f>VLOOKUP($H214,AWS!$A:$H,8,0)</f>
        <v>허지웅</v>
      </c>
      <c r="K214" s="186"/>
      <c r="L214" s="210"/>
      <c r="M214" s="211"/>
      <c r="N214" s="212"/>
      <c r="O214" s="212"/>
      <c r="P214" s="212">
        <v>0</v>
      </c>
      <c r="Q214" s="212">
        <v>474239</v>
      </c>
      <c r="R214" s="212">
        <v>879255</v>
      </c>
      <c r="S214" s="212">
        <v>990756</v>
      </c>
      <c r="T214" s="212">
        <v>1745791</v>
      </c>
      <c r="U214" s="212">
        <v>1478207</v>
      </c>
      <c r="V214" s="205">
        <v>1836045</v>
      </c>
      <c r="W214" s="205">
        <f>ROUND(표9[[#This Row],[Apr 2026 (USD or KRW)]],0)</f>
        <v>0</v>
      </c>
      <c r="X214" s="212"/>
      <c r="Y214" s="206">
        <f>표9[[#This Row],[Apr 2027(KRW)]]-표9[[#This Row],[Mar 2026(KRW)]]</f>
        <v>-1836045</v>
      </c>
      <c r="Z214" s="213">
        <f t="shared" si="3"/>
        <v>-1</v>
      </c>
      <c r="AA214" s="208" t="e">
        <f>VLOOKUP(표9[[#This Row],[Team]],표1[],3,0)</f>
        <v>#N/A</v>
      </c>
    </row>
    <row r="215" spans="1:27" s="8" customFormat="1" ht="15">
      <c r="A215" s="209" t="str">
        <f>VLOOKUP($H215,AWS!$A:$H,2,0)</f>
        <v>AWS</v>
      </c>
      <c r="B215" s="209" t="str">
        <f>VLOOKUP($H215,AWS!$A:$H,3,0)</f>
        <v>Risingwings</v>
      </c>
      <c r="C215" s="209" t="str">
        <f>VLOOKUP($H215,AWS!$A:$H,4,0)</f>
        <v>Risingwings</v>
      </c>
      <c r="D215" s="214" t="str">
        <f>VLOOKUP($H215,AWS!$A:$H,5,0)</f>
        <v>RW Tech Support Dept.</v>
      </c>
      <c r="E215" s="214" t="str">
        <f>VLOOKUP($H215,AWS!$A:$H,6,0)</f>
        <v>RW-ProjectEL</v>
      </c>
      <c r="F215" s="202" t="e">
        <f>VLOOKUP(표9[[#This Row],[Team]],표1[[내역]:[코스트 센터]],2,0)</f>
        <v>#N/A</v>
      </c>
      <c r="G215" s="202" t="e">
        <f>VLOOKUP(표9[[#This Row],[Project]],표2[],2,0)</f>
        <v>#N/A</v>
      </c>
      <c r="H215" s="209" t="s">
        <v>242</v>
      </c>
      <c r="I215" s="209" t="str">
        <f>VLOOKUP($H215,AWS!$A:$H,7,0)</f>
        <v>허지웅</v>
      </c>
      <c r="J215" s="214" t="str">
        <f>VLOOKUP($H215,AWS!$A:$H,8,0)</f>
        <v>허지웅</v>
      </c>
      <c r="K215" s="186"/>
      <c r="L215" s="210">
        <v>2664221</v>
      </c>
      <c r="M215" s="211">
        <v>3039734</v>
      </c>
      <c r="N215" s="212">
        <v>3181496</v>
      </c>
      <c r="O215" s="212">
        <v>5064425</v>
      </c>
      <c r="P215" s="212">
        <v>3155203</v>
      </c>
      <c r="Q215" s="212">
        <v>2549114</v>
      </c>
      <c r="R215" s="212">
        <v>505336</v>
      </c>
      <c r="S215" s="212">
        <v>957591</v>
      </c>
      <c r="T215" s="212">
        <v>928606</v>
      </c>
      <c r="U215" s="212">
        <v>832256</v>
      </c>
      <c r="V215" s="205">
        <v>681422</v>
      </c>
      <c r="W215" s="205">
        <f>ROUND(표9[[#This Row],[Apr 2026 (USD or KRW)]],0)</f>
        <v>0</v>
      </c>
      <c r="X215" s="212"/>
      <c r="Y215" s="206">
        <f>표9[[#This Row],[Apr 2027(KRW)]]-표9[[#This Row],[Mar 2026(KRW)]]</f>
        <v>-681422</v>
      </c>
      <c r="Z215" s="213">
        <f t="shared" si="3"/>
        <v>-1</v>
      </c>
      <c r="AA215" s="208" t="e">
        <f>VLOOKUP(표9[[#This Row],[Team]],표1[],3,0)</f>
        <v>#N/A</v>
      </c>
    </row>
    <row r="216" spans="1:27" s="8" customFormat="1" ht="15">
      <c r="A216" s="214" t="str">
        <f>VLOOKUP($H216,AWS!$A:$H,2,0)</f>
        <v>AWS</v>
      </c>
      <c r="B216" s="214" t="str">
        <f>VLOOKUP($H216,AWS!$A:$H,3,0)</f>
        <v>KRAFTON HQ</v>
      </c>
      <c r="C216" s="209" t="str">
        <f>VLOOKUP($H216,AWS!$A:$H,4,0)</f>
        <v>KRAFTON HQ</v>
      </c>
      <c r="D216" s="214" t="str">
        <f>VLOOKUP($H216,AWS!$A:$H,5,0)</f>
        <v>Security Dept.</v>
      </c>
      <c r="E216" s="214" t="str">
        <f>VLOOKUP($H216,AWS!$A:$H,6,0)</f>
        <v>OVERHEAD/OTHERS</v>
      </c>
      <c r="F216" s="202">
        <f>VLOOKUP(표9[[#This Row],[Team]],표1[[내역]:[코스트 센터]],2,0)</f>
        <v>101451</v>
      </c>
      <c r="G216" s="202" t="str">
        <f>VLOOKUP(표9[[#This Row],[Project]],표2[],2,0)</f>
        <v>I100099999</v>
      </c>
      <c r="H216" s="214" t="s">
        <v>243</v>
      </c>
      <c r="I216" s="214" t="str">
        <f>VLOOKUP($H216,AWS!$A:$H,8,0)</f>
        <v>홍석범</v>
      </c>
      <c r="J216" s="214" t="str">
        <f>VLOOKUP($H216,AWS!$A:$H,8,0)</f>
        <v>홍석범</v>
      </c>
      <c r="K216" s="187" t="s">
        <v>29</v>
      </c>
      <c r="L216" s="215"/>
      <c r="M216" s="216"/>
      <c r="N216" s="217"/>
      <c r="O216" s="217">
        <v>10718</v>
      </c>
      <c r="P216" s="217">
        <v>42846</v>
      </c>
      <c r="Q216" s="217">
        <v>341953</v>
      </c>
      <c r="R216" s="217">
        <v>1105908</v>
      </c>
      <c r="S216" s="217">
        <v>5897440</v>
      </c>
      <c r="T216" s="212">
        <v>7615001</v>
      </c>
      <c r="U216" s="212">
        <v>6390473</v>
      </c>
      <c r="V216" s="205">
        <v>7843561</v>
      </c>
      <c r="W216" s="205">
        <f>ROUND(표9[[#This Row],[Apr 2026 (USD or KRW)]],0)</f>
        <v>0</v>
      </c>
      <c r="X216" s="212"/>
      <c r="Y216" s="206">
        <f>표9[[#This Row],[Apr 2027(KRW)]]-표9[[#This Row],[Mar 2026(KRW)]]</f>
        <v>-7843561</v>
      </c>
      <c r="Z216" s="213">
        <f t="shared" si="3"/>
        <v>-1</v>
      </c>
      <c r="AA216" s="208">
        <f>VLOOKUP(표9[[#This Row],[Team]],표1[],3,0)</f>
        <v>1000</v>
      </c>
    </row>
    <row r="217" spans="1:27" s="8" customFormat="1" ht="15">
      <c r="A217" s="214" t="str">
        <f>VLOOKUP($H217,AWS!$A:$H,2,0)</f>
        <v>AWS</v>
      </c>
      <c r="B217" s="214" t="str">
        <f>VLOOKUP($H217,AWS!$A:$H,3,0)</f>
        <v>KRAFTON HQ</v>
      </c>
      <c r="C217" s="209" t="str">
        <f>VLOOKUP($H217,AWS!$A:$H,4,0)</f>
        <v>KRAFTON HQ</v>
      </c>
      <c r="D217" s="214" t="str">
        <f>VLOOKUP($H217,AWS!$A:$H,5,0)</f>
        <v>Security Policy Part</v>
      </c>
      <c r="E217" s="214" t="str">
        <f>VLOOKUP($H217,AWS!$A:$H,6,0)</f>
        <v>OVERHEAD/OTHERS</v>
      </c>
      <c r="F217" s="202">
        <f>VLOOKUP(표9[[#This Row],[Team]],표1[[내역]:[코스트 센터]],2,0)</f>
        <v>101940</v>
      </c>
      <c r="G217" s="202" t="str">
        <f>VLOOKUP(표9[[#This Row],[Project]],표2[],2,0)</f>
        <v>I100099999</v>
      </c>
      <c r="H217" s="214" t="s">
        <v>244</v>
      </c>
      <c r="I217" s="214" t="str">
        <f>VLOOKUP($H217,AWS!$A:$H,8,0)</f>
        <v>조남원</v>
      </c>
      <c r="J217" s="214" t="str">
        <f>VLOOKUP($H217,AWS!$A:$H,8,0)</f>
        <v>조남원</v>
      </c>
      <c r="K217" s="187" t="s">
        <v>29</v>
      </c>
      <c r="L217" s="215"/>
      <c r="M217" s="216"/>
      <c r="N217" s="217"/>
      <c r="O217" s="217"/>
      <c r="P217" s="217"/>
      <c r="Q217" s="217"/>
      <c r="R217" s="217">
        <v>13078</v>
      </c>
      <c r="S217" s="217">
        <v>14670</v>
      </c>
      <c r="T217" s="212">
        <v>16856</v>
      </c>
      <c r="U217" s="212">
        <v>13249</v>
      </c>
      <c r="V217" s="205">
        <v>46805</v>
      </c>
      <c r="W217" s="205">
        <f>ROUND(표9[[#This Row],[Apr 2026 (USD or KRW)]],0)</f>
        <v>0</v>
      </c>
      <c r="X217" s="212"/>
      <c r="Y217" s="206">
        <f>표9[[#This Row],[Apr 2027(KRW)]]-표9[[#This Row],[Mar 2026(KRW)]]</f>
        <v>-46805</v>
      </c>
      <c r="Z217" s="213">
        <f t="shared" si="3"/>
        <v>-1</v>
      </c>
      <c r="AA217" s="208">
        <f>VLOOKUP(표9[[#This Row],[Team]],표1[],3,0)</f>
        <v>1000</v>
      </c>
    </row>
    <row r="218" spans="1:27" s="8" customFormat="1" ht="15">
      <c r="A218" s="214" t="str">
        <f>VLOOKUP($H218,AWS!$A:$H,2,0)</f>
        <v>AWS</v>
      </c>
      <c r="B218" s="214" t="str">
        <f>VLOOKUP($H218,AWS!$A:$H,3,0)</f>
        <v>KRAFTON HQ</v>
      </c>
      <c r="C218" s="209" t="str">
        <f>VLOOKUP($H218,AWS!$A:$H,4,0)</f>
        <v>KRAFTON HQ</v>
      </c>
      <c r="D218" s="214" t="str">
        <f>VLOOKUP($H218,AWS!$A:$H,5,0)</f>
        <v>Publishing Tech PM Part</v>
      </c>
      <c r="E218" s="214" t="str">
        <f>VLOOKUP($H218,AWS!$A:$H,6,0)</f>
        <v>OVERHEAD/OTHERS</v>
      </c>
      <c r="F218" s="202">
        <f>VLOOKUP(표9[[#This Row],[Team]],표1[[내역]:[코스트 센터]],2,0)</f>
        <v>101269</v>
      </c>
      <c r="G218" s="202" t="str">
        <f>VLOOKUP(표9[[#This Row],[Project]],표2[],2,0)</f>
        <v>I100099999</v>
      </c>
      <c r="H218" s="214" t="s">
        <v>245</v>
      </c>
      <c r="I218" s="214" t="str">
        <f>VLOOKUP($H218,AWS!$A:$H,8,0)</f>
        <v>김정언</v>
      </c>
      <c r="J218" s="214" t="str">
        <f>VLOOKUP($H218,AWS!$A:$H,8,0)</f>
        <v>김정언</v>
      </c>
      <c r="K218" s="187" t="s">
        <v>29</v>
      </c>
      <c r="L218" s="215"/>
      <c r="M218" s="216">
        <v>4955</v>
      </c>
      <c r="N218" s="217">
        <v>614502</v>
      </c>
      <c r="O218" s="217">
        <v>764256</v>
      </c>
      <c r="P218" s="217">
        <v>160018</v>
      </c>
      <c r="Q218" s="217">
        <v>436864</v>
      </c>
      <c r="R218" s="217">
        <v>426021</v>
      </c>
      <c r="S218" s="217">
        <v>459070</v>
      </c>
      <c r="T218" s="212">
        <v>461824</v>
      </c>
      <c r="U218" s="212">
        <v>400797</v>
      </c>
      <c r="V218" s="205">
        <v>472335</v>
      </c>
      <c r="W218" s="205">
        <f>ROUND(표9[[#This Row],[Apr 2026 (USD or KRW)]],0)</f>
        <v>0</v>
      </c>
      <c r="X218" s="212"/>
      <c r="Y218" s="206">
        <f>표9[[#This Row],[Apr 2027(KRW)]]-표9[[#This Row],[Mar 2026(KRW)]]</f>
        <v>-472335</v>
      </c>
      <c r="Z218" s="213">
        <f t="shared" si="3"/>
        <v>-1</v>
      </c>
      <c r="AA218" s="208">
        <f>VLOOKUP(표9[[#This Row],[Team]],표1[],3,0)</f>
        <v>1000</v>
      </c>
    </row>
    <row r="219" spans="1:27" s="8" customFormat="1" ht="15">
      <c r="A219" s="214" t="str">
        <f>VLOOKUP($H219,AWS!$A:$H,2,0)</f>
        <v>AWS</v>
      </c>
      <c r="B219" s="214" t="str">
        <f>VLOOKUP($H219,AWS!$A:$H,3,0)</f>
        <v>KRAFTON HQ</v>
      </c>
      <c r="C219" s="209" t="str">
        <f>VLOOKUP($H219,AWS!$A:$H,4,0)</f>
        <v>KRAFTON HQ</v>
      </c>
      <c r="D219" s="214" t="str">
        <f>VLOOKUP($H219,AWS!$A:$H,5,0)</f>
        <v>DevData Engineering Team</v>
      </c>
      <c r="E219" s="214" t="str">
        <f>VLOOKUP($H219,AWS!$A:$H,6,0)</f>
        <v>OVERHEAD/OTHERS</v>
      </c>
      <c r="F219" s="202">
        <f>VLOOKUP(표9[[#This Row],[Team]],표1[[내역]:[코스트 센터]],2,0)</f>
        <v>101721</v>
      </c>
      <c r="G219" s="202" t="str">
        <f>VLOOKUP(표9[[#This Row],[Project]],표2[],2,0)</f>
        <v>I100099999</v>
      </c>
      <c r="H219" s="214" t="s">
        <v>246</v>
      </c>
      <c r="I219" s="214" t="str">
        <f>VLOOKUP($H219,AWS!$A:$H,8,0)</f>
        <v>안연주</v>
      </c>
      <c r="J219" s="214" t="str">
        <f>VLOOKUP($H219,AWS!$A:$H,8,0)</f>
        <v>안연주</v>
      </c>
      <c r="K219" s="187" t="s">
        <v>29</v>
      </c>
      <c r="L219" s="215"/>
      <c r="M219" s="216"/>
      <c r="N219" s="217"/>
      <c r="O219" s="217">
        <v>12557</v>
      </c>
      <c r="P219" s="217">
        <v>488220</v>
      </c>
      <c r="Q219" s="217">
        <v>982437</v>
      </c>
      <c r="R219" s="217">
        <v>306400</v>
      </c>
      <c r="S219" s="217">
        <v>304473</v>
      </c>
      <c r="T219" s="212">
        <v>304754</v>
      </c>
      <c r="U219" s="212">
        <v>285358</v>
      </c>
      <c r="V219" s="205">
        <v>462723</v>
      </c>
      <c r="W219" s="205">
        <f>ROUND(표9[[#This Row],[Apr 2026 (USD or KRW)]],0)</f>
        <v>0</v>
      </c>
      <c r="X219" s="212"/>
      <c r="Y219" s="206">
        <f>표9[[#This Row],[Apr 2027(KRW)]]-표9[[#This Row],[Mar 2026(KRW)]]</f>
        <v>-462723</v>
      </c>
      <c r="Z219" s="213">
        <f t="shared" si="3"/>
        <v>-1</v>
      </c>
      <c r="AA219" s="208">
        <f>VLOOKUP(표9[[#This Row],[Team]],표1[],3,0)</f>
        <v>1000</v>
      </c>
    </row>
    <row r="220" spans="1:27" s="8" customFormat="1" ht="15">
      <c r="A220" s="214" t="str">
        <f>VLOOKUP($H220,AWS!$A:$H,2,0)</f>
        <v>AWS</v>
      </c>
      <c r="B220" s="214" t="str">
        <f>VLOOKUP($H220,AWS!$A:$H,3,0)</f>
        <v>KRAFTON HQ</v>
      </c>
      <c r="C220" s="209" t="str">
        <f>VLOOKUP($H220,AWS!$A:$H,4,0)</f>
        <v>KRAFTON HQ</v>
      </c>
      <c r="D220" s="214" t="str">
        <f>VLOOKUP($H220,AWS!$A:$H,5,0)</f>
        <v>DevData Engineering Team</v>
      </c>
      <c r="E220" s="214" t="str">
        <f>VLOOKUP($H220,AWS!$A:$H,6,0)</f>
        <v>SUBNAUTICA 2</v>
      </c>
      <c r="F220" s="202">
        <f>VLOOKUP(표9[[#This Row],[Team]],표1[[내역]:[코스트 센터]],2,0)</f>
        <v>101721</v>
      </c>
      <c r="G220" s="202" t="str">
        <f>VLOOKUP(표9[[#This Row],[Project]],표2[],2,0)</f>
        <v>P100010066</v>
      </c>
      <c r="H220" s="214" t="s">
        <v>247</v>
      </c>
      <c r="I220" s="214" t="str">
        <f>VLOOKUP($H220,AWS!$A:$H,8,0)</f>
        <v>안연주</v>
      </c>
      <c r="J220" s="214" t="str">
        <f>VLOOKUP($H220,AWS!$A:$H,8,0)</f>
        <v>안연주</v>
      </c>
      <c r="K220" s="187" t="s">
        <v>29</v>
      </c>
      <c r="L220" s="215"/>
      <c r="M220" s="216">
        <v>1161331</v>
      </c>
      <c r="N220" s="217">
        <v>206336</v>
      </c>
      <c r="O220" s="217">
        <v>66413</v>
      </c>
      <c r="P220" s="217">
        <v>99507</v>
      </c>
      <c r="Q220" s="217">
        <v>1049075</v>
      </c>
      <c r="R220" s="217">
        <v>1018354</v>
      </c>
      <c r="S220" s="217">
        <v>1056585</v>
      </c>
      <c r="T220" s="212">
        <v>965739</v>
      </c>
      <c r="U220" s="212">
        <v>1006846</v>
      </c>
      <c r="V220" s="205">
        <v>5549136</v>
      </c>
      <c r="W220" s="205">
        <f>ROUND(표9[[#This Row],[Apr 2026 (USD or KRW)]],0)</f>
        <v>0</v>
      </c>
      <c r="X220" s="212"/>
      <c r="Y220" s="206">
        <f>표9[[#This Row],[Apr 2027(KRW)]]-표9[[#This Row],[Mar 2026(KRW)]]</f>
        <v>-5549136</v>
      </c>
      <c r="Z220" s="213">
        <f t="shared" si="3"/>
        <v>-1</v>
      </c>
      <c r="AA220" s="208">
        <f>VLOOKUP(표9[[#This Row],[Team]],표1[],3,0)</f>
        <v>1000</v>
      </c>
    </row>
    <row r="221" spans="1:27" s="8" customFormat="1" ht="15">
      <c r="A221" s="214" t="str">
        <f>VLOOKUP($H221,AWS!$A:$H,2,0)</f>
        <v>AWS</v>
      </c>
      <c r="B221" s="214" t="str">
        <f>VLOOKUP($H221,AWS!$A:$H,3,0)</f>
        <v>KRAFTON HQ</v>
      </c>
      <c r="C221" s="209" t="str">
        <f>VLOOKUP($H221,AWS!$A:$H,4,0)</f>
        <v>KRAFTON HQ</v>
      </c>
      <c r="D221" s="214" t="str">
        <f>VLOOKUP($H221,AWS!$A:$H,5,0)</f>
        <v>DevData Engineering Team</v>
      </c>
      <c r="E221" s="214" t="str">
        <f>VLOOKUP($H221,AWS!$A:$H,6,0)</f>
        <v>SUBNAUTICA 2</v>
      </c>
      <c r="F221" s="202">
        <f>VLOOKUP(표9[[#This Row],[Team]],표1[[내역]:[코스트 센터]],2,0)</f>
        <v>101721</v>
      </c>
      <c r="G221" s="202" t="str">
        <f>VLOOKUP(표9[[#This Row],[Project]],표2[],2,0)</f>
        <v>P100010066</v>
      </c>
      <c r="H221" s="214" t="s">
        <v>248</v>
      </c>
      <c r="I221" s="214" t="str">
        <f>VLOOKUP($H221,AWS!$A:$H,8,0)</f>
        <v>안연주</v>
      </c>
      <c r="J221" s="214" t="str">
        <f>VLOOKUP($H221,AWS!$A:$H,8,0)</f>
        <v>안연주</v>
      </c>
      <c r="K221" s="187" t="s">
        <v>29</v>
      </c>
      <c r="L221" s="215">
        <v>1980166</v>
      </c>
      <c r="M221" s="216">
        <v>5332782</v>
      </c>
      <c r="N221" s="217">
        <v>4768448</v>
      </c>
      <c r="O221" s="217">
        <v>23577</v>
      </c>
      <c r="P221" s="217">
        <v>135957</v>
      </c>
      <c r="Q221" s="217">
        <v>3112919</v>
      </c>
      <c r="R221" s="217">
        <v>4384740</v>
      </c>
      <c r="S221" s="217">
        <v>4705714</v>
      </c>
      <c r="T221" s="212">
        <v>4495378</v>
      </c>
      <c r="U221" s="212">
        <v>4766146</v>
      </c>
      <c r="V221" s="205">
        <v>5212521</v>
      </c>
      <c r="W221" s="205">
        <f>ROUND(표9[[#This Row],[Apr 2026 (USD or KRW)]],0)</f>
        <v>0</v>
      </c>
      <c r="X221" s="212"/>
      <c r="Y221" s="206">
        <f>표9[[#This Row],[Apr 2027(KRW)]]-표9[[#This Row],[Mar 2026(KRW)]]</f>
        <v>-5212521</v>
      </c>
      <c r="Z221" s="213">
        <f t="shared" si="3"/>
        <v>-1</v>
      </c>
      <c r="AA221" s="208">
        <f>VLOOKUP(표9[[#This Row],[Team]],표1[],3,0)</f>
        <v>1000</v>
      </c>
    </row>
    <row r="222" spans="1:27" s="8" customFormat="1" ht="15">
      <c r="A222" s="209" t="str">
        <f>VLOOKUP($H222,AWS!$A:$H,2,0)</f>
        <v>AWS</v>
      </c>
      <c r="B222" s="209" t="str">
        <f>VLOOKUP($H222,AWS!$A:$H,3,0)</f>
        <v>KRAFTON HQ</v>
      </c>
      <c r="C222" s="209" t="str">
        <f>VLOOKUP($H222,AWS!$A:$H,4,0)</f>
        <v>Nautilus</v>
      </c>
      <c r="D222" s="214" t="str">
        <f>VLOOKUP($H222,AWS!$A:$H,5,0)</f>
        <v>IN Platform Business Team</v>
      </c>
      <c r="E222" s="214" t="str">
        <f>VLOOKUP($H222,AWS!$A:$H,6,0)</f>
        <v>OVERHEAD/OTHERS</v>
      </c>
      <c r="F222" s="202">
        <f>VLOOKUP(표9[[#This Row],[Team]],표1[[내역]:[코스트 센터]],2,0)</f>
        <v>290069</v>
      </c>
      <c r="G222" s="202" t="str">
        <f>VLOOKUP(표9[[#This Row],[Project]],표2[],2,0)</f>
        <v>I100099999</v>
      </c>
      <c r="H222" s="209" t="s">
        <v>249</v>
      </c>
      <c r="I222" s="219" t="str">
        <f>VLOOKUP($H222,AWS!$A:$H,8,0)</f>
        <v>Amit Hardi</v>
      </c>
      <c r="J222" s="214" t="str">
        <f>VLOOKUP($H222,AWS!$A:$H,8,0)</f>
        <v>Amit Hardi</v>
      </c>
      <c r="K222" s="186"/>
      <c r="L222" s="210"/>
      <c r="M222" s="211"/>
      <c r="N222" s="212"/>
      <c r="O222" s="212"/>
      <c r="P222" s="212"/>
      <c r="Q222" s="212"/>
      <c r="R222" s="212"/>
      <c r="S222" s="212"/>
      <c r="T222" s="212">
        <v>13362</v>
      </c>
      <c r="U222" s="212">
        <v>1435706</v>
      </c>
      <c r="V222" s="205">
        <v>4175979</v>
      </c>
      <c r="W222" s="205">
        <f>ROUND(표9[[#This Row],[Apr 2026 (USD or KRW)]],0)</f>
        <v>0</v>
      </c>
      <c r="X222" s="212"/>
      <c r="Y222" s="206">
        <f>표9[[#This Row],[Apr 2027(KRW)]]-표9[[#This Row],[Mar 2026(KRW)]]</f>
        <v>-4175979</v>
      </c>
      <c r="Z222" s="213">
        <f t="shared" si="3"/>
        <v>-1</v>
      </c>
      <c r="AA222" s="208">
        <f>VLOOKUP(표9[[#This Row],[Team]],표1[],3,0)</f>
        <v>2900</v>
      </c>
    </row>
    <row r="223" spans="1:27" s="8" customFormat="1" ht="15">
      <c r="A223" s="214" t="str">
        <f>VLOOKUP($H223,AWS!$A:$H,2,0)</f>
        <v>AWS</v>
      </c>
      <c r="B223" s="214" t="str">
        <f>VLOOKUP($H223,AWS!$A:$H,3,0)</f>
        <v>BLUEHOLE</v>
      </c>
      <c r="C223" s="209" t="str">
        <f>VLOOKUP($H223,AWS!$A:$H,4,0)</f>
        <v>BLUEHOLE</v>
      </c>
      <c r="D223" s="214" t="str">
        <f>VLOOKUP($H223,AWS!$A:$H,5,0)</f>
        <v>B_TERA2 R&amp;D Team</v>
      </c>
      <c r="E223" s="214" t="str">
        <f>VLOOKUP($H223,AWS!$A:$H,6,0)</f>
        <v>Tera2</v>
      </c>
      <c r="F223" s="202">
        <f>VLOOKUP(표9[[#This Row],[Team]],표1[[내역]:[코스트 센터]],2,0)</f>
        <v>110202</v>
      </c>
      <c r="G223" s="202" t="str">
        <f>VLOOKUP(표9[[#This Row],[Project]],표2[],2,0)</f>
        <v>P110010137</v>
      </c>
      <c r="H223" s="214" t="s">
        <v>250</v>
      </c>
      <c r="I223" s="214" t="str">
        <f>VLOOKUP($H223,AWS!$A:$H,8,0)</f>
        <v>한승환</v>
      </c>
      <c r="J223" s="214" t="str">
        <f>VLOOKUP($H223,AWS!$A:$H,8,0)</f>
        <v>한승환</v>
      </c>
      <c r="K223" s="187" t="s">
        <v>29</v>
      </c>
      <c r="L223" s="215"/>
      <c r="M223" s="216"/>
      <c r="N223" s="217"/>
      <c r="O223" s="217"/>
      <c r="P223" s="217">
        <v>7641</v>
      </c>
      <c r="Q223" s="217">
        <v>3605</v>
      </c>
      <c r="R223" s="217">
        <v>12074</v>
      </c>
      <c r="S223" s="217">
        <v>11654</v>
      </c>
      <c r="T223" s="212">
        <v>14033</v>
      </c>
      <c r="U223" s="212">
        <v>12128</v>
      </c>
      <c r="V223" s="205">
        <v>10709</v>
      </c>
      <c r="W223" s="205">
        <f>ROUND(표9[[#This Row],[Apr 2026 (USD or KRW)]],0)</f>
        <v>0</v>
      </c>
      <c r="X223" s="212"/>
      <c r="Y223" s="206">
        <f>표9[[#This Row],[Apr 2027(KRW)]]-표9[[#This Row],[Mar 2026(KRW)]]</f>
        <v>-10709</v>
      </c>
      <c r="Z223" s="213">
        <f t="shared" si="3"/>
        <v>-1</v>
      </c>
      <c r="AA223" s="208">
        <f>VLOOKUP(표9[[#This Row],[Team]],표1[],3,0)</f>
        <v>1100</v>
      </c>
    </row>
    <row r="224" spans="1:27" s="8" customFormat="1" ht="15">
      <c r="A224" s="214" t="str">
        <f>VLOOKUP($H224,AWS!$A:$H,2,0)</f>
        <v>AWS</v>
      </c>
      <c r="B224" s="214" t="str">
        <f>VLOOKUP($H224,AWS!$A:$H,3,0)</f>
        <v>KRAFTON HQ</v>
      </c>
      <c r="C224" s="209" t="str">
        <f>VLOOKUP($H224,AWS!$A:$H,4,0)</f>
        <v>KRAFTON HQ</v>
      </c>
      <c r="D224" s="214" t="str">
        <f>VLOOKUP($H224,AWS!$A:$H,5,0)</f>
        <v>Talent Acquisition Team</v>
      </c>
      <c r="E224" s="214" t="str">
        <f>VLOOKUP($H224,AWS!$A:$H,6,0)</f>
        <v>OVERHEAD/OTHERS</v>
      </c>
      <c r="F224" s="202">
        <f>VLOOKUP(표9[[#This Row],[Team]],표1[[내역]:[코스트 센터]],2,0)</f>
        <v>100552</v>
      </c>
      <c r="G224" s="202" t="str">
        <f>VLOOKUP(표9[[#This Row],[Project]],표2[],2,0)</f>
        <v>I100099999</v>
      </c>
      <c r="H224" s="214" t="s">
        <v>251</v>
      </c>
      <c r="I224" s="214" t="str">
        <f>VLOOKUP($H224,AWS!$A:$H,8,0)</f>
        <v>변현지</v>
      </c>
      <c r="J224" s="214" t="str">
        <f>VLOOKUP($H224,AWS!$A:$H,8,0)</f>
        <v>변현지</v>
      </c>
      <c r="K224" s="187" t="s">
        <v>29</v>
      </c>
      <c r="L224" s="215">
        <v>6469</v>
      </c>
      <c r="M224" s="216">
        <v>14481</v>
      </c>
      <c r="N224" s="217">
        <v>6505</v>
      </c>
      <c r="O224" s="217">
        <v>11663</v>
      </c>
      <c r="P224" s="217">
        <v>9349</v>
      </c>
      <c r="Q224" s="217">
        <v>9284</v>
      </c>
      <c r="R224" s="217">
        <v>10678</v>
      </c>
      <c r="S224" s="217">
        <v>11240</v>
      </c>
      <c r="T224" s="212">
        <v>11565</v>
      </c>
      <c r="U224" s="212">
        <v>9877</v>
      </c>
      <c r="V224" s="205">
        <v>16522</v>
      </c>
      <c r="W224" s="205">
        <f>ROUND(표9[[#This Row],[Apr 2026 (USD or KRW)]],0)</f>
        <v>0</v>
      </c>
      <c r="X224" s="212"/>
      <c r="Y224" s="206">
        <f>표9[[#This Row],[Apr 2027(KRW)]]-표9[[#This Row],[Mar 2026(KRW)]]</f>
        <v>-16522</v>
      </c>
      <c r="Z224" s="213">
        <f t="shared" si="3"/>
        <v>-1</v>
      </c>
      <c r="AA224" s="208">
        <f>VLOOKUP(표9[[#This Row],[Team]],표1[],3,0)</f>
        <v>1000</v>
      </c>
    </row>
    <row r="225" spans="1:27" s="8" customFormat="1" ht="15">
      <c r="A225" s="214" t="str">
        <f>VLOOKUP($H225,AWS!$A:$H,2,0)</f>
        <v>AWS</v>
      </c>
      <c r="B225" s="214" t="str">
        <f>VLOOKUP($H225,AWS!$A:$H,3,0)</f>
        <v>KRAFTON HQ</v>
      </c>
      <c r="C225" s="209" t="str">
        <f>VLOOKUP($H225,AWS!$A:$H,4,0)</f>
        <v>Tango Gameworks</v>
      </c>
      <c r="D225" s="214" t="str">
        <f>VLOOKUP($H225,AWS!$A:$H,5,0)</f>
        <v>TGW IT Team</v>
      </c>
      <c r="E225" s="214" t="str">
        <f>VLOOKUP($H225,AWS!$A:$H,6,0)</f>
        <v>OVERHEAD/OTHERS</v>
      </c>
      <c r="F225" s="202">
        <f>VLOOKUP(표9[[#This Row],[Team]],표1[[내역]:[코스트 센터]],2,0)</f>
        <v>490003</v>
      </c>
      <c r="G225" s="202" t="str">
        <f>VLOOKUP(표9[[#This Row],[Project]],표2[],2,0)</f>
        <v>I100099999</v>
      </c>
      <c r="H225" s="214" t="s">
        <v>252</v>
      </c>
      <c r="I225" s="214" t="str">
        <f>VLOOKUP($H225,AWS!$A:$H,8,0)</f>
        <v>안연주</v>
      </c>
      <c r="J225" s="214" t="str">
        <f>VLOOKUP($H225,AWS!$A:$H,8,0)</f>
        <v>안연주</v>
      </c>
      <c r="K225" s="187" t="s">
        <v>29</v>
      </c>
      <c r="L225" s="215">
        <v>859734</v>
      </c>
      <c r="M225" s="216">
        <v>863859</v>
      </c>
      <c r="N225" s="217">
        <v>852610</v>
      </c>
      <c r="O225" s="217">
        <v>859209</v>
      </c>
      <c r="P225" s="217">
        <v>819580</v>
      </c>
      <c r="Q225" s="217">
        <v>875797</v>
      </c>
      <c r="R225" s="217">
        <v>865537</v>
      </c>
      <c r="S225" s="217">
        <v>913051</v>
      </c>
      <c r="T225" s="212">
        <v>863269</v>
      </c>
      <c r="U225" s="212">
        <v>766731</v>
      </c>
      <c r="V225" s="205">
        <v>891036</v>
      </c>
      <c r="W225" s="205">
        <f>ROUND(표9[[#This Row],[Apr 2026 (USD or KRW)]],0)</f>
        <v>0</v>
      </c>
      <c r="X225" s="212"/>
      <c r="Y225" s="206">
        <f>표9[[#This Row],[Apr 2027(KRW)]]-표9[[#This Row],[Mar 2026(KRW)]]</f>
        <v>-891036</v>
      </c>
      <c r="Z225" s="213">
        <f t="shared" si="3"/>
        <v>-1</v>
      </c>
      <c r="AA225" s="208">
        <f>VLOOKUP(표9[[#This Row],[Team]],표1[],3,0)</f>
        <v>4900</v>
      </c>
    </row>
    <row r="226" spans="1:27" s="8" customFormat="1" ht="15">
      <c r="A226" s="214" t="str">
        <f>VLOOKUP($H226,AWS!$A:$H,2,0)</f>
        <v>AWS</v>
      </c>
      <c r="B226" s="214" t="str">
        <f>VLOOKUP($H226,AWS!$A:$H,3,0)</f>
        <v>KRAFTON HQ</v>
      </c>
      <c r="C226" s="209" t="str">
        <f>VLOOKUP($H226,AWS!$A:$H,4,0)</f>
        <v>PUBG STUDIO</v>
      </c>
      <c r="D226" s="214" t="str">
        <f>VLOOKUP($H226,AWS!$A:$H,5,0)</f>
        <v>Game Security Engineering Dept.</v>
      </c>
      <c r="E226" s="214" t="str">
        <f>VLOOKUP($H226,AWS!$A:$H,6,0)</f>
        <v>UROPA_mobile</v>
      </c>
      <c r="F226" s="202">
        <f>VLOOKUP(표9[[#This Row],[Team]],표1[[내역]:[코스트 센터]],2,0)</f>
        <v>100415</v>
      </c>
      <c r="G226" s="202" t="str">
        <f>VLOOKUP(표9[[#This Row],[Project]],표2[],2,0)</f>
        <v>P100030092</v>
      </c>
      <c r="H226" s="214" t="s">
        <v>253</v>
      </c>
      <c r="I226" s="214" t="str">
        <f>VLOOKUP($H226,AWS!$A:$H,8,0)</f>
        <v>황범석</v>
      </c>
      <c r="J226" s="214" t="str">
        <f>VLOOKUP($H226,AWS!$A:$H,8,0)</f>
        <v>황범석</v>
      </c>
      <c r="K226" s="187" t="s">
        <v>29</v>
      </c>
      <c r="L226" s="215">
        <v>1602672</v>
      </c>
      <c r="M226" s="216">
        <v>1549619</v>
      </c>
      <c r="N226" s="217">
        <v>1640930</v>
      </c>
      <c r="O226" s="217">
        <v>1628099</v>
      </c>
      <c r="P226" s="217">
        <v>1633951</v>
      </c>
      <c r="Q226" s="217">
        <v>1803956</v>
      </c>
      <c r="R226" s="217">
        <v>1787305</v>
      </c>
      <c r="S226" s="217">
        <v>1812102</v>
      </c>
      <c r="T226" s="212">
        <v>1750939</v>
      </c>
      <c r="U226" s="212">
        <v>1488547</v>
      </c>
      <c r="V226" s="205">
        <v>1719292</v>
      </c>
      <c r="W226" s="205">
        <f>ROUND(표9[[#This Row],[Apr 2026 (USD or KRW)]],0)</f>
        <v>0</v>
      </c>
      <c r="X226" s="212"/>
      <c r="Y226" s="206">
        <f>표9[[#This Row],[Apr 2027(KRW)]]-표9[[#This Row],[Mar 2026(KRW)]]</f>
        <v>-1719292</v>
      </c>
      <c r="Z226" s="213">
        <f t="shared" si="3"/>
        <v>-1</v>
      </c>
      <c r="AA226" s="208">
        <f>VLOOKUP(표9[[#This Row],[Team]],표1[],3,0)</f>
        <v>1000</v>
      </c>
    </row>
    <row r="227" spans="1:27" s="8" customFormat="1" ht="15">
      <c r="A227" s="214" t="str">
        <f>VLOOKUP($H227,AWS!$A:$H,2,0)</f>
        <v>AWS</v>
      </c>
      <c r="B227" s="214" t="str">
        <f>VLOOKUP($H227,AWS!$A:$H,3,0)</f>
        <v>KRAFTON HQ</v>
      </c>
      <c r="C227" s="209" t="str">
        <f>VLOOKUP($H227,AWS!$A:$H,4,0)</f>
        <v>KRAFTON HQ</v>
      </c>
      <c r="D227" s="214" t="str">
        <f>VLOOKUP($H227,AWS!$A:$H,5,0)</f>
        <v>DevData Engineering Team</v>
      </c>
      <c r="E227" s="214" t="str">
        <f>VLOOKUP($H227,AWS!$A:$H,6,0)</f>
        <v>Project Zeta</v>
      </c>
      <c r="F227" s="202">
        <f>VLOOKUP(표9[[#This Row],[Team]],표1[[내역]:[코스트 센터]],2,0)</f>
        <v>101721</v>
      </c>
      <c r="G227" s="202" t="str">
        <f>VLOOKUP(표9[[#This Row],[Project]],표2[],2,0)</f>
        <v>P100010842</v>
      </c>
      <c r="H227" s="209" t="s">
        <v>254</v>
      </c>
      <c r="I227" s="214" t="str">
        <f>VLOOKUP($H227,AWS!$A:$H,8,0)</f>
        <v>안연주</v>
      </c>
      <c r="J227" s="214" t="str">
        <f>VLOOKUP($H227,AWS!$A:$H,8,0)</f>
        <v>안연주</v>
      </c>
      <c r="K227" s="187" t="s">
        <v>29</v>
      </c>
      <c r="L227" s="215"/>
      <c r="M227" s="216"/>
      <c r="N227" s="217"/>
      <c r="O227" s="217"/>
      <c r="P227" s="217"/>
      <c r="Q227" s="217"/>
      <c r="R227" s="217">
        <v>4639865</v>
      </c>
      <c r="S227" s="217">
        <v>337367</v>
      </c>
      <c r="T227" s="212">
        <v>12054752</v>
      </c>
      <c r="U227" s="212">
        <v>6879192</v>
      </c>
      <c r="V227" s="205">
        <v>244822</v>
      </c>
      <c r="W227" s="205">
        <f>ROUND(표9[[#This Row],[Apr 2026 (USD or KRW)]],0)</f>
        <v>0</v>
      </c>
      <c r="X227" s="212"/>
      <c r="Y227" s="206">
        <f>표9[[#This Row],[Apr 2027(KRW)]]-표9[[#This Row],[Mar 2026(KRW)]]</f>
        <v>-244822</v>
      </c>
      <c r="Z227" s="213">
        <f t="shared" si="3"/>
        <v>-1</v>
      </c>
      <c r="AA227" s="208">
        <f>VLOOKUP(표9[[#This Row],[Team]],표1[],3,0)</f>
        <v>1000</v>
      </c>
    </row>
    <row r="228" spans="1:27" s="8" customFormat="1" ht="15">
      <c r="A228" s="214" t="str">
        <f>VLOOKUP($H228,AWS!$A:$H,2,0)</f>
        <v>AWS</v>
      </c>
      <c r="B228" s="214" t="str">
        <f>VLOOKUP($H228,AWS!$A:$H,3,0)</f>
        <v>KRAFTON HQ</v>
      </c>
      <c r="C228" s="209" t="str">
        <f>VLOOKUP($H228,AWS!$A:$H,4,0)</f>
        <v>KRAFTON HQ</v>
      </c>
      <c r="D228" s="214" t="str">
        <f>VLOOKUP($H228,AWS!$A:$H,5,0)</f>
        <v>DevData Engineering Team</v>
      </c>
      <c r="E228" s="214" t="str">
        <f>VLOOKUP($H228,AWS!$A:$H,6,0)</f>
        <v>Project Zeta</v>
      </c>
      <c r="F228" s="202">
        <f>VLOOKUP(표9[[#This Row],[Team]],표1[[내역]:[코스트 센터]],2,0)</f>
        <v>101721</v>
      </c>
      <c r="G228" s="202" t="str">
        <f>VLOOKUP(표9[[#This Row],[Project]],표2[],2,0)</f>
        <v>P100010842</v>
      </c>
      <c r="H228" s="214" t="s">
        <v>255</v>
      </c>
      <c r="I228" s="214" t="str">
        <f>VLOOKUP($H228,AWS!$A:$H,8,0)</f>
        <v>안연주</v>
      </c>
      <c r="J228" s="214" t="str">
        <f>VLOOKUP($H228,AWS!$A:$H,8,0)</f>
        <v>안연주</v>
      </c>
      <c r="K228" s="187" t="s">
        <v>29</v>
      </c>
      <c r="L228" s="215">
        <v>786948</v>
      </c>
      <c r="M228" s="216">
        <v>2251252</v>
      </c>
      <c r="N228" s="217">
        <v>2577413</v>
      </c>
      <c r="O228" s="217">
        <v>3259350</v>
      </c>
      <c r="P228" s="217">
        <v>5158343</v>
      </c>
      <c r="Q228" s="217">
        <v>5861986</v>
      </c>
      <c r="R228" s="217">
        <v>6266277</v>
      </c>
      <c r="S228" s="217">
        <v>6678906</v>
      </c>
      <c r="T228" s="212">
        <v>4920593</v>
      </c>
      <c r="U228" s="212">
        <v>7029427</v>
      </c>
      <c r="V228" s="205">
        <v>265342</v>
      </c>
      <c r="W228" s="205">
        <f>ROUND(표9[[#This Row],[Apr 2026 (USD or KRW)]],0)</f>
        <v>0</v>
      </c>
      <c r="X228" s="212"/>
      <c r="Y228" s="206">
        <f>표9[[#This Row],[Apr 2027(KRW)]]-표9[[#This Row],[Mar 2026(KRW)]]</f>
        <v>-265342</v>
      </c>
      <c r="Z228" s="213">
        <f t="shared" si="3"/>
        <v>-1</v>
      </c>
      <c r="AA228" s="208">
        <f>VLOOKUP(표9[[#This Row],[Team]],표1[],3,0)</f>
        <v>1000</v>
      </c>
    </row>
    <row r="229" spans="1:27" s="8" customFormat="1" ht="15">
      <c r="A229" s="214" t="str">
        <f>VLOOKUP($H229,AWS!$A:$H,2,0)</f>
        <v>AWS</v>
      </c>
      <c r="B229" s="214" t="str">
        <f>VLOOKUP($H229,AWS!$A:$H,3,0)</f>
        <v>KRAFTON HQ</v>
      </c>
      <c r="C229" s="209" t="str">
        <f>VLOOKUP($H229,AWS!$A:$H,4,0)</f>
        <v>KRAFTON HQ</v>
      </c>
      <c r="D229" s="214" t="str">
        <f>VLOOKUP($H229,AWS!$A:$H,5,0)</f>
        <v>DevData Engineering Team</v>
      </c>
      <c r="E229" s="214" t="str">
        <f>VLOOKUP($H229,AWS!$A:$H,6,0)</f>
        <v>inZOI</v>
      </c>
      <c r="F229" s="202">
        <f>VLOOKUP(표9[[#This Row],[Team]],표1[[내역]:[코스트 센터]],2,0)</f>
        <v>101721</v>
      </c>
      <c r="G229" s="202" t="str">
        <f>VLOOKUP(표9[[#This Row],[Project]],표2[],2,0)</f>
        <v>P100010055</v>
      </c>
      <c r="H229" s="209" t="s">
        <v>256</v>
      </c>
      <c r="I229" s="214" t="str">
        <f>VLOOKUP($H229,AWS!$A:$H,8,0)</f>
        <v>안연주</v>
      </c>
      <c r="J229" s="214" t="str">
        <f>VLOOKUP($H229,AWS!$A:$H,8,0)</f>
        <v>안연주</v>
      </c>
      <c r="K229" s="187" t="s">
        <v>29</v>
      </c>
      <c r="L229" s="215"/>
      <c r="M229" s="216"/>
      <c r="N229" s="217"/>
      <c r="O229" s="217"/>
      <c r="P229" s="217">
        <v>7070</v>
      </c>
      <c r="Q229" s="217">
        <v>467696</v>
      </c>
      <c r="R229" s="217">
        <v>1051493</v>
      </c>
      <c r="S229" s="217">
        <v>1460019</v>
      </c>
      <c r="T229" s="212">
        <v>2097111</v>
      </c>
      <c r="U229" s="212">
        <v>2843218</v>
      </c>
      <c r="V229" s="205">
        <v>1852601</v>
      </c>
      <c r="W229" s="205">
        <f>ROUND(표9[[#This Row],[Apr 2026 (USD or KRW)]],0)</f>
        <v>0</v>
      </c>
      <c r="X229" s="212"/>
      <c r="Y229" s="206">
        <f>표9[[#This Row],[Apr 2027(KRW)]]-표9[[#This Row],[Mar 2026(KRW)]]</f>
        <v>-1852601</v>
      </c>
      <c r="Z229" s="213">
        <f t="shared" si="3"/>
        <v>-1</v>
      </c>
      <c r="AA229" s="208">
        <f>VLOOKUP(표9[[#This Row],[Team]],표1[],3,0)</f>
        <v>1000</v>
      </c>
    </row>
    <row r="230" spans="1:27" s="8" customFormat="1" ht="15">
      <c r="A230" s="209" t="str">
        <f>VLOOKUP($H230,AWS!$A:$H,2,0)</f>
        <v>AWS</v>
      </c>
      <c r="B230" s="209" t="str">
        <f>VLOOKUP($H230,AWS!$A:$H,3,0)</f>
        <v>Neptune</v>
      </c>
      <c r="C230" s="209" t="str">
        <f>VLOOKUP($H230,AWS!$A:$H,4,0)</f>
        <v>Neptune</v>
      </c>
      <c r="D230" s="214">
        <f>VLOOKUP($H230,AWS!$A:$H,5,0)</f>
        <v>0</v>
      </c>
      <c r="E230" s="214">
        <f>VLOOKUP($H230,AWS!$A:$H,6,0)</f>
        <v>0</v>
      </c>
      <c r="F230" s="202" t="e">
        <f>VLOOKUP(표9[[#This Row],[Team]],표1[[내역]:[코스트 센터]],2,0)</f>
        <v>#N/A</v>
      </c>
      <c r="G230" s="202" t="e">
        <f>VLOOKUP(표9[[#This Row],[Project]],표2[],2,0)</f>
        <v>#N/A</v>
      </c>
      <c r="H230" s="209" t="s">
        <v>257</v>
      </c>
      <c r="I230" s="209">
        <f>VLOOKUP($H230,AWS!$A:$H,7,0)</f>
        <v>0</v>
      </c>
      <c r="J230" s="214">
        <f>VLOOKUP($H230,AWS!$A:$H,8,0)</f>
        <v>0</v>
      </c>
      <c r="K230" s="186"/>
      <c r="L230" s="210"/>
      <c r="M230" s="211"/>
      <c r="N230" s="212">
        <v>25769575</v>
      </c>
      <c r="O230" s="212">
        <v>25881979</v>
      </c>
      <c r="P230" s="212">
        <v>25130570</v>
      </c>
      <c r="Q230" s="212">
        <v>26520566</v>
      </c>
      <c r="R230" s="212">
        <v>26418486</v>
      </c>
      <c r="S230" s="212">
        <v>26691780</v>
      </c>
      <c r="T230" s="212">
        <v>26474500</v>
      </c>
      <c r="U230" s="212">
        <v>23873735</v>
      </c>
      <c r="V230" s="205">
        <v>28311969</v>
      </c>
      <c r="W230" s="205">
        <f>ROUND(표9[[#This Row],[Apr 2026 (USD or KRW)]],0)</f>
        <v>0</v>
      </c>
      <c r="X230" s="212"/>
      <c r="Y230" s="206">
        <f>표9[[#This Row],[Apr 2027(KRW)]]-표9[[#This Row],[Mar 2026(KRW)]]</f>
        <v>-28311969</v>
      </c>
      <c r="Z230" s="213">
        <f t="shared" si="3"/>
        <v>-1</v>
      </c>
      <c r="AA230" s="208" t="e">
        <f>VLOOKUP(표9[[#This Row],[Team]],표1[],3,0)</f>
        <v>#N/A</v>
      </c>
    </row>
    <row r="231" spans="1:27" s="8" customFormat="1" ht="15">
      <c r="A231" s="209" t="str">
        <f>VLOOKUP($H231,AWS!$A:$H,2,0)</f>
        <v>AWS</v>
      </c>
      <c r="B231" s="209" t="str">
        <f>VLOOKUP($H231,AWS!$A:$H,3,0)</f>
        <v>Neptune</v>
      </c>
      <c r="C231" s="209" t="str">
        <f>VLOOKUP($H231,AWS!$A:$H,4,0)</f>
        <v>Neptune</v>
      </c>
      <c r="D231" s="214">
        <f>VLOOKUP($H231,AWS!$A:$H,5,0)</f>
        <v>0</v>
      </c>
      <c r="E231" s="214">
        <f>VLOOKUP($H231,AWS!$A:$H,6,0)</f>
        <v>0</v>
      </c>
      <c r="F231" s="202" t="e">
        <f>VLOOKUP(표9[[#This Row],[Team]],표1[[내역]:[코스트 센터]],2,0)</f>
        <v>#N/A</v>
      </c>
      <c r="G231" s="202" t="e">
        <f>VLOOKUP(표9[[#This Row],[Project]],표2[],2,0)</f>
        <v>#N/A</v>
      </c>
      <c r="H231" s="209" t="s">
        <v>258</v>
      </c>
      <c r="I231" s="209">
        <f>VLOOKUP($H231,AWS!$A:$H,7,0)</f>
        <v>0</v>
      </c>
      <c r="J231" s="214">
        <f>VLOOKUP($H231,AWS!$A:$H,8,0)</f>
        <v>0</v>
      </c>
      <c r="K231" s="186"/>
      <c r="L231" s="210"/>
      <c r="M231" s="211"/>
      <c r="N231" s="212">
        <v>10195325</v>
      </c>
      <c r="O231" s="212">
        <v>10254510</v>
      </c>
      <c r="P231" s="212">
        <v>10229186</v>
      </c>
      <c r="Q231" s="212">
        <v>11118355</v>
      </c>
      <c r="R231" s="212">
        <v>11159280</v>
      </c>
      <c r="S231" s="212">
        <v>11306239</v>
      </c>
      <c r="T231" s="212">
        <v>11186419</v>
      </c>
      <c r="U231" s="212">
        <v>9463041</v>
      </c>
      <c r="V231" s="205">
        <v>11145359</v>
      </c>
      <c r="W231" s="205">
        <f>ROUND(표9[[#This Row],[Apr 2026 (USD or KRW)]],0)</f>
        <v>0</v>
      </c>
      <c r="X231" s="212"/>
      <c r="Y231" s="206">
        <f>표9[[#This Row],[Apr 2027(KRW)]]-표9[[#This Row],[Mar 2026(KRW)]]</f>
        <v>-11145359</v>
      </c>
      <c r="Z231" s="213">
        <f t="shared" si="3"/>
        <v>-1</v>
      </c>
      <c r="AA231" s="208" t="e">
        <f>VLOOKUP(표9[[#This Row],[Team]],표1[],3,0)</f>
        <v>#N/A</v>
      </c>
    </row>
    <row r="232" spans="1:27" s="8" customFormat="1" ht="15">
      <c r="A232" s="209" t="str">
        <f>VLOOKUP($H232,AWS!$A:$H,2,0)</f>
        <v>AWS</v>
      </c>
      <c r="B232" s="209" t="str">
        <f>VLOOKUP($H232,AWS!$A:$H,3,0)</f>
        <v>Neptune</v>
      </c>
      <c r="C232" s="209" t="str">
        <f>VLOOKUP($H232,AWS!$A:$H,4,0)</f>
        <v>Neptune</v>
      </c>
      <c r="D232" s="214">
        <f>VLOOKUP($H232,AWS!$A:$H,5,0)</f>
        <v>0</v>
      </c>
      <c r="E232" s="214">
        <f>VLOOKUP($H232,AWS!$A:$H,6,0)</f>
        <v>0</v>
      </c>
      <c r="F232" s="202" t="e">
        <f>VLOOKUP(표9[[#This Row],[Team]],표1[[내역]:[코스트 센터]],2,0)</f>
        <v>#N/A</v>
      </c>
      <c r="G232" s="202" t="e">
        <f>VLOOKUP(표9[[#This Row],[Project]],표2[],2,0)</f>
        <v>#N/A</v>
      </c>
      <c r="H232" s="209" t="s">
        <v>259</v>
      </c>
      <c r="I232" s="209">
        <f>VLOOKUP($H232,AWS!$A:$H,7,0)</f>
        <v>0</v>
      </c>
      <c r="J232" s="214">
        <f>VLOOKUP($H232,AWS!$A:$H,8,0)</f>
        <v>0</v>
      </c>
      <c r="K232" s="186"/>
      <c r="L232" s="210"/>
      <c r="M232" s="211"/>
      <c r="N232" s="212">
        <v>900897</v>
      </c>
      <c r="O232" s="212">
        <v>897076</v>
      </c>
      <c r="P232" s="212">
        <v>871353</v>
      </c>
      <c r="Q232" s="212">
        <v>944926</v>
      </c>
      <c r="R232" s="212">
        <v>929427</v>
      </c>
      <c r="S232" s="212">
        <v>953233</v>
      </c>
      <c r="T232" s="212">
        <v>892668</v>
      </c>
      <c r="U232" s="212">
        <v>766961</v>
      </c>
      <c r="V232" s="205">
        <v>884094</v>
      </c>
      <c r="W232" s="205">
        <f>ROUND(표9[[#This Row],[Apr 2026 (USD or KRW)]],0)</f>
        <v>0</v>
      </c>
      <c r="X232" s="212"/>
      <c r="Y232" s="206">
        <f>표9[[#This Row],[Apr 2027(KRW)]]-표9[[#This Row],[Mar 2026(KRW)]]</f>
        <v>-884094</v>
      </c>
      <c r="Z232" s="213">
        <f t="shared" si="3"/>
        <v>-1</v>
      </c>
      <c r="AA232" s="208" t="e">
        <f>VLOOKUP(표9[[#This Row],[Team]],표1[],3,0)</f>
        <v>#N/A</v>
      </c>
    </row>
    <row r="233" spans="1:27" s="8" customFormat="1" ht="15">
      <c r="A233" s="209" t="str">
        <f>VLOOKUP($H233,AWS!$A:$H,2,0)</f>
        <v>AWS</v>
      </c>
      <c r="B233" s="209" t="str">
        <f>VLOOKUP($H233,AWS!$A:$H,3,0)</f>
        <v>Neptune</v>
      </c>
      <c r="C233" s="209" t="str">
        <f>VLOOKUP($H233,AWS!$A:$H,4,0)</f>
        <v>Neptune</v>
      </c>
      <c r="D233" s="214">
        <f>VLOOKUP($H233,AWS!$A:$H,5,0)</f>
        <v>0</v>
      </c>
      <c r="E233" s="214">
        <f>VLOOKUP($H233,AWS!$A:$H,6,0)</f>
        <v>0</v>
      </c>
      <c r="F233" s="202" t="e">
        <f>VLOOKUP(표9[[#This Row],[Team]],표1[[내역]:[코스트 센터]],2,0)</f>
        <v>#N/A</v>
      </c>
      <c r="G233" s="202" t="e">
        <f>VLOOKUP(표9[[#This Row],[Project]],표2[],2,0)</f>
        <v>#N/A</v>
      </c>
      <c r="H233" s="209" t="s">
        <v>260</v>
      </c>
      <c r="I233" s="209">
        <f>VLOOKUP($H233,AWS!$A:$H,7,0)</f>
        <v>0</v>
      </c>
      <c r="J233" s="214">
        <f>VLOOKUP($H233,AWS!$A:$H,8,0)</f>
        <v>0</v>
      </c>
      <c r="K233" s="186"/>
      <c r="L233" s="210"/>
      <c r="M233" s="211"/>
      <c r="N233" s="212">
        <v>2183253</v>
      </c>
      <c r="O233" s="212">
        <v>2147822</v>
      </c>
      <c r="P233" s="212">
        <v>2085562</v>
      </c>
      <c r="Q233" s="212">
        <v>2294815</v>
      </c>
      <c r="R233" s="212">
        <v>2239185</v>
      </c>
      <c r="S233" s="212">
        <v>2313401</v>
      </c>
      <c r="T233" s="212">
        <v>2121487</v>
      </c>
      <c r="U233" s="212">
        <v>1763184</v>
      </c>
      <c r="V233" s="205">
        <v>2052137</v>
      </c>
      <c r="W233" s="205">
        <f>ROUND(표9[[#This Row],[Apr 2026 (USD or KRW)]],0)</f>
        <v>0</v>
      </c>
      <c r="X233" s="212"/>
      <c r="Y233" s="206">
        <f>표9[[#This Row],[Apr 2027(KRW)]]-표9[[#This Row],[Mar 2026(KRW)]]</f>
        <v>-2052137</v>
      </c>
      <c r="Z233" s="213">
        <f t="shared" si="3"/>
        <v>-1</v>
      </c>
      <c r="AA233" s="208" t="e">
        <f>VLOOKUP(표9[[#This Row],[Team]],표1[],3,0)</f>
        <v>#N/A</v>
      </c>
    </row>
    <row r="234" spans="1:27" s="8" customFormat="1" ht="15">
      <c r="A234" s="209" t="str">
        <f>VLOOKUP($H234,AWS!$A:$H,2,0)</f>
        <v>AWS</v>
      </c>
      <c r="B234" s="209" t="str">
        <f>VLOOKUP($H234,AWS!$A:$H,3,0)</f>
        <v>Neptune</v>
      </c>
      <c r="C234" s="209" t="str">
        <f>VLOOKUP($H234,AWS!$A:$H,4,0)</f>
        <v>Neptune</v>
      </c>
      <c r="D234" s="214">
        <f>VLOOKUP($H234,AWS!$A:$H,5,0)</f>
        <v>0</v>
      </c>
      <c r="E234" s="214">
        <f>VLOOKUP($H234,AWS!$A:$H,6,0)</f>
        <v>0</v>
      </c>
      <c r="F234" s="202" t="e">
        <f>VLOOKUP(표9[[#This Row],[Team]],표1[[내역]:[코스트 센터]],2,0)</f>
        <v>#N/A</v>
      </c>
      <c r="G234" s="202" t="e">
        <f>VLOOKUP(표9[[#This Row],[Project]],표2[],2,0)</f>
        <v>#N/A</v>
      </c>
      <c r="H234" s="209" t="s">
        <v>261</v>
      </c>
      <c r="I234" s="209">
        <f>VLOOKUP($H234,AWS!$A:$H,7,0)</f>
        <v>0</v>
      </c>
      <c r="J234" s="214">
        <f>VLOOKUP($H234,AWS!$A:$H,8,0)</f>
        <v>0</v>
      </c>
      <c r="K234" s="186"/>
      <c r="L234" s="210"/>
      <c r="M234" s="211"/>
      <c r="N234" s="212"/>
      <c r="O234" s="212"/>
      <c r="P234" s="212"/>
      <c r="Q234" s="212"/>
      <c r="R234" s="212"/>
      <c r="S234" s="212">
        <v>11550</v>
      </c>
      <c r="T234" s="212">
        <v>155268</v>
      </c>
      <c r="U234" s="212">
        <v>1090609</v>
      </c>
      <c r="V234" s="205">
        <v>1371347</v>
      </c>
      <c r="W234" s="205">
        <f>ROUND(표9[[#This Row],[Apr 2026 (USD or KRW)]],0)</f>
        <v>0</v>
      </c>
      <c r="X234" s="212"/>
      <c r="Y234" s="206">
        <f>표9[[#This Row],[Apr 2027(KRW)]]-표9[[#This Row],[Mar 2026(KRW)]]</f>
        <v>-1371347</v>
      </c>
      <c r="Z234" s="213">
        <f t="shared" si="3"/>
        <v>-1</v>
      </c>
      <c r="AA234" s="208" t="e">
        <f>VLOOKUP(표9[[#This Row],[Team]],표1[],3,0)</f>
        <v>#N/A</v>
      </c>
    </row>
    <row r="235" spans="1:27" s="8" customFormat="1" ht="15">
      <c r="A235" s="214" t="str">
        <f>VLOOKUP($H235,AWS!$A:$H,2,0)</f>
        <v>AWS</v>
      </c>
      <c r="B235" s="214" t="str">
        <f>VLOOKUP($H235,AWS!$A:$H,3,0)</f>
        <v>KRAFTON HQ</v>
      </c>
      <c r="C235" s="209" t="str">
        <f>VLOOKUP($H235,AWS!$A:$H,4,0)</f>
        <v>PUBG STUDIO</v>
      </c>
      <c r="D235" s="214" t="str">
        <f>VLOOKUP($H235,AWS!$A:$H,5,0)</f>
        <v>PUBG PC&amp;Console Dev Div.</v>
      </c>
      <c r="E235" s="214" t="str">
        <f>VLOOKUP($H235,AWS!$A:$H,6,0)</f>
        <v>BATTLEGROUNDS_PC/CONSOLE</v>
      </c>
      <c r="F235" s="202">
        <f>VLOOKUP(표9[[#This Row],[Team]],표1[[내역]:[코스트 센터]],2,0)</f>
        <v>100414</v>
      </c>
      <c r="G235" s="202" t="str">
        <f>VLOOKUP(표9[[#This Row],[Project]],표2[],2,0)</f>
        <v>P100010012</v>
      </c>
      <c r="H235" s="214" t="s">
        <v>262</v>
      </c>
      <c r="I235" s="214" t="str">
        <f>VLOOKUP($H235,AWS!$A:$H,8,0)</f>
        <v>최준석</v>
      </c>
      <c r="J235" s="214" t="str">
        <f>VLOOKUP($H235,AWS!$A:$H,8,0)</f>
        <v>최준석</v>
      </c>
      <c r="K235" s="186"/>
      <c r="L235" s="215">
        <v>4236873</v>
      </c>
      <c r="M235" s="216">
        <v>3820745</v>
      </c>
      <c r="N235" s="217">
        <v>3966196</v>
      </c>
      <c r="O235" s="217">
        <v>3967383</v>
      </c>
      <c r="P235" s="217">
        <v>3654372</v>
      </c>
      <c r="Q235" s="217">
        <v>3388768</v>
      </c>
      <c r="R235" s="217">
        <v>3490510</v>
      </c>
      <c r="S235" s="217">
        <v>3399585</v>
      </c>
      <c r="T235" s="212">
        <v>1398520</v>
      </c>
      <c r="U235" s="212">
        <v>39932</v>
      </c>
      <c r="V235" s="205">
        <v>36473</v>
      </c>
      <c r="W235" s="205">
        <f>ROUND(표9[[#This Row],[Apr 2026 (USD or KRW)]],0)</f>
        <v>0</v>
      </c>
      <c r="X235" s="212"/>
      <c r="Y235" s="206">
        <f>표9[[#This Row],[Apr 2027(KRW)]]-표9[[#This Row],[Mar 2026(KRW)]]</f>
        <v>-36473</v>
      </c>
      <c r="Z235" s="213">
        <f t="shared" si="3"/>
        <v>-1</v>
      </c>
      <c r="AA235" s="208">
        <f>VLOOKUP(표9[[#This Row],[Team]],표1[],3,0)</f>
        <v>1000</v>
      </c>
    </row>
    <row r="236" spans="1:27" s="8" customFormat="1" ht="15">
      <c r="A236" s="214" t="str">
        <f>VLOOKUP($H236,AWS!$A:$H,2,0)</f>
        <v>AWS</v>
      </c>
      <c r="B236" s="214" t="str">
        <f>VLOOKUP($H236,AWS!$A:$H,3,0)</f>
        <v>BLUEHOLE</v>
      </c>
      <c r="C236" s="209" t="str">
        <f>VLOOKUP($H236,AWS!$A:$H,4,0)</f>
        <v>BLUEHOLE</v>
      </c>
      <c r="D236" s="214" t="str">
        <f>VLOOKUP($H236,AWS!$A:$H,5,0)</f>
        <v>[N/A]TERA</v>
      </c>
      <c r="E236" s="214" t="str">
        <f>VLOOKUP($H236,AWS!$A:$H,6,0)</f>
        <v>TERA_CONSOLE</v>
      </c>
      <c r="F236" s="202">
        <f>VLOOKUP(표9[[#This Row],[Team]],표1[[내역]:[코스트 센터]],2,0)</f>
        <v>110024</v>
      </c>
      <c r="G236" s="202" t="str">
        <f>VLOOKUP(표9[[#This Row],[Project]],표2[],2,0)</f>
        <v>P100020001</v>
      </c>
      <c r="H236" s="220" t="s">
        <v>263</v>
      </c>
      <c r="I236" s="214" t="str">
        <f>VLOOKUP($H236,AWS!$A:$H,8,0)</f>
        <v>안영근</v>
      </c>
      <c r="J236" s="214" t="str">
        <f>VLOOKUP($H236,AWS!$A:$H,8,0)</f>
        <v>안영근</v>
      </c>
      <c r="K236" s="187" t="s">
        <v>29</v>
      </c>
      <c r="L236" s="215">
        <v>3703676</v>
      </c>
      <c r="M236" s="216">
        <v>3767571</v>
      </c>
      <c r="N236" s="217">
        <v>4143783</v>
      </c>
      <c r="O236" s="217">
        <v>4037664</v>
      </c>
      <c r="P236" s="217">
        <v>4124630</v>
      </c>
      <c r="Q236" s="217">
        <v>5237935</v>
      </c>
      <c r="R236" s="217">
        <v>4551990</v>
      </c>
      <c r="S236" s="217">
        <v>5141418</v>
      </c>
      <c r="T236" s="212">
        <v>4943169</v>
      </c>
      <c r="U236" s="212">
        <v>4353760</v>
      </c>
      <c r="V236" s="205">
        <v>5773347</v>
      </c>
      <c r="W236" s="205">
        <f>ROUND(표9[[#This Row],[Apr 2026 (USD or KRW)]],0)</f>
        <v>0</v>
      </c>
      <c r="X236" s="212"/>
      <c r="Y236" s="206">
        <f>표9[[#This Row],[Apr 2027(KRW)]]-표9[[#This Row],[Mar 2026(KRW)]]</f>
        <v>-5773347</v>
      </c>
      <c r="Z236" s="213">
        <f t="shared" si="3"/>
        <v>-1</v>
      </c>
      <c r="AA236" s="208">
        <f>VLOOKUP(표9[[#This Row],[Team]],표1[],3,0)</f>
        <v>1100</v>
      </c>
    </row>
    <row r="237" spans="1:27" s="8" customFormat="1" ht="15">
      <c r="A237" s="214" t="str">
        <f>VLOOKUP($H237,AWS!$A:$H,2,0)</f>
        <v>AWS</v>
      </c>
      <c r="B237" s="214" t="str">
        <f>VLOOKUP($H237,AWS!$A:$H,3,0)</f>
        <v>BLUEHOLE</v>
      </c>
      <c r="C237" s="209" t="str">
        <f>VLOOKUP($H237,AWS!$A:$H,4,0)</f>
        <v>BLUEHOLE</v>
      </c>
      <c r="D237" s="214" t="str">
        <f>VLOOKUP($H237,AWS!$A:$H,5,0)</f>
        <v>[N/A]TERA</v>
      </c>
      <c r="E237" s="214" t="str">
        <f>VLOOKUP($H237,AWS!$A:$H,6,0)</f>
        <v>TERA_CONSOLE</v>
      </c>
      <c r="F237" s="202">
        <f>VLOOKUP(표9[[#This Row],[Team]],표1[[내역]:[코스트 센터]],2,0)</f>
        <v>110024</v>
      </c>
      <c r="G237" s="202" t="str">
        <f>VLOOKUP(표9[[#This Row],[Project]],표2[],2,0)</f>
        <v>P100020001</v>
      </c>
      <c r="H237" s="220" t="s">
        <v>264</v>
      </c>
      <c r="I237" s="214" t="str">
        <f>VLOOKUP($H237,AWS!$A:$H,8,0)</f>
        <v>안영근</v>
      </c>
      <c r="J237" s="214" t="str">
        <f>VLOOKUP($H237,AWS!$A:$H,8,0)</f>
        <v>안영근</v>
      </c>
      <c r="K237" s="187" t="s">
        <v>29</v>
      </c>
      <c r="L237" s="215">
        <v>19894</v>
      </c>
      <c r="M237" s="216">
        <v>27562</v>
      </c>
      <c r="N237" s="217">
        <v>19227</v>
      </c>
      <c r="O237" s="217">
        <v>25598</v>
      </c>
      <c r="P237" s="217">
        <v>23403</v>
      </c>
      <c r="Q237" s="217">
        <v>24131</v>
      </c>
      <c r="R237" s="217">
        <v>25283</v>
      </c>
      <c r="S237" s="217">
        <v>23664</v>
      </c>
      <c r="T237" s="212">
        <v>25522</v>
      </c>
      <c r="U237" s="212">
        <v>23903</v>
      </c>
      <c r="V237" s="205">
        <v>23416</v>
      </c>
      <c r="W237" s="205">
        <f>ROUND(표9[[#This Row],[Apr 2026 (USD or KRW)]],0)</f>
        <v>0</v>
      </c>
      <c r="X237" s="212"/>
      <c r="Y237" s="206">
        <f>표9[[#This Row],[Apr 2027(KRW)]]-표9[[#This Row],[Mar 2026(KRW)]]</f>
        <v>-23416</v>
      </c>
      <c r="Z237" s="213">
        <f t="shared" si="3"/>
        <v>-1</v>
      </c>
      <c r="AA237" s="208">
        <f>VLOOKUP(표9[[#This Row],[Team]],표1[],3,0)</f>
        <v>1100</v>
      </c>
    </row>
    <row r="238" spans="1:27" s="8" customFormat="1" ht="15">
      <c r="A238" s="214" t="str">
        <f>VLOOKUP($H238,AWS!$A:$H,2,0)</f>
        <v>AWS</v>
      </c>
      <c r="B238" s="214" t="str">
        <f>VLOOKUP($H238,AWS!$A:$H,3,0)</f>
        <v>KRAFTON HQ</v>
      </c>
      <c r="C238" s="209" t="str">
        <f>VLOOKUP($H238,AWS!$A:$H,4,0)</f>
        <v>KRAFTON HQ</v>
      </c>
      <c r="D238" s="214" t="str">
        <f>VLOOKUP($H238,AWS!$A:$H,5,0)</f>
        <v>DevData Engineering Team</v>
      </c>
      <c r="E238" s="214" t="str">
        <f>VLOOKUP($H238,AWS!$A:$H,6,0)</f>
        <v>OVERHEAD/OTHERS</v>
      </c>
      <c r="F238" s="202">
        <f>VLOOKUP(표9[[#This Row],[Team]],표1[[내역]:[코스트 센터]],2,0)</f>
        <v>101721</v>
      </c>
      <c r="G238" s="202" t="str">
        <f>VLOOKUP(표9[[#This Row],[Project]],표2[],2,0)</f>
        <v>I100099999</v>
      </c>
      <c r="H238" s="8" t="s">
        <v>265</v>
      </c>
      <c r="I238" s="214" t="str">
        <f>VLOOKUP($H238,AWS!$A:$H,8,0)</f>
        <v>이재혁</v>
      </c>
      <c r="J238" s="214" t="str">
        <f>VLOOKUP($H238,AWS!$A:$H,8,0)</f>
        <v>이재혁</v>
      </c>
      <c r="K238" s="187" t="s">
        <v>29</v>
      </c>
      <c r="L238" s="215">
        <v>623446</v>
      </c>
      <c r="M238" s="216">
        <v>344218</v>
      </c>
      <c r="N238" s="217">
        <v>247965</v>
      </c>
      <c r="O238" s="217">
        <v>402041</v>
      </c>
      <c r="P238" s="217">
        <v>534168</v>
      </c>
      <c r="Q238" s="217">
        <v>14570</v>
      </c>
      <c r="R238" s="217">
        <v>396474</v>
      </c>
      <c r="S238" s="217">
        <v>721916</v>
      </c>
      <c r="T238" s="212">
        <v>762804</v>
      </c>
      <c r="U238" s="212">
        <v>221569</v>
      </c>
      <c r="V238" s="205">
        <v>256172</v>
      </c>
      <c r="W238" s="205">
        <f>ROUND(표9[[#This Row],[Apr 2026 (USD or KRW)]],0)</f>
        <v>0</v>
      </c>
      <c r="X238" s="212"/>
      <c r="Y238" s="206">
        <f>표9[[#This Row],[Apr 2027(KRW)]]-표9[[#This Row],[Mar 2026(KRW)]]</f>
        <v>-256172</v>
      </c>
      <c r="Z238" s="213">
        <f t="shared" si="3"/>
        <v>-1</v>
      </c>
      <c r="AA238" s="208">
        <f>VLOOKUP(표9[[#This Row],[Team]],표1[],3,0)</f>
        <v>1000</v>
      </c>
    </row>
    <row r="239" spans="1:27" s="8" customFormat="1" ht="15">
      <c r="A239" s="214" t="str">
        <f>VLOOKUP($H239,AWS!$A:$H,2,0)</f>
        <v>AWS</v>
      </c>
      <c r="B239" s="214" t="str">
        <f>VLOOKUP($H239,AWS!$A:$H,3,0)</f>
        <v>KRAFTON HQ</v>
      </c>
      <c r="C239" s="209" t="str">
        <f>VLOOKUP($H239,AWS!$A:$H,4,0)</f>
        <v>PUBG STUDIO</v>
      </c>
      <c r="D239" s="214" t="str">
        <f>VLOOKUP($H239,AWS!$A:$H,5,0)</f>
        <v>PUBG PC&amp;Console Dev Div.</v>
      </c>
      <c r="E239" s="214" t="str">
        <f>VLOOKUP($H239,AWS!$A:$H,6,0)</f>
        <v>BATTLEGROUNDS_PC/CONSOLE</v>
      </c>
      <c r="F239" s="202">
        <f>VLOOKUP(표9[[#This Row],[Team]],표1[[내역]:[코스트 센터]],2,0)</f>
        <v>100414</v>
      </c>
      <c r="G239" s="202" t="str">
        <f>VLOOKUP(표9[[#This Row],[Project]],표2[],2,0)</f>
        <v>P100010012</v>
      </c>
      <c r="H239" s="214" t="s">
        <v>266</v>
      </c>
      <c r="I239" s="214" t="str">
        <f>VLOOKUP($H239,AWS!$A:$H,8,0)</f>
        <v>최진광</v>
      </c>
      <c r="J239" s="214" t="str">
        <f>VLOOKUP($H239,AWS!$A:$H,8,0)</f>
        <v>최진광</v>
      </c>
      <c r="K239" s="186" t="s">
        <v>29</v>
      </c>
      <c r="L239" s="215">
        <v>20462935</v>
      </c>
      <c r="M239" s="216">
        <v>24125481</v>
      </c>
      <c r="N239" s="217">
        <v>29303096</v>
      </c>
      <c r="O239" s="217">
        <v>32068584</v>
      </c>
      <c r="P239" s="217">
        <v>37538230</v>
      </c>
      <c r="Q239" s="217">
        <v>47351548</v>
      </c>
      <c r="R239" s="217">
        <v>39701920</v>
      </c>
      <c r="S239" s="217">
        <v>38749746</v>
      </c>
      <c r="T239" s="212">
        <v>41450087</v>
      </c>
      <c r="U239" s="212">
        <v>33976422</v>
      </c>
      <c r="V239" s="205">
        <v>32824768</v>
      </c>
      <c r="W239" s="205">
        <f>ROUND(표9[[#This Row],[Apr 2026 (USD or KRW)]],0)</f>
        <v>0</v>
      </c>
      <c r="X239" s="212"/>
      <c r="Y239" s="206">
        <f>표9[[#This Row],[Apr 2027(KRW)]]-표9[[#This Row],[Mar 2026(KRW)]]</f>
        <v>-32824768</v>
      </c>
      <c r="Z239" s="213">
        <f t="shared" si="3"/>
        <v>-1</v>
      </c>
      <c r="AA239" s="208">
        <f>VLOOKUP(표9[[#This Row],[Team]],표1[],3,0)</f>
        <v>1000</v>
      </c>
    </row>
    <row r="240" spans="1:27" s="8" customFormat="1" ht="15">
      <c r="A240" s="214" t="str">
        <f>VLOOKUP($H240,AWS!$A:$H,2,0)</f>
        <v>AWS</v>
      </c>
      <c r="B240" s="214" t="str">
        <f>VLOOKUP($H240,AWS!$A:$H,3,0)</f>
        <v>KRAFTON HQ</v>
      </c>
      <c r="C240" s="209" t="str">
        <f>VLOOKUP($H240,AWS!$A:$H,4,0)</f>
        <v>KRAFTON HQ</v>
      </c>
      <c r="D240" s="214" t="str">
        <f>VLOOKUP($H240,AWS!$A:$H,5,0)</f>
        <v>IT Dept.</v>
      </c>
      <c r="E240" s="214" t="str">
        <f>VLOOKUP($H240,AWS!$A:$H,6,0)</f>
        <v>OVERHEAD/OTHERS</v>
      </c>
      <c r="F240" s="202">
        <f>VLOOKUP(표9[[#This Row],[Team]],표1[[내역]:[코스트 센터]],2,0)</f>
        <v>100036</v>
      </c>
      <c r="G240" s="202" t="str">
        <f>VLOOKUP(표9[[#This Row],[Project]],표2[],2,0)</f>
        <v>I100099999</v>
      </c>
      <c r="H240" s="214" t="s">
        <v>267</v>
      </c>
      <c r="I240" s="214" t="str">
        <f>VLOOKUP($H240,AWS!$A:$H,8,0)</f>
        <v>김재윤</v>
      </c>
      <c r="J240" s="214" t="str">
        <f>VLOOKUP($H240,AWS!$A:$H,8,0)</f>
        <v>김재윤</v>
      </c>
      <c r="K240" s="187" t="s">
        <v>29</v>
      </c>
      <c r="L240" s="215">
        <v>37650429</v>
      </c>
      <c r="M240" s="216">
        <v>51462075</v>
      </c>
      <c r="N240" s="217">
        <v>55087742</v>
      </c>
      <c r="O240" s="217">
        <v>55489929</v>
      </c>
      <c r="P240" s="217">
        <v>39726281</v>
      </c>
      <c r="Q240" s="217">
        <v>56436355</v>
      </c>
      <c r="R240" s="217">
        <v>52936222</v>
      </c>
      <c r="S240" s="217">
        <v>56280486</v>
      </c>
      <c r="T240" s="212">
        <v>53503473</v>
      </c>
      <c r="U240" s="212">
        <v>41783033</v>
      </c>
      <c r="V240" s="205">
        <v>47053313</v>
      </c>
      <c r="W240" s="205">
        <f>ROUND(표9[[#This Row],[Apr 2026 (USD or KRW)]],0)</f>
        <v>0</v>
      </c>
      <c r="X240" s="212"/>
      <c r="Y240" s="206">
        <f>표9[[#This Row],[Apr 2027(KRW)]]-표9[[#This Row],[Mar 2026(KRW)]]</f>
        <v>-47053313</v>
      </c>
      <c r="Z240" s="213">
        <f t="shared" si="3"/>
        <v>-1</v>
      </c>
      <c r="AA240" s="208">
        <f>VLOOKUP(표9[[#This Row],[Team]],표1[],3,0)</f>
        <v>1000</v>
      </c>
    </row>
    <row r="241" spans="1:27" s="8" customFormat="1" ht="17">
      <c r="A241" s="214" t="str">
        <f>VLOOKUP($H241,AWS!$A:$H,2,0)</f>
        <v>AWS</v>
      </c>
      <c r="B241" s="214" t="str">
        <f>VLOOKUP($H241,AWS!$A:$H,3,0)</f>
        <v>KRAFTON HQ</v>
      </c>
      <c r="C241" s="209" t="str">
        <f>VLOOKUP($H241,AWS!$A:$H,4,0)</f>
        <v>KRAFTON HQ</v>
      </c>
      <c r="D241" s="214" t="str">
        <f>VLOOKUP($H241,AWS!$A:$H,5,0)</f>
        <v>IT Dept.</v>
      </c>
      <c r="E241" s="214" t="str">
        <f>VLOOKUP($H241,AWS!$A:$H,6,0)</f>
        <v>OVERHEAD/OTHERS</v>
      </c>
      <c r="F241" s="202">
        <f>VLOOKUP(표9[[#This Row],[Team]],표1[[내역]:[코스트 센터]],2,0)</f>
        <v>100036</v>
      </c>
      <c r="G241" s="202" t="str">
        <f>VLOOKUP(표9[[#This Row],[Project]],표2[],2,0)</f>
        <v>I100099999</v>
      </c>
      <c r="H241" s="250" t="s">
        <v>268</v>
      </c>
      <c r="I241" s="214" t="str">
        <f>VLOOKUP($H241,AWS!$A:$H,8,0)</f>
        <v>홍성철</v>
      </c>
      <c r="J241" s="214" t="str">
        <f>VLOOKUP($H241,AWS!$A:$H,8,0)</f>
        <v>홍성철</v>
      </c>
      <c r="K241" s="187" t="s">
        <v>29</v>
      </c>
      <c r="L241" s="215">
        <v>2413144</v>
      </c>
      <c r="M241" s="216">
        <v>2724369</v>
      </c>
      <c r="N241" s="217">
        <v>2925096</v>
      </c>
      <c r="O241" s="217">
        <v>6160042</v>
      </c>
      <c r="P241" s="217">
        <v>4229761</v>
      </c>
      <c r="Q241" s="217">
        <v>5251411</v>
      </c>
      <c r="R241" s="217">
        <v>5990606</v>
      </c>
      <c r="S241" s="217">
        <v>5768000</v>
      </c>
      <c r="T241" s="212">
        <v>5953764</v>
      </c>
      <c r="U241" s="212">
        <v>5534626</v>
      </c>
      <c r="V241" s="205">
        <v>7839587</v>
      </c>
      <c r="W241" s="205">
        <f>ROUND(표9[[#This Row],[Apr 2026 (USD or KRW)]],0)</f>
        <v>0</v>
      </c>
      <c r="X241" s="212"/>
      <c r="Y241" s="206">
        <f>표9[[#This Row],[Apr 2027(KRW)]]-표9[[#This Row],[Mar 2026(KRW)]]</f>
        <v>-7839587</v>
      </c>
      <c r="Z241" s="213">
        <f t="shared" si="3"/>
        <v>-1</v>
      </c>
      <c r="AA241" s="208">
        <f>VLOOKUP(표9[[#This Row],[Team]],표1[],3,0)</f>
        <v>1000</v>
      </c>
    </row>
    <row r="242" spans="1:27" s="8" customFormat="1" ht="17">
      <c r="A242" s="214" t="str">
        <f>VLOOKUP($H242,AWS!$A:$H,2,0)</f>
        <v>AWS</v>
      </c>
      <c r="B242" s="214" t="str">
        <f>VLOOKUP($H242,AWS!$A:$H,3,0)</f>
        <v>KRAFTON HQ</v>
      </c>
      <c r="C242" s="209" t="str">
        <f>VLOOKUP($H242,AWS!$A:$H,4,0)</f>
        <v>KRAFTON HQ</v>
      </c>
      <c r="D242" s="214" t="str">
        <f>VLOOKUP($H242,AWS!$A:$H,5,0)</f>
        <v>IT Dept.</v>
      </c>
      <c r="E242" s="214" t="str">
        <f>VLOOKUP($H242,AWS!$A:$H,6,0)</f>
        <v>OVERHEAD/OTHERS</v>
      </c>
      <c r="F242" s="202">
        <f>VLOOKUP(표9[[#This Row],[Team]],표1[[내역]:[코스트 센터]],2,0)</f>
        <v>100036</v>
      </c>
      <c r="G242" s="202" t="str">
        <f>VLOOKUP(표9[[#This Row],[Project]],표2[],2,0)</f>
        <v>I100099999</v>
      </c>
      <c r="H242" s="250" t="s">
        <v>269</v>
      </c>
      <c r="I242" s="214" t="str">
        <f>VLOOKUP($H242,AWS!$A:$H,8,0)</f>
        <v>홍성철</v>
      </c>
      <c r="J242" s="214" t="str">
        <f>VLOOKUP($H242,AWS!$A:$H,8,0)</f>
        <v>홍성철</v>
      </c>
      <c r="K242" s="187" t="s">
        <v>29</v>
      </c>
      <c r="L242" s="215">
        <v>911247</v>
      </c>
      <c r="M242" s="216">
        <v>3789379</v>
      </c>
      <c r="N242" s="217">
        <v>7470943</v>
      </c>
      <c r="O242" s="217">
        <v>20495839</v>
      </c>
      <c r="P242" s="217">
        <v>6471825</v>
      </c>
      <c r="Q242" s="217">
        <v>7794808</v>
      </c>
      <c r="R242" s="217">
        <v>7754440</v>
      </c>
      <c r="S242" s="217">
        <v>7246481</v>
      </c>
      <c r="T242" s="212">
        <v>8513695</v>
      </c>
      <c r="U242" s="212">
        <v>7687465</v>
      </c>
      <c r="V242" s="205">
        <v>9866195</v>
      </c>
      <c r="W242" s="205">
        <f>ROUND(표9[[#This Row],[Apr 2026 (USD or KRW)]],0)</f>
        <v>0</v>
      </c>
      <c r="X242" s="212"/>
      <c r="Y242" s="206">
        <f>표9[[#This Row],[Apr 2027(KRW)]]-표9[[#This Row],[Mar 2026(KRW)]]</f>
        <v>-9866195</v>
      </c>
      <c r="Z242" s="213">
        <f t="shared" si="3"/>
        <v>-1</v>
      </c>
      <c r="AA242" s="208">
        <f>VLOOKUP(표9[[#This Row],[Team]],표1[],3,0)</f>
        <v>1000</v>
      </c>
    </row>
    <row r="243" spans="1:27" s="8" customFormat="1" ht="15">
      <c r="A243" s="214" t="str">
        <f>VLOOKUP($H243,AWS!$A:$H,2,0)</f>
        <v>AWS</v>
      </c>
      <c r="B243" s="214" t="str">
        <f>VLOOKUP($H243,AWS!$A:$H,3,0)</f>
        <v>KRAFTON HQ</v>
      </c>
      <c r="C243" s="209" t="str">
        <f>VLOOKUP($H243,AWS!$A:$H,4,0)</f>
        <v>KRAFTON HQ</v>
      </c>
      <c r="D243" s="214" t="str">
        <f>VLOOKUP($H243,AWS!$A:$H,5,0)</f>
        <v>IT Dept.</v>
      </c>
      <c r="E243" s="214" t="str">
        <f>VLOOKUP($H243,AWS!$A:$H,6,0)</f>
        <v>OVERHEAD/OTHERS</v>
      </c>
      <c r="F243" s="202">
        <f>VLOOKUP(표9[[#This Row],[Team]],표1[[내역]:[코스트 센터]],2,0)</f>
        <v>100036</v>
      </c>
      <c r="G243" s="202" t="str">
        <f>VLOOKUP(표9[[#This Row],[Project]],표2[],2,0)</f>
        <v>I100099999</v>
      </c>
      <c r="H243" s="209" t="s">
        <v>270</v>
      </c>
      <c r="I243" s="214" t="str">
        <f>VLOOKUP($H243,AWS!$A:$H,8,0)</f>
        <v>홍성철</v>
      </c>
      <c r="J243" s="214" t="str">
        <f>VLOOKUP($H243,AWS!$A:$H,8,0)</f>
        <v>홍성철</v>
      </c>
      <c r="K243" s="187" t="s">
        <v>29</v>
      </c>
      <c r="L243" s="215">
        <v>6767</v>
      </c>
      <c r="M243" s="216">
        <v>14914</v>
      </c>
      <c r="N243" s="217">
        <v>6231</v>
      </c>
      <c r="O243" s="217">
        <v>14026</v>
      </c>
      <c r="P243" s="217">
        <v>11604</v>
      </c>
      <c r="Q243" s="217">
        <v>12148</v>
      </c>
      <c r="R243" s="217">
        <v>12797</v>
      </c>
      <c r="S243" s="217">
        <v>11344</v>
      </c>
      <c r="T243" s="212">
        <v>13523</v>
      </c>
      <c r="U243" s="212">
        <v>11722</v>
      </c>
      <c r="V243" s="205">
        <v>10100</v>
      </c>
      <c r="W243" s="205">
        <f>ROUND(표9[[#This Row],[Apr 2026 (USD or KRW)]],0)</f>
        <v>0</v>
      </c>
      <c r="X243" s="212"/>
      <c r="Y243" s="206">
        <f>표9[[#This Row],[Apr 2027(KRW)]]-표9[[#This Row],[Mar 2026(KRW)]]</f>
        <v>-10100</v>
      </c>
      <c r="Z243" s="213">
        <f t="shared" si="3"/>
        <v>-1</v>
      </c>
      <c r="AA243" s="208">
        <f>VLOOKUP(표9[[#This Row],[Team]],표1[],3,0)</f>
        <v>1000</v>
      </c>
    </row>
    <row r="244" spans="1:27" s="8" customFormat="1" ht="15">
      <c r="A244" s="214" t="str">
        <f>VLOOKUP($H244,AWS!$A:$H,2,0)</f>
        <v>AWS</v>
      </c>
      <c r="B244" s="214" t="str">
        <f>VLOOKUP($H244,AWS!$A:$H,3,0)</f>
        <v>KRAFTON HQ</v>
      </c>
      <c r="C244" s="209" t="str">
        <f>VLOOKUP($H244,AWS!$A:$H,4,0)</f>
        <v>KRAFTON HQ</v>
      </c>
      <c r="D244" s="214" t="str">
        <f>VLOOKUP($H244,AWS!$A:$H,5,0)</f>
        <v>L10N Team</v>
      </c>
      <c r="E244" s="214" t="str">
        <f>VLOOKUP($H244,AWS!$A:$H,6,0)</f>
        <v>OVERHEAD/OTHERS</v>
      </c>
      <c r="F244" s="202">
        <f>VLOOKUP(표9[[#This Row],[Team]],표1[[내역]:[코스트 센터]],2,0)</f>
        <v>100092</v>
      </c>
      <c r="G244" s="202" t="str">
        <f>VLOOKUP(표9[[#This Row],[Project]],표2[],2,0)</f>
        <v>I100099999</v>
      </c>
      <c r="H244" s="8" t="s">
        <v>271</v>
      </c>
      <c r="I244" s="214" t="str">
        <f>VLOOKUP($H244,AWS!$A:$H,8,0)</f>
        <v>김진희</v>
      </c>
      <c r="J244" s="214" t="str">
        <f>VLOOKUP($H244,AWS!$A:$H,8,0)</f>
        <v>김진희</v>
      </c>
      <c r="K244" s="187" t="s">
        <v>29</v>
      </c>
      <c r="L244" s="215">
        <v>2515165</v>
      </c>
      <c r="M244" s="216">
        <v>3039464</v>
      </c>
      <c r="N244" s="217">
        <v>3468758</v>
      </c>
      <c r="O244" s="217">
        <v>3209340</v>
      </c>
      <c r="P244" s="217">
        <v>3328739</v>
      </c>
      <c r="Q244" s="217">
        <v>3650194</v>
      </c>
      <c r="R244" s="217">
        <v>3604833</v>
      </c>
      <c r="S244" s="217">
        <v>3684004</v>
      </c>
      <c r="T244" s="212">
        <v>3564086</v>
      </c>
      <c r="U244" s="212">
        <v>3245330</v>
      </c>
      <c r="V244" s="205">
        <v>4070452</v>
      </c>
      <c r="W244" s="205">
        <f>ROUND(표9[[#This Row],[Apr 2026 (USD or KRW)]],0)</f>
        <v>0</v>
      </c>
      <c r="X244" s="212"/>
      <c r="Y244" s="206">
        <f>표9[[#This Row],[Apr 2027(KRW)]]-표9[[#This Row],[Mar 2026(KRW)]]</f>
        <v>-4070452</v>
      </c>
      <c r="Z244" s="213">
        <f t="shared" si="3"/>
        <v>-1</v>
      </c>
      <c r="AA244" s="208">
        <f>VLOOKUP(표9[[#This Row],[Team]],표1[],3,0)</f>
        <v>1000</v>
      </c>
    </row>
    <row r="245" spans="1:27" s="8" customFormat="1" ht="15">
      <c r="A245" s="209" t="str">
        <f>VLOOKUP($H245,AWS!$A:$H,2,0)</f>
        <v>AWS</v>
      </c>
      <c r="B245" s="209" t="str">
        <f>VLOOKUP($H245,AWS!$A:$H,3,0)</f>
        <v>Risingwings</v>
      </c>
      <c r="C245" s="209" t="str">
        <f>VLOOKUP($H245,AWS!$A:$H,4,0)</f>
        <v>Risingwings</v>
      </c>
      <c r="D245" s="214" t="str">
        <f>VLOOKUP($H245,AWS!$A:$H,5,0)</f>
        <v>RW Tech Support Dept.</v>
      </c>
      <c r="E245" s="214">
        <f>VLOOKUP($H245,AWS!$A:$H,6,0)</f>
        <v>0</v>
      </c>
      <c r="F245" s="202" t="e">
        <f>VLOOKUP(표9[[#This Row],[Team]],표1[[내역]:[코스트 센터]],2,0)</f>
        <v>#N/A</v>
      </c>
      <c r="G245" s="202" t="e">
        <f>VLOOKUP(표9[[#This Row],[Project]],표2[],2,0)</f>
        <v>#N/A</v>
      </c>
      <c r="H245" s="209" t="s">
        <v>272</v>
      </c>
      <c r="I245" s="209" t="str">
        <f>VLOOKUP($H245,AWS!$A:$H,7,0)</f>
        <v>허지웅</v>
      </c>
      <c r="J245" s="214" t="str">
        <f>VLOOKUP($H245,AWS!$A:$H,8,0)</f>
        <v>허지웅</v>
      </c>
      <c r="K245" s="186"/>
      <c r="L245" s="210">
        <v>6663145</v>
      </c>
      <c r="M245" s="211">
        <v>6401510</v>
      </c>
      <c r="N245" s="212">
        <v>7578300</v>
      </c>
      <c r="O245" s="212">
        <v>6754683</v>
      </c>
      <c r="P245" s="212">
        <v>6617121</v>
      </c>
      <c r="Q245" s="212">
        <v>7901566</v>
      </c>
      <c r="R245" s="212">
        <v>7904281</v>
      </c>
      <c r="S245" s="212">
        <v>7839956</v>
      </c>
      <c r="T245" s="212">
        <v>7381642</v>
      </c>
      <c r="U245" s="212">
        <v>6551862</v>
      </c>
      <c r="V245" s="205">
        <v>7482801</v>
      </c>
      <c r="W245" s="205">
        <f>ROUND(표9[[#This Row],[Apr 2026 (USD or KRW)]],0)</f>
        <v>0</v>
      </c>
      <c r="X245" s="212"/>
      <c r="Y245" s="206">
        <f>표9[[#This Row],[Apr 2027(KRW)]]-표9[[#This Row],[Mar 2026(KRW)]]</f>
        <v>-7482801</v>
      </c>
      <c r="Z245" s="213">
        <f t="shared" si="3"/>
        <v>-1</v>
      </c>
      <c r="AA245" s="208" t="e">
        <f>VLOOKUP(표9[[#This Row],[Team]],표1[],3,0)</f>
        <v>#N/A</v>
      </c>
    </row>
    <row r="246" spans="1:27" s="8" customFormat="1" ht="15">
      <c r="A246" s="209" t="str">
        <f>VLOOKUP($H246,AWS!$A:$H,2,0)</f>
        <v>AWS</v>
      </c>
      <c r="B246" s="209" t="str">
        <f>VLOOKUP($H246,AWS!$A:$H,3,0)</f>
        <v>Risingwings</v>
      </c>
      <c r="C246" s="209" t="str">
        <f>VLOOKUP($H246,AWS!$A:$H,4,0)</f>
        <v>Risingwings</v>
      </c>
      <c r="D246" s="214" t="str">
        <f>VLOOKUP($H246,AWS!$A:$H,5,0)</f>
        <v>RW Tech Support Dept.</v>
      </c>
      <c r="E246" s="214" t="str">
        <f>VLOOKUP($H246,AWS!$A:$H,6,0)</f>
        <v>Real golf</v>
      </c>
      <c r="F246" s="202" t="e">
        <f>VLOOKUP(표9[[#This Row],[Team]],표1[[내역]:[코스트 센터]],2,0)</f>
        <v>#N/A</v>
      </c>
      <c r="G246" s="202" t="e">
        <f>VLOOKUP(표9[[#This Row],[Project]],표2[],2,0)</f>
        <v>#N/A</v>
      </c>
      <c r="H246" s="209" t="s">
        <v>273</v>
      </c>
      <c r="I246" s="209" t="str">
        <f>VLOOKUP($H246,AWS!$A:$H,7,0)</f>
        <v>허지웅</v>
      </c>
      <c r="J246" s="214" t="str">
        <f>VLOOKUP($H246,AWS!$A:$H,8,0)</f>
        <v>허지웅</v>
      </c>
      <c r="K246" s="186"/>
      <c r="L246" s="210">
        <v>9049275</v>
      </c>
      <c r="M246" s="211">
        <v>8776586</v>
      </c>
      <c r="N246" s="212">
        <v>10325290</v>
      </c>
      <c r="O246" s="212">
        <v>9887917</v>
      </c>
      <c r="P246" s="212">
        <v>9291345</v>
      </c>
      <c r="Q246" s="212">
        <v>10548345</v>
      </c>
      <c r="R246" s="212">
        <v>10361783</v>
      </c>
      <c r="S246" s="212">
        <v>10420552</v>
      </c>
      <c r="T246" s="212">
        <v>9598463</v>
      </c>
      <c r="U246" s="212">
        <v>7570294</v>
      </c>
      <c r="V246" s="205">
        <v>8685209</v>
      </c>
      <c r="W246" s="205">
        <f>ROUND(표9[[#This Row],[Apr 2026 (USD or KRW)]],0)</f>
        <v>0</v>
      </c>
      <c r="X246" s="212"/>
      <c r="Y246" s="206">
        <f>표9[[#This Row],[Apr 2027(KRW)]]-표9[[#This Row],[Mar 2026(KRW)]]</f>
        <v>-8685209</v>
      </c>
      <c r="Z246" s="213">
        <f t="shared" si="3"/>
        <v>-1</v>
      </c>
      <c r="AA246" s="208" t="e">
        <f>VLOOKUP(표9[[#This Row],[Team]],표1[],3,0)</f>
        <v>#N/A</v>
      </c>
    </row>
    <row r="247" spans="1:27" s="8" customFormat="1" ht="15">
      <c r="A247" s="209" t="str">
        <f>VLOOKUP($H247,AWS!$A:$H,2,0)</f>
        <v>AWS</v>
      </c>
      <c r="B247" s="209" t="str">
        <f>VLOOKUP($H247,AWS!$A:$H,3,0)</f>
        <v>Risingwings</v>
      </c>
      <c r="C247" s="209" t="str">
        <f>VLOOKUP($H247,AWS!$A:$H,4,0)</f>
        <v>Risingwings</v>
      </c>
      <c r="D247" s="214" t="str">
        <f>VLOOKUP($H247,AWS!$A:$H,5,0)</f>
        <v>RW Tech Support Dept.</v>
      </c>
      <c r="E247" s="214">
        <f>VLOOKUP($H247,AWS!$A:$H,6,0)</f>
        <v>0</v>
      </c>
      <c r="F247" s="202" t="e">
        <f>VLOOKUP(표9[[#This Row],[Team]],표1[[내역]:[코스트 센터]],2,0)</f>
        <v>#N/A</v>
      </c>
      <c r="G247" s="202" t="e">
        <f>VLOOKUP(표9[[#This Row],[Project]],표2[],2,0)</f>
        <v>#N/A</v>
      </c>
      <c r="H247" s="209" t="s">
        <v>274</v>
      </c>
      <c r="I247" s="209" t="str">
        <f>VLOOKUP($H247,AWS!$A:$H,7,0)</f>
        <v>허지웅</v>
      </c>
      <c r="J247" s="214" t="str">
        <f>VLOOKUP($H247,AWS!$A:$H,8,0)</f>
        <v>허지웅</v>
      </c>
      <c r="K247" s="186"/>
      <c r="L247" s="210">
        <v>747190</v>
      </c>
      <c r="M247" s="211">
        <v>883136</v>
      </c>
      <c r="N247" s="212">
        <v>967776</v>
      </c>
      <c r="O247" s="212">
        <v>947372</v>
      </c>
      <c r="P247" s="212">
        <v>1268958</v>
      </c>
      <c r="Q247" s="212">
        <v>1315444</v>
      </c>
      <c r="R247" s="212">
        <v>1432400</v>
      </c>
      <c r="S247" s="212">
        <v>1489322</v>
      </c>
      <c r="T247" s="212">
        <v>1972443</v>
      </c>
      <c r="U247" s="212">
        <v>1548904</v>
      </c>
      <c r="V247" s="205">
        <v>1918122</v>
      </c>
      <c r="W247" s="205">
        <f>ROUND(표9[[#This Row],[Apr 2026 (USD or KRW)]],0)</f>
        <v>0</v>
      </c>
      <c r="X247" s="212"/>
      <c r="Y247" s="206">
        <f>표9[[#This Row],[Apr 2027(KRW)]]-표9[[#This Row],[Mar 2026(KRW)]]</f>
        <v>-1918122</v>
      </c>
      <c r="Z247" s="213">
        <f t="shared" si="3"/>
        <v>-1</v>
      </c>
      <c r="AA247" s="208" t="e">
        <f>VLOOKUP(표9[[#This Row],[Team]],표1[],3,0)</f>
        <v>#N/A</v>
      </c>
    </row>
    <row r="248" spans="1:27" s="8" customFormat="1" ht="15">
      <c r="A248" s="214" t="str">
        <f>VLOOKUP($H248,AWS!$A:$H,2,0)</f>
        <v>AWS</v>
      </c>
      <c r="B248" s="214" t="str">
        <f>VLOOKUP($H248,AWS!$A:$H,3,0)</f>
        <v>KRAFTON HQ</v>
      </c>
      <c r="C248" s="209" t="str">
        <f>VLOOKUP($H248,AWS!$A:$H,4,0)</f>
        <v>PUBG STUDIO</v>
      </c>
      <c r="D248" s="214" t="str">
        <f>VLOOKUP($H248,AWS!$A:$H,5,0)</f>
        <v>PUBG PC&amp;Console Dev Div.</v>
      </c>
      <c r="E248" s="214" t="str">
        <f>VLOOKUP($H248,AWS!$A:$H,6,0)</f>
        <v>BATTLEGROUNDS_PC/CONSOLE</v>
      </c>
      <c r="F248" s="202">
        <f>VLOOKUP(표9[[#This Row],[Team]],표1[[내역]:[코스트 센터]],2,0)</f>
        <v>100414</v>
      </c>
      <c r="G248" s="202" t="str">
        <f>VLOOKUP(표9[[#This Row],[Project]],표2[],2,0)</f>
        <v>P100010012</v>
      </c>
      <c r="H248" s="214" t="s">
        <v>275</v>
      </c>
      <c r="I248" s="214" t="str">
        <f>VLOOKUP($H248,AWS!$A:$H,8,0)</f>
        <v>최준석</v>
      </c>
      <c r="J248" s="214" t="str">
        <f>VLOOKUP($H248,AWS!$A:$H,8,0)</f>
        <v>최준석</v>
      </c>
      <c r="K248" s="186"/>
      <c r="L248" s="215">
        <v>4846331</v>
      </c>
      <c r="M248" s="216">
        <v>4785298</v>
      </c>
      <c r="N248" s="217">
        <v>14830847</v>
      </c>
      <c r="O248" s="217">
        <v>1557894</v>
      </c>
      <c r="P248" s="217">
        <v>1539793</v>
      </c>
      <c r="Q248" s="217">
        <v>1592954</v>
      </c>
      <c r="R248" s="217">
        <v>1636886</v>
      </c>
      <c r="S248" s="217">
        <v>1613205</v>
      </c>
      <c r="T248" s="212">
        <v>1161227</v>
      </c>
      <c r="U248" s="212">
        <v>360559</v>
      </c>
      <c r="V248" s="205">
        <v>427944</v>
      </c>
      <c r="W248" s="205">
        <f>ROUND(표9[[#This Row],[Apr 2026 (USD or KRW)]],0)</f>
        <v>0</v>
      </c>
      <c r="X248" s="212"/>
      <c r="Y248" s="206">
        <f>표9[[#This Row],[Apr 2027(KRW)]]-표9[[#This Row],[Mar 2026(KRW)]]</f>
        <v>-427944</v>
      </c>
      <c r="Z248" s="213">
        <f t="shared" si="3"/>
        <v>-1</v>
      </c>
      <c r="AA248" s="208">
        <f>VLOOKUP(표9[[#This Row],[Team]],표1[],3,0)</f>
        <v>1000</v>
      </c>
    </row>
    <row r="249" spans="1:27" s="8" customFormat="1" ht="15">
      <c r="A249" s="214" t="str">
        <f>VLOOKUP($H249,AWS!$A:$H,2,0)</f>
        <v>AWS</v>
      </c>
      <c r="B249" s="214" t="str">
        <f>VLOOKUP($H249,AWS!$A:$H,3,0)</f>
        <v>KRAFTON HQ</v>
      </c>
      <c r="C249" s="209" t="str">
        <f>VLOOKUP($H249,AWS!$A:$H,4,0)</f>
        <v>KRAFTON HQ</v>
      </c>
      <c r="D249" s="214" t="str">
        <f>VLOOKUP($H249,AWS!$A:$H,5,0)</f>
        <v>Service DevOps Team</v>
      </c>
      <c r="E249" s="214" t="str">
        <f>VLOOKUP($H249,AWS!$A:$H,6,0)</f>
        <v>OVERHEAD/OTHERS</v>
      </c>
      <c r="F249" s="202">
        <f>VLOOKUP(표9[[#This Row],[Team]],표1[[내역]:[코스트 센터]],2,0)</f>
        <v>100033</v>
      </c>
      <c r="G249" s="202" t="str">
        <f>VLOOKUP(표9[[#This Row],[Project]],표2[],2,0)</f>
        <v>I100099999</v>
      </c>
      <c r="H249" s="214" t="s">
        <v>276</v>
      </c>
      <c r="I249" s="214" t="str">
        <f>VLOOKUP($H249,AWS!$A:$H,8,0)</f>
        <v>엄기성</v>
      </c>
      <c r="J249" s="214" t="str">
        <f>VLOOKUP($H249,AWS!$A:$H,8,0)</f>
        <v>엄기성</v>
      </c>
      <c r="K249" s="187"/>
      <c r="L249" s="215">
        <v>2359206</v>
      </c>
      <c r="M249" s="216">
        <v>1946185</v>
      </c>
      <c r="N249" s="217">
        <v>2001833</v>
      </c>
      <c r="O249" s="217">
        <v>2307283</v>
      </c>
      <c r="P249" s="217">
        <v>2262339</v>
      </c>
      <c r="Q249" s="217">
        <v>1557631</v>
      </c>
      <c r="R249" s="217">
        <v>1554075</v>
      </c>
      <c r="S249" s="217">
        <v>2050350</v>
      </c>
      <c r="T249" s="212">
        <v>3110360</v>
      </c>
      <c r="U249" s="212">
        <v>2691339</v>
      </c>
      <c r="V249" s="205">
        <v>3006184</v>
      </c>
      <c r="W249" s="205">
        <f>ROUND(표9[[#This Row],[Apr 2026 (USD or KRW)]],0)</f>
        <v>0</v>
      </c>
      <c r="X249" s="212"/>
      <c r="Y249" s="206">
        <f>표9[[#This Row],[Apr 2027(KRW)]]-표9[[#This Row],[Mar 2026(KRW)]]</f>
        <v>-3006184</v>
      </c>
      <c r="Z249" s="213">
        <f t="shared" si="3"/>
        <v>-1</v>
      </c>
      <c r="AA249" s="208">
        <f>VLOOKUP(표9[[#This Row],[Team]],표1[],3,0)</f>
        <v>1000</v>
      </c>
    </row>
    <row r="250" spans="1:27" s="8" customFormat="1" ht="15">
      <c r="A250" s="214" t="str">
        <f>VLOOKUP($H250,AWS!$A:$H,2,0)</f>
        <v>AWS</v>
      </c>
      <c r="B250" s="214" t="str">
        <f>VLOOKUP($H250,AWS!$A:$H,3,0)</f>
        <v>BLUEHOLE</v>
      </c>
      <c r="C250" s="209" t="str">
        <f>VLOOKUP($H250,AWS!$A:$H,4,0)</f>
        <v>BLUEHOLE</v>
      </c>
      <c r="D250" s="214" t="str">
        <f>VLOOKUP($H250,AWS!$A:$H,5,0)</f>
        <v>[N/A]TERA</v>
      </c>
      <c r="E250" s="214" t="str">
        <f>VLOOKUP($H250,AWS!$A:$H,6,0)</f>
        <v>TERA_CONSOLE</v>
      </c>
      <c r="F250" s="202">
        <f>VLOOKUP(표9[[#This Row],[Team]],표1[[내역]:[코스트 센터]],2,0)</f>
        <v>110024</v>
      </c>
      <c r="G250" s="202" t="str">
        <f>VLOOKUP(표9[[#This Row],[Project]],표2[],2,0)</f>
        <v>P100020001</v>
      </c>
      <c r="H250" s="218" t="s">
        <v>277</v>
      </c>
      <c r="I250" s="214" t="str">
        <f>VLOOKUP($H250,AWS!$A:$H,8,0)</f>
        <v>이준호</v>
      </c>
      <c r="J250" s="214" t="str">
        <f>VLOOKUP($H250,AWS!$A:$H,8,0)</f>
        <v>이준호</v>
      </c>
      <c r="K250" s="187" t="s">
        <v>29</v>
      </c>
      <c r="L250" s="215">
        <v>193329</v>
      </c>
      <c r="M250" s="216">
        <v>198935</v>
      </c>
      <c r="N250" s="217">
        <v>194189</v>
      </c>
      <c r="O250" s="217">
        <v>206223</v>
      </c>
      <c r="P250" s="217">
        <v>197728</v>
      </c>
      <c r="Q250" s="217">
        <v>227284</v>
      </c>
      <c r="R250" s="217">
        <v>210024</v>
      </c>
      <c r="S250" s="217">
        <v>209063</v>
      </c>
      <c r="T250" s="212">
        <v>209174</v>
      </c>
      <c r="U250" s="212">
        <v>191795</v>
      </c>
      <c r="V250" s="205">
        <v>216897</v>
      </c>
      <c r="W250" s="205">
        <f>ROUND(표9[[#This Row],[Apr 2026 (USD or KRW)]],0)</f>
        <v>0</v>
      </c>
      <c r="X250" s="212"/>
      <c r="Y250" s="206">
        <f>표9[[#This Row],[Apr 2027(KRW)]]-표9[[#This Row],[Mar 2026(KRW)]]</f>
        <v>-216897</v>
      </c>
      <c r="Z250" s="213">
        <f t="shared" si="3"/>
        <v>-1</v>
      </c>
      <c r="AA250" s="208">
        <f>VLOOKUP(표9[[#This Row],[Team]],표1[],3,0)</f>
        <v>1100</v>
      </c>
    </row>
    <row r="251" spans="1:27" s="8" customFormat="1" ht="15">
      <c r="A251" s="214" t="str">
        <f>VLOOKUP($H251,AWS!$A:$H,2,0)</f>
        <v>AWS</v>
      </c>
      <c r="B251" s="214" t="str">
        <f>VLOOKUP($H251,AWS!$A:$H,3,0)</f>
        <v>BLUEHOLE</v>
      </c>
      <c r="C251" s="209" t="str">
        <f>VLOOKUP($H251,AWS!$A:$H,4,0)</f>
        <v>BLUEHOLE</v>
      </c>
      <c r="D251" s="214" t="str">
        <f>VLOOKUP($H251,AWS!$A:$H,5,0)</f>
        <v>T_Console Service Part</v>
      </c>
      <c r="E251" s="214" t="str">
        <f>VLOOKUP($H251,AWS!$A:$H,6,0)</f>
        <v>TERA_CONSOLE</v>
      </c>
      <c r="F251" s="202">
        <f>VLOOKUP(표9[[#This Row],[Team]],표1[[내역]:[코스트 센터]],2,0)</f>
        <v>110119</v>
      </c>
      <c r="G251" s="202" t="str">
        <f>VLOOKUP(표9[[#This Row],[Project]],표2[],2,0)</f>
        <v>P100020001</v>
      </c>
      <c r="H251" s="220" t="s">
        <v>278</v>
      </c>
      <c r="I251" s="214" t="str">
        <f>VLOOKUP($H251,AWS!$A:$H,8,0)</f>
        <v>배인성</v>
      </c>
      <c r="J251" s="214" t="str">
        <f>VLOOKUP($H251,AWS!$A:$H,8,0)</f>
        <v>배인성</v>
      </c>
      <c r="K251" s="187" t="s">
        <v>29</v>
      </c>
      <c r="L251" s="215">
        <v>19408</v>
      </c>
      <c r="M251" s="216">
        <v>26778</v>
      </c>
      <c r="N251" s="217">
        <v>18767</v>
      </c>
      <c r="O251" s="217">
        <v>25900</v>
      </c>
      <c r="P251" s="217">
        <v>22842</v>
      </c>
      <c r="Q251" s="217">
        <v>24111</v>
      </c>
      <c r="R251" s="217">
        <v>24685</v>
      </c>
      <c r="S251" s="217">
        <v>23601</v>
      </c>
      <c r="T251" s="212">
        <v>25588</v>
      </c>
      <c r="U251" s="212">
        <v>19249</v>
      </c>
      <c r="V251" s="205">
        <v>0</v>
      </c>
      <c r="W251" s="205">
        <f>ROUND(표9[[#This Row],[Apr 2026 (USD or KRW)]],0)</f>
        <v>0</v>
      </c>
      <c r="X251" s="212"/>
      <c r="Y251" s="206">
        <f>표9[[#This Row],[Apr 2027(KRW)]]-표9[[#This Row],[Mar 2026(KRW)]]</f>
        <v>0</v>
      </c>
      <c r="Z251" s="213" t="str">
        <f t="shared" si="3"/>
        <v/>
      </c>
      <c r="AA251" s="208">
        <f>VLOOKUP(표9[[#This Row],[Team]],표1[],3,0)</f>
        <v>1100</v>
      </c>
    </row>
    <row r="252" spans="1:27" s="8" customFormat="1" ht="15">
      <c r="A252" s="214" t="str">
        <f>VLOOKUP($H252,AWS!$A:$H,2,0)</f>
        <v>AWS</v>
      </c>
      <c r="B252" s="214" t="str">
        <f>VLOOKUP($H252,AWS!$A:$H,3,0)</f>
        <v>BLUEHOLE</v>
      </c>
      <c r="C252" s="209" t="str">
        <f>VLOOKUP($H252,AWS!$A:$H,4,0)</f>
        <v>BLUEHOLE</v>
      </c>
      <c r="D252" s="214" t="str">
        <f>VLOOKUP($H252,AWS!$A:$H,5,0)</f>
        <v>T_Console Service Part</v>
      </c>
      <c r="E252" s="214" t="str">
        <f>VLOOKUP($H252,AWS!$A:$H,6,0)</f>
        <v>TERA_CONSOLE</v>
      </c>
      <c r="F252" s="202">
        <f>VLOOKUP(표9[[#This Row],[Team]],표1[[내역]:[코스트 센터]],2,0)</f>
        <v>110119</v>
      </c>
      <c r="G252" s="202" t="str">
        <f>VLOOKUP(표9[[#This Row],[Project]],표2[],2,0)</f>
        <v>P100020001</v>
      </c>
      <c r="H252" s="220" t="s">
        <v>279</v>
      </c>
      <c r="I252" s="214" t="str">
        <f>VLOOKUP($H252,AWS!$A:$H,8,0)</f>
        <v>배인성</v>
      </c>
      <c r="J252" s="214" t="str">
        <f>VLOOKUP($H252,AWS!$A:$H,8,0)</f>
        <v>배인성</v>
      </c>
      <c r="K252" s="187" t="s">
        <v>29</v>
      </c>
      <c r="L252" s="215">
        <v>2460196</v>
      </c>
      <c r="M252" s="216">
        <v>2493688</v>
      </c>
      <c r="N252" s="217">
        <v>2539951</v>
      </c>
      <c r="O252" s="217">
        <v>2530942</v>
      </c>
      <c r="P252" s="217">
        <v>2444289</v>
      </c>
      <c r="Q252" s="217">
        <v>2436708</v>
      </c>
      <c r="R252" s="217">
        <v>2499811</v>
      </c>
      <c r="S252" s="217">
        <v>2499581</v>
      </c>
      <c r="T252" s="212">
        <v>2510577</v>
      </c>
      <c r="U252" s="212">
        <v>2435581</v>
      </c>
      <c r="V252" s="205">
        <v>2634704</v>
      </c>
      <c r="W252" s="205">
        <f>ROUND(표9[[#This Row],[Apr 2026 (USD or KRW)]],0)</f>
        <v>0</v>
      </c>
      <c r="X252" s="212"/>
      <c r="Y252" s="206">
        <f>표9[[#This Row],[Apr 2027(KRW)]]-표9[[#This Row],[Mar 2026(KRW)]]</f>
        <v>-2634704</v>
      </c>
      <c r="Z252" s="213">
        <f t="shared" si="3"/>
        <v>-1</v>
      </c>
      <c r="AA252" s="208">
        <f>VLOOKUP(표9[[#This Row],[Team]],표1[],3,0)</f>
        <v>1100</v>
      </c>
    </row>
    <row r="253" spans="1:27" s="8" customFormat="1" ht="15">
      <c r="A253" s="214" t="str">
        <f>VLOOKUP($H253,AWS!$A:$H,2,0)</f>
        <v>AWS</v>
      </c>
      <c r="B253" s="214" t="str">
        <f>VLOOKUP($H253,AWS!$A:$H,3,0)</f>
        <v>BLUEHOLE</v>
      </c>
      <c r="C253" s="209" t="str">
        <f>VLOOKUP($H253,AWS!$A:$H,4,0)</f>
        <v>BLUEHOLE</v>
      </c>
      <c r="D253" s="214" t="str">
        <f>VLOOKUP($H253,AWS!$A:$H,5,0)</f>
        <v>T_Console Service Part</v>
      </c>
      <c r="E253" s="214" t="str">
        <f>VLOOKUP($H253,AWS!$A:$H,6,0)</f>
        <v>TERA_Console</v>
      </c>
      <c r="F253" s="202">
        <f>VLOOKUP(표9[[#This Row],[Team]],표1[[내역]:[코스트 센터]],2,0)</f>
        <v>110119</v>
      </c>
      <c r="G253" s="202" t="str">
        <f>VLOOKUP(표9[[#This Row],[Project]],표2[],2,0)</f>
        <v>P100020001</v>
      </c>
      <c r="H253" s="214" t="s">
        <v>280</v>
      </c>
      <c r="I253" s="214" t="str">
        <f>VLOOKUP($H253,AWS!$A:$H,8,0)</f>
        <v>장은진</v>
      </c>
      <c r="J253" s="214" t="str">
        <f>VLOOKUP($H253,AWS!$A:$H,8,0)</f>
        <v>장은진</v>
      </c>
      <c r="K253" s="187" t="s">
        <v>29</v>
      </c>
      <c r="L253" s="215">
        <v>991461</v>
      </c>
      <c r="M253" s="216">
        <v>1012156</v>
      </c>
      <c r="N253" s="217">
        <v>1030814</v>
      </c>
      <c r="O253" s="217">
        <v>1083186</v>
      </c>
      <c r="P253" s="217">
        <v>1079183</v>
      </c>
      <c r="Q253" s="217">
        <v>1112293</v>
      </c>
      <c r="R253" s="217">
        <v>1150312</v>
      </c>
      <c r="S253" s="217">
        <v>1138815</v>
      </c>
      <c r="T253" s="212">
        <v>1109295</v>
      </c>
      <c r="U253" s="212">
        <v>1002180</v>
      </c>
      <c r="V253" s="205">
        <v>1066680</v>
      </c>
      <c r="W253" s="205">
        <f>ROUND(표9[[#This Row],[Apr 2026 (USD or KRW)]],0)</f>
        <v>0</v>
      </c>
      <c r="X253" s="212"/>
      <c r="Y253" s="206">
        <f>표9[[#This Row],[Apr 2027(KRW)]]-표9[[#This Row],[Mar 2026(KRW)]]</f>
        <v>-1066680</v>
      </c>
      <c r="Z253" s="213">
        <f t="shared" si="3"/>
        <v>-1</v>
      </c>
      <c r="AA253" s="208">
        <f>VLOOKUP(표9[[#This Row],[Team]],표1[],3,0)</f>
        <v>1100</v>
      </c>
    </row>
    <row r="254" spans="1:27" s="8" customFormat="1" ht="15">
      <c r="A254" s="214" t="str">
        <f>VLOOKUP($H254,AWS!$A:$H,2,0)</f>
        <v>AWS</v>
      </c>
      <c r="B254" s="214" t="str">
        <f>VLOOKUP($H254,AWS!$A:$H,3,0)</f>
        <v>KRAFTON HQ</v>
      </c>
      <c r="C254" s="209" t="str">
        <f>VLOOKUP($H254,AWS!$A:$H,4,0)</f>
        <v>KRAFTON HQ</v>
      </c>
      <c r="D254" s="214" t="str">
        <f>VLOOKUP($H254,AWS!$A:$H,5,0)</f>
        <v>IT Dept.</v>
      </c>
      <c r="E254" s="214" t="str">
        <f>VLOOKUP($H254,AWS!$A:$H,6,0)</f>
        <v>OVERHEAD/OTHERS</v>
      </c>
      <c r="F254" s="202">
        <f>VLOOKUP(표9[[#This Row],[Team]],표1[[내역]:[코스트 센터]],2,0)</f>
        <v>100036</v>
      </c>
      <c r="G254" s="202" t="str">
        <f>VLOOKUP(표9[[#This Row],[Project]],표2[],2,0)</f>
        <v>I100099999</v>
      </c>
      <c r="H254" s="214" t="s">
        <v>281</v>
      </c>
      <c r="I254" s="214" t="str">
        <f>VLOOKUP($H254,AWS!$A:$H,8,0)</f>
        <v>김재윤</v>
      </c>
      <c r="J254" s="214" t="str">
        <f>VLOOKUP($H254,AWS!$A:$H,8,0)</f>
        <v>김재윤</v>
      </c>
      <c r="K254" s="187" t="s">
        <v>29</v>
      </c>
      <c r="L254" s="215">
        <v>589795</v>
      </c>
      <c r="M254" s="216">
        <v>615934</v>
      </c>
      <c r="N254" s="217">
        <v>704299</v>
      </c>
      <c r="O254" s="217">
        <v>755667</v>
      </c>
      <c r="P254" s="217">
        <v>834702</v>
      </c>
      <c r="Q254" s="217">
        <v>809674</v>
      </c>
      <c r="R254" s="217">
        <v>945327</v>
      </c>
      <c r="S254" s="217">
        <v>876932</v>
      </c>
      <c r="T254" s="212">
        <v>1025730</v>
      </c>
      <c r="U254" s="212">
        <v>886245</v>
      </c>
      <c r="V254" s="205">
        <v>1189569</v>
      </c>
      <c r="W254" s="205">
        <f>ROUND(표9[[#This Row],[Apr 2026 (USD or KRW)]],0)</f>
        <v>0</v>
      </c>
      <c r="X254" s="212"/>
      <c r="Y254" s="206">
        <f>표9[[#This Row],[Apr 2027(KRW)]]-표9[[#This Row],[Mar 2026(KRW)]]</f>
        <v>-1189569</v>
      </c>
      <c r="Z254" s="213">
        <f t="shared" si="3"/>
        <v>-1</v>
      </c>
      <c r="AA254" s="208">
        <f>VLOOKUP(표9[[#This Row],[Team]],표1[],3,0)</f>
        <v>1000</v>
      </c>
    </row>
    <row r="255" spans="1:27" s="8" customFormat="1" ht="15">
      <c r="A255" s="214" t="str">
        <f>VLOOKUP($H255,AWS!$A:$H,2,0)</f>
        <v>AWS</v>
      </c>
      <c r="B255" s="214" t="str">
        <f>VLOOKUP($H255,AWS!$A:$H,3,0)</f>
        <v>KRAFTON HQ</v>
      </c>
      <c r="C255" s="209" t="str">
        <f>VLOOKUP($H255,AWS!$A:$H,4,0)</f>
        <v>KRAFTON HQ</v>
      </c>
      <c r="D255" s="214" t="str">
        <f>VLOOKUP($H255,AWS!$A:$H,5,0)</f>
        <v>Infra div.</v>
      </c>
      <c r="E255" s="214" t="str">
        <f>VLOOKUP($H255,AWS!$A:$H,6,0)</f>
        <v>OVERHEAD/OTHERS</v>
      </c>
      <c r="F255" s="202">
        <f>VLOOKUP(표9[[#This Row],[Team]],표1[[내역]:[코스트 센터]],2,0)</f>
        <v>100022</v>
      </c>
      <c r="G255" s="202" t="str">
        <f>VLOOKUP(표9[[#This Row],[Project]],표2[],2,0)</f>
        <v>I100099999</v>
      </c>
      <c r="H255" s="214" t="s">
        <v>282</v>
      </c>
      <c r="I255" s="214" t="str">
        <f>VLOOKUP($H255,AWS!$A:$H,8,0)</f>
        <v>이윤슬</v>
      </c>
      <c r="J255" s="214" t="str">
        <f>VLOOKUP($H255,AWS!$A:$H,8,0)</f>
        <v>이윤슬</v>
      </c>
      <c r="K255" s="187"/>
      <c r="L255" s="215"/>
      <c r="M255" s="216">
        <v>2941773</v>
      </c>
      <c r="N255" s="217">
        <v>1554411</v>
      </c>
      <c r="O255" s="217">
        <v>1615472</v>
      </c>
      <c r="P255" s="217">
        <v>2027184</v>
      </c>
      <c r="Q255" s="217">
        <v>1327705</v>
      </c>
      <c r="R255" s="217">
        <v>2435841</v>
      </c>
      <c r="S255" s="217">
        <v>2470086</v>
      </c>
      <c r="T255" s="212">
        <v>2488596</v>
      </c>
      <c r="U255" s="212">
        <v>2512606</v>
      </c>
      <c r="V255" s="205">
        <v>2688175</v>
      </c>
      <c r="W255" s="205">
        <f>ROUND(표9[[#This Row],[Apr 2026 (USD or KRW)]],0)</f>
        <v>0</v>
      </c>
      <c r="X255" s="212"/>
      <c r="Y255" s="206">
        <f>표9[[#This Row],[Apr 2027(KRW)]]-표9[[#This Row],[Mar 2026(KRW)]]</f>
        <v>-2688175</v>
      </c>
      <c r="Z255" s="213">
        <f t="shared" si="3"/>
        <v>-1</v>
      </c>
      <c r="AA255" s="208">
        <f>VLOOKUP(표9[[#This Row],[Team]],표1[],3,0)</f>
        <v>1000</v>
      </c>
    </row>
    <row r="256" spans="1:27" s="8" customFormat="1" ht="15">
      <c r="A256" s="209" t="str">
        <f>VLOOKUP($H256,AWS!$A:$H,2,0)</f>
        <v>AWS</v>
      </c>
      <c r="B256" s="209" t="str">
        <f>VLOOKUP($H256,AWS!$A:$H,3,0)</f>
        <v>5Minlab</v>
      </c>
      <c r="C256" s="209" t="str">
        <f>VLOOKUP($H256,AWS!$A:$H,4,0)</f>
        <v>5Minlab</v>
      </c>
      <c r="D256" s="214" t="str">
        <f>VLOOKUP($H256,AWS!$A:$H,5,0)</f>
        <v>5ml Tech Dept</v>
      </c>
      <c r="E256" s="214">
        <f>VLOOKUP($H256,AWS!$A:$H,6,0)</f>
        <v>0</v>
      </c>
      <c r="F256" s="202">
        <f>VLOOKUP(표9[[#This Row],[Team]],표1[[내역]:[코스트 센터]],2,0)</f>
        <v>400030</v>
      </c>
      <c r="G256" s="202" t="e">
        <f>VLOOKUP(표9[[#This Row],[Project]],표2[],2,0)</f>
        <v>#N/A</v>
      </c>
      <c r="H256" s="209" t="s">
        <v>283</v>
      </c>
      <c r="I256" s="209" t="str">
        <f>VLOOKUP($H256,AWS!$A:$H,7,0)</f>
        <v>유지현</v>
      </c>
      <c r="J256" s="214" t="str">
        <f>VLOOKUP($H256,AWS!$A:$H,8,0)</f>
        <v>유지현</v>
      </c>
      <c r="K256" s="186"/>
      <c r="L256" s="210">
        <v>95408</v>
      </c>
      <c r="M256" s="211">
        <v>85998</v>
      </c>
      <c r="N256" s="212">
        <v>91379</v>
      </c>
      <c r="O256" s="212">
        <v>95239</v>
      </c>
      <c r="P256" s="212">
        <v>74749</v>
      </c>
      <c r="Q256" s="212">
        <v>88579</v>
      </c>
      <c r="R256" s="212">
        <v>1419982</v>
      </c>
      <c r="S256" s="212">
        <v>2540779</v>
      </c>
      <c r="T256" s="212">
        <v>2055520</v>
      </c>
      <c r="U256" s="212">
        <v>1856965</v>
      </c>
      <c r="V256" s="205">
        <v>2471930</v>
      </c>
      <c r="W256" s="205">
        <f>ROUND(표9[[#This Row],[Apr 2026 (USD or KRW)]],0)</f>
        <v>0</v>
      </c>
      <c r="X256" s="212"/>
      <c r="Y256" s="206">
        <f>표9[[#This Row],[Apr 2027(KRW)]]-표9[[#This Row],[Mar 2026(KRW)]]</f>
        <v>-2471930</v>
      </c>
      <c r="Z256" s="213">
        <f t="shared" si="3"/>
        <v>-1</v>
      </c>
      <c r="AA256" s="208">
        <f>VLOOKUP(표9[[#This Row],[Team]],표1[],3,0)</f>
        <v>4000</v>
      </c>
    </row>
    <row r="257" spans="1:27" s="8" customFormat="1" ht="15">
      <c r="A257" s="214" t="str">
        <f>VLOOKUP($H257,AWS!$A:$H,2,0)</f>
        <v>AWS</v>
      </c>
      <c r="B257" s="214" t="str">
        <f>VLOOKUP($H257,AWS!$A:$H,3,0)</f>
        <v>KRAFTON HQ</v>
      </c>
      <c r="C257" s="209" t="str">
        <f>VLOOKUP($H257,AWS!$A:$H,4,0)</f>
        <v>KRAFTON HQ</v>
      </c>
      <c r="D257" s="214" t="str">
        <f>VLOOKUP($H257,AWS!$A:$H,5,0)</f>
        <v>KRAFTON HQ</v>
      </c>
      <c r="E257" s="214" t="str">
        <f>VLOOKUP($H257,AWS!$A:$H,6,0)</f>
        <v>OVERHEAD/OTHERS</v>
      </c>
      <c r="F257" s="202">
        <f>VLOOKUP(표9[[#This Row],[Team]],표1[[내역]:[코스트 센터]],2,0)</f>
        <v>100009</v>
      </c>
      <c r="G257" s="202" t="str">
        <f>VLOOKUP(표9[[#This Row],[Project]],표2[],2,0)</f>
        <v>I100099999</v>
      </c>
      <c r="H257" s="223" t="s">
        <v>284</v>
      </c>
      <c r="I257" s="214" t="str">
        <f>VLOOKUP($H257,AWS!$A:$H,8,0)</f>
        <v>이윤슬</v>
      </c>
      <c r="J257" s="214" t="str">
        <f>VLOOKUP($H257,AWS!$A:$H,8,0)</f>
        <v>이윤슬</v>
      </c>
      <c r="K257" s="187"/>
      <c r="L257" s="215"/>
      <c r="M257" s="216"/>
      <c r="N257" s="217"/>
      <c r="O257" s="217"/>
      <c r="P257" s="217"/>
      <c r="Q257" s="217"/>
      <c r="R257" s="217"/>
      <c r="S257" s="217">
        <v>-699878760</v>
      </c>
      <c r="T257" s="212">
        <v>-699878760</v>
      </c>
      <c r="U257" s="212">
        <v>-699878760</v>
      </c>
      <c r="V257" s="212">
        <v>-699878760</v>
      </c>
      <c r="W257" s="205">
        <f>ROUND(표9[[#This Row],[Apr 2026 (USD or KRW)]],0)</f>
        <v>0</v>
      </c>
      <c r="X257" s="212"/>
      <c r="Y257" s="206">
        <f>표9[[#This Row],[Apr 2027(KRW)]]-표9[[#This Row],[Mar 2026(KRW)]]</f>
        <v>699878760</v>
      </c>
      <c r="Z257" s="213">
        <f t="shared" si="3"/>
        <v>-1</v>
      </c>
      <c r="AA257" s="208">
        <f>VLOOKUP(표9[[#This Row],[Team]],표1[],3,0)</f>
        <v>1000</v>
      </c>
    </row>
    <row r="258" spans="1:27" s="8" customFormat="1" ht="15">
      <c r="A258" s="214" t="str">
        <f>VLOOKUP($H258,AWS!$A:$H,2,0)</f>
        <v>AWS</v>
      </c>
      <c r="B258" s="214" t="str">
        <f>VLOOKUP($H258,AWS!$A:$H,3,0)</f>
        <v>KRAFTON HQ</v>
      </c>
      <c r="C258" s="209" t="str">
        <f>VLOOKUP($H258,AWS!$A:$H,4,0)</f>
        <v>KRAFTON HQ</v>
      </c>
      <c r="D258" s="214" t="str">
        <f>VLOOKUP($H258,AWS!$A:$H,5,0)</f>
        <v>Data Engineering Dept.</v>
      </c>
      <c r="E258" s="214" t="str">
        <f>VLOOKUP($H258,AWS!$A:$H,6,0)</f>
        <v>OVERHEAD/OTHERS</v>
      </c>
      <c r="F258" s="202">
        <f>VLOOKUP(표9[[#This Row],[Team]],표1[[내역]:[코스트 센터]],2,0)</f>
        <v>100212</v>
      </c>
      <c r="G258" s="202" t="str">
        <f>VLOOKUP(표9[[#This Row],[Project]],표2[],2,0)</f>
        <v>I100099999</v>
      </c>
      <c r="H258" s="214" t="s">
        <v>285</v>
      </c>
      <c r="I258" s="214" t="str">
        <f>VLOOKUP($H258,AWS!$A:$H,8,0)</f>
        <v>김시훈</v>
      </c>
      <c r="J258" s="214" t="str">
        <f>VLOOKUP($H258,AWS!$A:$H,8,0)</f>
        <v>김시훈</v>
      </c>
      <c r="K258" s="187" t="s">
        <v>29</v>
      </c>
      <c r="L258" s="215">
        <v>6476228</v>
      </c>
      <c r="M258" s="216">
        <v>6190826</v>
      </c>
      <c r="N258" s="217">
        <v>7041066</v>
      </c>
      <c r="O258" s="217">
        <v>8330087</v>
      </c>
      <c r="P258" s="217">
        <v>8213724</v>
      </c>
      <c r="Q258" s="217">
        <v>8952499</v>
      </c>
      <c r="R258" s="217">
        <v>9367099</v>
      </c>
      <c r="S258" s="217">
        <v>8894925</v>
      </c>
      <c r="T258" s="212">
        <v>7526502</v>
      </c>
      <c r="U258" s="212">
        <v>6258784</v>
      </c>
      <c r="V258" s="205">
        <v>4332280</v>
      </c>
      <c r="W258" s="205">
        <f>ROUND(표9[[#This Row],[Apr 2026 (USD or KRW)]],0)</f>
        <v>0</v>
      </c>
      <c r="X258" s="212"/>
      <c r="Y258" s="206">
        <f>표9[[#This Row],[Apr 2027(KRW)]]-표9[[#This Row],[Mar 2026(KRW)]]</f>
        <v>-4332280</v>
      </c>
      <c r="Z258" s="213">
        <f t="shared" si="3"/>
        <v>-1</v>
      </c>
      <c r="AA258" s="208">
        <f>VLOOKUP(표9[[#This Row],[Team]],표1[],3,0)</f>
        <v>1000</v>
      </c>
    </row>
    <row r="259" spans="1:27" s="8" customFormat="1" ht="15">
      <c r="A259" s="214" t="str">
        <f>VLOOKUP($H259,AWS!$A:$H,2,0)</f>
        <v>AWS</v>
      </c>
      <c r="B259" s="214" t="str">
        <f>VLOOKUP($H259,AWS!$A:$H,3,0)</f>
        <v>KRAFTON HQ</v>
      </c>
      <c r="C259" s="209" t="str">
        <f>VLOOKUP($H259,AWS!$A:$H,4,0)</f>
        <v>KRAFTON HQ</v>
      </c>
      <c r="D259" s="214" t="str">
        <f>VLOOKUP($H259,AWS!$A:$H,5,0)</f>
        <v>Publishing Tech PM Part</v>
      </c>
      <c r="E259" s="214" t="str">
        <f>VLOOKUP($H259,AWS!$A:$H,6,0)</f>
        <v>DEFENSE DERBY</v>
      </c>
      <c r="F259" s="202">
        <f>VLOOKUP(표9[[#This Row],[Team]],표1[[내역]:[코스트 센터]],2,0)</f>
        <v>101269</v>
      </c>
      <c r="G259" s="202" t="str">
        <f>VLOOKUP(표9[[#This Row],[Project]],표2[],2,0)</f>
        <v>P100030042</v>
      </c>
      <c r="H259" s="214" t="s">
        <v>286</v>
      </c>
      <c r="I259" s="214" t="str">
        <f>VLOOKUP($H259,AWS!$A:$H,8,0)</f>
        <v>이진호</v>
      </c>
      <c r="J259" s="214" t="str">
        <f>VLOOKUP($H259,AWS!$A:$H,8,0)</f>
        <v>이진호</v>
      </c>
      <c r="K259" s="187" t="s">
        <v>29</v>
      </c>
      <c r="L259" s="215">
        <v>12718349</v>
      </c>
      <c r="M259" s="216">
        <v>9018727</v>
      </c>
      <c r="N259" s="217">
        <v>4575704</v>
      </c>
      <c r="O259" s="217">
        <v>4625992</v>
      </c>
      <c r="P259" s="217">
        <v>4588542</v>
      </c>
      <c r="Q259" s="217">
        <v>2241491</v>
      </c>
      <c r="R259" s="217"/>
      <c r="S259" s="217">
        <v>0</v>
      </c>
      <c r="T259" s="212">
        <v>0</v>
      </c>
      <c r="U259" s="212">
        <v>0</v>
      </c>
      <c r="V259" s="205">
        <v>0</v>
      </c>
      <c r="W259" s="205">
        <f>ROUND(표9[[#This Row],[Apr 2026 (USD or KRW)]],0)</f>
        <v>0</v>
      </c>
      <c r="X259" s="212"/>
      <c r="Y259" s="206">
        <f>표9[[#This Row],[Apr 2027(KRW)]]-표9[[#This Row],[Mar 2026(KRW)]]</f>
        <v>0</v>
      </c>
      <c r="Z259" s="213" t="str">
        <f t="shared" si="3"/>
        <v/>
      </c>
      <c r="AA259" s="208">
        <f>VLOOKUP(표9[[#This Row],[Team]],표1[],3,0)</f>
        <v>1000</v>
      </c>
    </row>
    <row r="260" spans="1:27" s="8" customFormat="1" ht="15">
      <c r="A260" s="214" t="str">
        <f>VLOOKUP($H260,AWS!$A:$H,2,0)</f>
        <v>AWS</v>
      </c>
      <c r="B260" s="214" t="str">
        <f>VLOOKUP($H260,AWS!$A:$H,3,0)</f>
        <v>KRAFTON HQ</v>
      </c>
      <c r="C260" s="209" t="str">
        <f>VLOOKUP($H260,AWS!$A:$H,4,0)</f>
        <v>KRAFTON HQ</v>
      </c>
      <c r="D260" s="214" t="str">
        <f>VLOOKUP($H260,AWS!$A:$H,5,0)</f>
        <v>Publishing Tech PM Part</v>
      </c>
      <c r="E260" s="214" t="str">
        <f>VLOOKUP($H260,AWS!$A:$H,6,0)</f>
        <v>OVERHEAD/OTHERS</v>
      </c>
      <c r="F260" s="202">
        <f>VLOOKUP(표9[[#This Row],[Team]],표1[[내역]:[코스트 센터]],2,0)</f>
        <v>101269</v>
      </c>
      <c r="G260" s="202" t="str">
        <f>VLOOKUP(표9[[#This Row],[Project]],표2[],2,0)</f>
        <v>I100099999</v>
      </c>
      <c r="H260" s="214" t="s">
        <v>287</v>
      </c>
      <c r="I260" s="214" t="str">
        <f>VLOOKUP($H260,AWS!$A:$H,8,0)</f>
        <v>김정언</v>
      </c>
      <c r="J260" s="214" t="str">
        <f>VLOOKUP($H260,AWS!$A:$H,8,0)</f>
        <v>김정언</v>
      </c>
      <c r="K260" s="187" t="s">
        <v>29</v>
      </c>
      <c r="L260" s="215">
        <v>1128545</v>
      </c>
      <c r="M260" s="216">
        <v>1058564</v>
      </c>
      <c r="N260" s="217">
        <v>1114621</v>
      </c>
      <c r="O260" s="217">
        <v>1170774</v>
      </c>
      <c r="P260" s="217">
        <v>1112140</v>
      </c>
      <c r="Q260" s="217">
        <v>1139324</v>
      </c>
      <c r="R260" s="217">
        <v>1168248</v>
      </c>
      <c r="S260" s="217">
        <v>1174673</v>
      </c>
      <c r="T260" s="212">
        <v>1167076</v>
      </c>
      <c r="U260" s="212">
        <v>1059827</v>
      </c>
      <c r="V260" s="205">
        <v>1227369</v>
      </c>
      <c r="W260" s="205">
        <f>ROUND(표9[[#This Row],[Apr 2026 (USD or KRW)]],0)</f>
        <v>0</v>
      </c>
      <c r="X260" s="212"/>
      <c r="Y260" s="206">
        <f>표9[[#This Row],[Apr 2027(KRW)]]-표9[[#This Row],[Mar 2026(KRW)]]</f>
        <v>-1227369</v>
      </c>
      <c r="Z260" s="213">
        <f t="shared" ref="Z260:Z340" si="4">IF(V260=0,"",(W260-V260)/V260)</f>
        <v>-1</v>
      </c>
      <c r="AA260" s="208">
        <f>VLOOKUP(표9[[#This Row],[Team]],표1[],3,0)</f>
        <v>1000</v>
      </c>
    </row>
    <row r="261" spans="1:27" s="8" customFormat="1" ht="15">
      <c r="A261" s="214" t="str">
        <f>VLOOKUP($H261,AWS!$A:$H,2,0)</f>
        <v>AWS</v>
      </c>
      <c r="B261" s="214" t="str">
        <f>VLOOKUP($H261,AWS!$A:$H,3,0)</f>
        <v>KRAFTON HQ</v>
      </c>
      <c r="C261" s="209" t="str">
        <f>VLOOKUP($H261,AWS!$A:$H,4,0)</f>
        <v>KRAFTON HQ</v>
      </c>
      <c r="D261" s="214" t="str">
        <f>VLOOKUP($H261,AWS!$A:$H,5,0)</f>
        <v>Service DevOps Team</v>
      </c>
      <c r="E261" s="214" t="str">
        <f>VLOOKUP($H261,AWS!$A:$H,6,0)</f>
        <v>PROJECT WINDLESS</v>
      </c>
      <c r="F261" s="202">
        <f>VLOOKUP(표9[[#This Row],[Team]],표1[[내역]:[코스트 센터]],2,0)</f>
        <v>100033</v>
      </c>
      <c r="G261" s="202" t="str">
        <f>VLOOKUP(표9[[#This Row],[Project]],표2[],2,0)</f>
        <v>P100030805</v>
      </c>
      <c r="H261" s="214" t="s">
        <v>288</v>
      </c>
      <c r="I261" s="214" t="str">
        <f>VLOOKUP($H261,AWS!$A:$H,8,0)</f>
        <v>엄기성</v>
      </c>
      <c r="J261" s="214" t="str">
        <f>VLOOKUP($H261,AWS!$A:$H,8,0)</f>
        <v>엄기성</v>
      </c>
      <c r="K261" s="187"/>
      <c r="L261" s="215">
        <v>49256360</v>
      </c>
      <c r="M261" s="216">
        <v>43675150</v>
      </c>
      <c r="N261" s="217">
        <v>46859706</v>
      </c>
      <c r="O261" s="217">
        <v>46497275</v>
      </c>
      <c r="P261" s="217">
        <v>45448876</v>
      </c>
      <c r="Q261" s="217">
        <v>49044060</v>
      </c>
      <c r="R261" s="217">
        <v>49543694</v>
      </c>
      <c r="S261" s="217">
        <v>65722669</v>
      </c>
      <c r="T261" s="212">
        <v>53926788</v>
      </c>
      <c r="U261" s="212">
        <v>46767403</v>
      </c>
      <c r="V261" s="205">
        <v>52744143</v>
      </c>
      <c r="W261" s="205">
        <f>ROUND(표9[[#This Row],[Apr 2026 (USD or KRW)]],0)</f>
        <v>0</v>
      </c>
      <c r="X261" s="212"/>
      <c r="Y261" s="206">
        <f>표9[[#This Row],[Apr 2027(KRW)]]-표9[[#This Row],[Mar 2026(KRW)]]</f>
        <v>-52744143</v>
      </c>
      <c r="Z261" s="213">
        <f t="shared" si="4"/>
        <v>-1</v>
      </c>
      <c r="AA261" s="208">
        <f>VLOOKUP(표9[[#This Row],[Team]],표1[],3,0)</f>
        <v>1000</v>
      </c>
    </row>
    <row r="262" spans="1:27" s="8" customFormat="1" ht="15">
      <c r="A262" s="209" t="str">
        <f>VLOOKUP($H262,AWS!$A:$H,2,0)</f>
        <v>AWS</v>
      </c>
      <c r="B262" s="209" t="str">
        <f>VLOOKUP($H262,AWS!$A:$H,3,0)</f>
        <v>OVERDARE</v>
      </c>
      <c r="C262" s="209" t="str">
        <f>VLOOKUP($H262,AWS!$A:$H,4,0)</f>
        <v>OVERDARE</v>
      </c>
      <c r="D262" s="214" t="str">
        <f>VLOOKUP($H262,AWS!$A:$H,5,0)</f>
        <v>OVDR Platform Engineering Team</v>
      </c>
      <c r="E262" s="214" t="str">
        <f>VLOOKUP($H262,AWS!$A:$H,6,0)</f>
        <v>OVERHEAD/OTHERS</v>
      </c>
      <c r="F262" s="202">
        <f>VLOOKUP(표9[[#This Row],[Team]],표1[[내역]:[코스트 센터]],2,0)</f>
        <v>460005</v>
      </c>
      <c r="G262" s="202" t="str">
        <f>VLOOKUP(표9[[#This Row],[Project]],표2[],2,0)</f>
        <v>I100099999</v>
      </c>
      <c r="H262" s="209" t="s">
        <v>289</v>
      </c>
      <c r="I262" s="209" t="str">
        <f>VLOOKUP($H262,AWS!$A:$H,7,0)</f>
        <v>이제우</v>
      </c>
      <c r="J262" s="214" t="str">
        <f>VLOOKUP($H262,AWS!$A:$H,8,0)</f>
        <v>이제우</v>
      </c>
      <c r="K262" s="186"/>
      <c r="L262" s="210">
        <v>3659372</v>
      </c>
      <c r="M262" s="211">
        <v>3182073</v>
      </c>
      <c r="N262" s="212">
        <v>3552260</v>
      </c>
      <c r="O262" s="212">
        <v>3058728</v>
      </c>
      <c r="P262" s="212">
        <v>3066280</v>
      </c>
      <c r="Q262" s="212">
        <v>3638600</v>
      </c>
      <c r="R262" s="212">
        <v>3812931</v>
      </c>
      <c r="S262" s="212">
        <v>4250810</v>
      </c>
      <c r="T262" s="212">
        <v>4121798</v>
      </c>
      <c r="U262" s="212">
        <v>3486436</v>
      </c>
      <c r="V262" s="205">
        <v>4256194</v>
      </c>
      <c r="W262" s="205">
        <f>ROUND(표9[[#This Row],[Apr 2026 (USD or KRW)]],0)</f>
        <v>0</v>
      </c>
      <c r="X262" s="212"/>
      <c r="Y262" s="206">
        <f>표9[[#This Row],[Apr 2027(KRW)]]-표9[[#This Row],[Mar 2026(KRW)]]</f>
        <v>-4256194</v>
      </c>
      <c r="Z262" s="213">
        <f t="shared" si="4"/>
        <v>-1</v>
      </c>
      <c r="AA262" s="208">
        <f>VLOOKUP(표9[[#This Row],[Team]],표1[],3,0)</f>
        <v>4600</v>
      </c>
    </row>
    <row r="263" spans="1:27" s="8" customFormat="1" ht="15">
      <c r="A263" s="214" t="str">
        <f>VLOOKUP($H263,AWS!$A:$H,2,0)</f>
        <v>AWS</v>
      </c>
      <c r="B263" s="214" t="str">
        <f>VLOOKUP($H263,AWS!$A:$H,3,0)</f>
        <v>KRAFTON HQ</v>
      </c>
      <c r="C263" s="209" t="str">
        <f>VLOOKUP($H263,AWS!$A:$H,4,0)</f>
        <v>SDS</v>
      </c>
      <c r="D263" s="214" t="str">
        <f>VLOOKUP($H263,AWS!$A:$H,5,0)</f>
        <v>Striking Distance Studios</v>
      </c>
      <c r="E263" s="214" t="str">
        <f>VLOOKUP($H263,AWS!$A:$H,6,0)</f>
        <v>The Callisto Protocol</v>
      </c>
      <c r="F263" s="202">
        <f>VLOOKUP(표9[[#This Row],[Team]],표1[[내역]:[코스트 센터]],2,0)</f>
        <v>100561</v>
      </c>
      <c r="G263" s="202" t="str">
        <f>VLOOKUP(표9[[#This Row],[Project]],표2[],2,0)</f>
        <v>P100010013</v>
      </c>
      <c r="H263" s="214" t="s">
        <v>290</v>
      </c>
      <c r="I263" s="214" t="str">
        <f>VLOOKUP($H263,AWS!$A:$H,8,0)</f>
        <v>Jordan Yerkes</v>
      </c>
      <c r="J263" s="214" t="str">
        <f>VLOOKUP($H263,AWS!$A:$H,8,0)</f>
        <v>Jordan Yerkes</v>
      </c>
      <c r="K263" s="187"/>
      <c r="L263" s="215">
        <v>19874819</v>
      </c>
      <c r="M263" s="216">
        <v>15535979</v>
      </c>
      <c r="N263" s="217"/>
      <c r="O263" s="217"/>
      <c r="P263" s="217"/>
      <c r="Q263" s="217"/>
      <c r="R263" s="217"/>
      <c r="S263" s="217">
        <v>0</v>
      </c>
      <c r="T263" s="212">
        <v>0</v>
      </c>
      <c r="U263" s="212">
        <v>0</v>
      </c>
      <c r="V263" s="205">
        <v>0</v>
      </c>
      <c r="W263" s="205">
        <f>ROUND(표9[[#This Row],[Apr 2026 (USD or KRW)]],0)</f>
        <v>0</v>
      </c>
      <c r="X263" s="212"/>
      <c r="Y263" s="206">
        <f>표9[[#This Row],[Apr 2027(KRW)]]-표9[[#This Row],[Mar 2026(KRW)]]</f>
        <v>0</v>
      </c>
      <c r="Z263" s="213" t="str">
        <f t="shared" si="4"/>
        <v/>
      </c>
      <c r="AA263" s="208">
        <f>VLOOKUP(표9[[#This Row],[Team]],표1[],3,0)</f>
        <v>1000</v>
      </c>
    </row>
    <row r="264" spans="1:27" s="8" customFormat="1" ht="15">
      <c r="A264" s="214" t="str">
        <f>VLOOKUP($H264,AWS!$A:$H,2,0)</f>
        <v>AWS</v>
      </c>
      <c r="B264" s="214" t="str">
        <f>VLOOKUP($H264,AWS!$A:$H,3,0)</f>
        <v>KRAFTON HQ</v>
      </c>
      <c r="C264" s="209" t="str">
        <f>VLOOKUP($H264,AWS!$A:$H,4,0)</f>
        <v>PUBG NewState</v>
      </c>
      <c r="D264" s="214" t="str">
        <f>VLOOKUP($H264,AWS!$A:$H,5,0)</f>
        <v>[N/A]New State Dev Div.</v>
      </c>
      <c r="E264" s="214" t="str">
        <f>VLOOKUP($H264,AWS!$A:$H,6,0)</f>
        <v>PUBG:NEW STATE</v>
      </c>
      <c r="F264" s="202">
        <f>VLOOKUP(표9[[#This Row],[Team]],표1[[내역]:[코스트 센터]],2,0)</f>
        <v>100368</v>
      </c>
      <c r="G264" s="202" t="str">
        <f>VLOOKUP(표9[[#This Row],[Project]],표2[],2,0)</f>
        <v>P100030014</v>
      </c>
      <c r="H264" s="214" t="s">
        <v>291</v>
      </c>
      <c r="I264" s="214" t="str">
        <f>VLOOKUP($H264,AWS!$A:$H,8,0)</f>
        <v>김태완</v>
      </c>
      <c r="J264" s="214" t="str">
        <f>VLOOKUP($H264,AWS!$A:$H,8,0)</f>
        <v>김태완</v>
      </c>
      <c r="K264" s="187" t="s">
        <v>29</v>
      </c>
      <c r="L264" s="215">
        <v>32157196</v>
      </c>
      <c r="M264" s="216">
        <v>30479964</v>
      </c>
      <c r="N264" s="217">
        <v>32194519</v>
      </c>
      <c r="O264" s="217">
        <v>32557913</v>
      </c>
      <c r="P264" s="217">
        <v>31711178</v>
      </c>
      <c r="Q264" s="217">
        <v>33133151</v>
      </c>
      <c r="R264" s="217">
        <v>32984856</v>
      </c>
      <c r="S264" s="217">
        <v>31191029</v>
      </c>
      <c r="T264" s="212">
        <v>24950305</v>
      </c>
      <c r="U264" s="212">
        <v>22077854</v>
      </c>
      <c r="V264" s="205">
        <v>25777420</v>
      </c>
      <c r="W264" s="205">
        <f>ROUND(표9[[#This Row],[Apr 2026 (USD or KRW)]],0)</f>
        <v>0</v>
      </c>
      <c r="X264" s="212"/>
      <c r="Y264" s="206">
        <f>표9[[#This Row],[Apr 2027(KRW)]]-표9[[#This Row],[Mar 2026(KRW)]]</f>
        <v>-25777420</v>
      </c>
      <c r="Z264" s="213">
        <f t="shared" si="4"/>
        <v>-1</v>
      </c>
      <c r="AA264" s="208">
        <f>VLOOKUP(표9[[#This Row],[Team]],표1[],3,0)</f>
        <v>1000</v>
      </c>
    </row>
    <row r="265" spans="1:27" s="8" customFormat="1" ht="15">
      <c r="A265" s="214" t="str">
        <f>VLOOKUP($H265,AWS!$A:$H,2,0)</f>
        <v>AWS</v>
      </c>
      <c r="B265" s="214" t="str">
        <f>VLOOKUP($H265,AWS!$A:$H,3,0)</f>
        <v>KRAFTON HQ</v>
      </c>
      <c r="C265" s="209" t="str">
        <f>VLOOKUP($H265,AWS!$A:$H,4,0)</f>
        <v>PUBG STUDIO</v>
      </c>
      <c r="D265" s="214" t="str">
        <f>VLOOKUP($H265,AWS!$A:$H,5,0)</f>
        <v>PUBG PC&amp;Console Dev Div.</v>
      </c>
      <c r="E265" s="214" t="str">
        <f>VLOOKUP($H265,AWS!$A:$H,6,0)</f>
        <v>BATTLEGROUNDS_PC/CONSOLE</v>
      </c>
      <c r="F265" s="202">
        <f>VLOOKUP(표9[[#This Row],[Team]],표1[[내역]:[코스트 센터]],2,0)</f>
        <v>100414</v>
      </c>
      <c r="G265" s="202" t="str">
        <f>VLOOKUP(표9[[#This Row],[Project]],표2[],2,0)</f>
        <v>P100010012</v>
      </c>
      <c r="H265" s="214" t="s">
        <v>292</v>
      </c>
      <c r="I265" s="214" t="str">
        <f>VLOOKUP($H265,AWS!$A:$H,8,0)</f>
        <v>김시훈</v>
      </c>
      <c r="J265" s="214" t="str">
        <f>VLOOKUP($H265,AWS!$A:$H,8,0)</f>
        <v>김시훈</v>
      </c>
      <c r="K265" s="187"/>
      <c r="L265" s="215">
        <v>16664611</v>
      </c>
      <c r="M265" s="216">
        <v>15898747</v>
      </c>
      <c r="N265" s="217">
        <v>16277149</v>
      </c>
      <c r="O265" s="217">
        <v>12562812</v>
      </c>
      <c r="P265" s="217">
        <v>11977692</v>
      </c>
      <c r="Q265" s="217">
        <v>12408807</v>
      </c>
      <c r="R265" s="217">
        <v>12087773</v>
      </c>
      <c r="S265" s="217">
        <v>12325275</v>
      </c>
      <c r="T265" s="212">
        <v>11750464</v>
      </c>
      <c r="U265" s="212">
        <v>10272218</v>
      </c>
      <c r="V265" s="205">
        <v>11908455</v>
      </c>
      <c r="W265" s="205">
        <f>ROUND(표9[[#This Row],[Apr 2026 (USD or KRW)]],0)</f>
        <v>0</v>
      </c>
      <c r="X265" s="212"/>
      <c r="Y265" s="206">
        <f>표9[[#This Row],[Apr 2027(KRW)]]-표9[[#This Row],[Mar 2026(KRW)]]</f>
        <v>-11908455</v>
      </c>
      <c r="Z265" s="213">
        <f t="shared" si="4"/>
        <v>-1</v>
      </c>
      <c r="AA265" s="208">
        <f>VLOOKUP(표9[[#This Row],[Team]],표1[],3,0)</f>
        <v>1000</v>
      </c>
    </row>
    <row r="266" spans="1:27" s="8" customFormat="1" ht="17">
      <c r="A266" s="214" t="str">
        <f>VLOOKUP($H266,AWS!$A:$H,2,0)</f>
        <v>AWS</v>
      </c>
      <c r="B266" s="214" t="str">
        <f>VLOOKUP($H266,AWS!$A:$H,3,0)</f>
        <v>KRAFTON HQ</v>
      </c>
      <c r="C266" s="209" t="str">
        <f>VLOOKUP($H266,AWS!$A:$H,4,0)</f>
        <v>PUBG STUDIO</v>
      </c>
      <c r="D266" s="214" t="str">
        <f>VLOOKUP($H266,AWS!$A:$H,5,0)</f>
        <v>PUBG PC&amp;Console Dev Div.</v>
      </c>
      <c r="E266" s="214" t="str">
        <f>VLOOKUP($H266,AWS!$A:$H,6,0)</f>
        <v>BATTLEGROUNDS_PC/CONSOLE</v>
      </c>
      <c r="F266" s="202">
        <f>VLOOKUP(표9[[#This Row],[Team]],표1[[내역]:[코스트 센터]],2,0)</f>
        <v>100414</v>
      </c>
      <c r="G266" s="202" t="str">
        <f>VLOOKUP(표9[[#This Row],[Project]],표2[],2,0)</f>
        <v>P100010012</v>
      </c>
      <c r="H266" s="184" t="s">
        <v>293</v>
      </c>
      <c r="I266" s="214" t="str">
        <f>VLOOKUP($H266,AWS!$A:$H,8,0)</f>
        <v>최준석</v>
      </c>
      <c r="J266" s="214" t="str">
        <f>VLOOKUP($H266,AWS!$A:$H,8,0)</f>
        <v>최준석</v>
      </c>
      <c r="K266" s="186"/>
      <c r="L266" s="215">
        <v>832368536</v>
      </c>
      <c r="M266" s="216">
        <v>807586524</v>
      </c>
      <c r="N266" s="217">
        <v>854878169</v>
      </c>
      <c r="O266" s="217">
        <v>798508852</v>
      </c>
      <c r="P266" s="217">
        <v>749084864</v>
      </c>
      <c r="Q266" s="217">
        <v>794101665</v>
      </c>
      <c r="R266" s="217">
        <v>840286844</v>
      </c>
      <c r="S266" s="217">
        <v>801756930</v>
      </c>
      <c r="T266" s="212">
        <v>911290061</v>
      </c>
      <c r="U266" s="212">
        <v>615271646</v>
      </c>
      <c r="V266" s="205">
        <v>867812841</v>
      </c>
      <c r="W266" s="205">
        <f>ROUND(표9[[#This Row],[Apr 2026 (USD or KRW)]],0)</f>
        <v>0</v>
      </c>
      <c r="X266" s="212"/>
      <c r="Y266" s="206">
        <f>표9[[#This Row],[Apr 2027(KRW)]]-표9[[#This Row],[Mar 2026(KRW)]]</f>
        <v>-867812841</v>
      </c>
      <c r="Z266" s="213">
        <f t="shared" si="4"/>
        <v>-1</v>
      </c>
      <c r="AA266" s="208">
        <f>VLOOKUP(표9[[#This Row],[Team]],표1[],3,0)</f>
        <v>1000</v>
      </c>
    </row>
    <row r="267" spans="1:27" s="8" customFormat="1" ht="15">
      <c r="A267" s="214" t="str">
        <f>VLOOKUP($H267,AWS!$A:$H,2,0)</f>
        <v>AWS</v>
      </c>
      <c r="B267" s="214" t="str">
        <f>VLOOKUP($H267,AWS!$A:$H,3,0)</f>
        <v>KRAFTON HQ</v>
      </c>
      <c r="C267" s="209" t="str">
        <f>VLOOKUP($H267,AWS!$A:$H,4,0)</f>
        <v>PUBG STUDIO</v>
      </c>
      <c r="D267" s="214" t="str">
        <f>VLOOKUP($H267,AWS!$A:$H,5,0)</f>
        <v>PUBG PC&amp;Console Dev Div.</v>
      </c>
      <c r="E267" s="214" t="str">
        <f>VLOOKUP($H267,AWS!$A:$H,6,0)</f>
        <v>BATTLEGROUNDS_PC/CONSOLE</v>
      </c>
      <c r="F267" s="202">
        <f>VLOOKUP(표9[[#This Row],[Team]],표1[[내역]:[코스트 센터]],2,0)</f>
        <v>100414</v>
      </c>
      <c r="G267" s="202" t="str">
        <f>VLOOKUP(표9[[#This Row],[Project]],표2[],2,0)</f>
        <v>P100010012</v>
      </c>
      <c r="H267" s="214" t="s">
        <v>294</v>
      </c>
      <c r="I267" s="214" t="str">
        <f>VLOOKUP($H267,AWS!$A:$H,8,0)</f>
        <v>최준석</v>
      </c>
      <c r="J267" s="214" t="str">
        <f>VLOOKUP($H267,AWS!$A:$H,8,0)</f>
        <v>최준석</v>
      </c>
      <c r="K267" s="186"/>
      <c r="L267" s="215">
        <v>336423</v>
      </c>
      <c r="M267" s="216">
        <v>370557</v>
      </c>
      <c r="N267" s="217">
        <v>362064</v>
      </c>
      <c r="O267" s="217">
        <v>411267</v>
      </c>
      <c r="P267" s="217">
        <v>399846</v>
      </c>
      <c r="Q267" s="217">
        <v>421236</v>
      </c>
      <c r="R267" s="217">
        <v>429588</v>
      </c>
      <c r="S267" s="217">
        <v>429559</v>
      </c>
      <c r="T267" s="212">
        <v>329637</v>
      </c>
      <c r="U267" s="212">
        <v>174322</v>
      </c>
      <c r="V267" s="205">
        <v>189734</v>
      </c>
      <c r="W267" s="205">
        <f>ROUND(표9[[#This Row],[Apr 2026 (USD or KRW)]],0)</f>
        <v>0</v>
      </c>
      <c r="X267" s="212"/>
      <c r="Y267" s="206">
        <f>표9[[#This Row],[Apr 2027(KRW)]]-표9[[#This Row],[Mar 2026(KRW)]]</f>
        <v>-189734</v>
      </c>
      <c r="Z267" s="213">
        <f t="shared" si="4"/>
        <v>-1</v>
      </c>
      <c r="AA267" s="208">
        <f>VLOOKUP(표9[[#This Row],[Team]],표1[],3,0)</f>
        <v>1000</v>
      </c>
    </row>
    <row r="268" spans="1:27" s="8" customFormat="1" ht="15">
      <c r="A268" s="214" t="str">
        <f>VLOOKUP($H268,AWS!$A:$H,2,0)</f>
        <v>AWS</v>
      </c>
      <c r="B268" s="214" t="str">
        <f>VLOOKUP($H268,AWS!$A:$H,3,0)</f>
        <v>KRAFTON HQ</v>
      </c>
      <c r="C268" s="209" t="str">
        <f>VLOOKUP($H268,AWS!$A:$H,4,0)</f>
        <v>SDS</v>
      </c>
      <c r="D268" s="214" t="str">
        <f>VLOOKUP($H268,AWS!$A:$H,5,0)</f>
        <v>Striking Distance Studios</v>
      </c>
      <c r="E268" s="214" t="str">
        <f>VLOOKUP($H268,AWS!$A:$H,6,0)</f>
        <v>The Callisto Protocol</v>
      </c>
      <c r="F268" s="202">
        <f>VLOOKUP(표9[[#This Row],[Team]],표1[[내역]:[코스트 센터]],2,0)</f>
        <v>100561</v>
      </c>
      <c r="G268" s="202" t="str">
        <f>VLOOKUP(표9[[#This Row],[Project]],표2[],2,0)</f>
        <v>P100010013</v>
      </c>
      <c r="H268" s="214" t="s">
        <v>295</v>
      </c>
      <c r="I268" s="214" t="str">
        <f>VLOOKUP($H268,AWS!$A:$H,8,0)</f>
        <v>Jordan Yerkes</v>
      </c>
      <c r="J268" s="214" t="str">
        <f>VLOOKUP($H268,AWS!$A:$H,8,0)</f>
        <v>Jordan Yerkes</v>
      </c>
      <c r="K268" s="187"/>
      <c r="L268" s="215">
        <v>34050926</v>
      </c>
      <c r="M268" s="216">
        <v>33032112</v>
      </c>
      <c r="N268" s="217">
        <v>34480560</v>
      </c>
      <c r="O268" s="217">
        <v>34183772</v>
      </c>
      <c r="P268" s="217">
        <v>33995301</v>
      </c>
      <c r="Q268" s="217">
        <v>36594013</v>
      </c>
      <c r="R268" s="217">
        <v>34418443</v>
      </c>
      <c r="S268" s="217">
        <v>29443215</v>
      </c>
      <c r="T268" s="212">
        <v>29083916</v>
      </c>
      <c r="U268" s="212">
        <v>17185097</v>
      </c>
      <c r="V268" s="205">
        <v>12981301</v>
      </c>
      <c r="W268" s="205">
        <f>ROUND(표9[[#This Row],[Apr 2026 (USD or KRW)]],0)</f>
        <v>0</v>
      </c>
      <c r="X268" s="212"/>
      <c r="Y268" s="206">
        <f>표9[[#This Row],[Apr 2027(KRW)]]-표9[[#This Row],[Mar 2026(KRW)]]</f>
        <v>-12981301</v>
      </c>
      <c r="Z268" s="213">
        <f t="shared" si="4"/>
        <v>-1</v>
      </c>
      <c r="AA268" s="208">
        <f>VLOOKUP(표9[[#This Row],[Team]],표1[],3,0)</f>
        <v>1000</v>
      </c>
    </row>
    <row r="269" spans="1:27" s="8" customFormat="1" ht="15">
      <c r="A269" s="214" t="str">
        <f>VLOOKUP($H269,AWS!$A:$H,2,0)</f>
        <v>AWS</v>
      </c>
      <c r="B269" s="214" t="str">
        <f>VLOOKUP($H269,AWS!$A:$H,3,0)</f>
        <v>KRAFTON HQ</v>
      </c>
      <c r="C269" s="209" t="str">
        <f>VLOOKUP($H269,AWS!$A:$H,4,0)</f>
        <v>SDS</v>
      </c>
      <c r="D269" s="214" t="str">
        <f>VLOOKUP($H269,AWS!$A:$H,5,0)</f>
        <v>Striking Distance Studios</v>
      </c>
      <c r="E269" s="214" t="str">
        <f>VLOOKUP($H269,AWS!$A:$H,6,0)</f>
        <v>The Callisto Protocol</v>
      </c>
      <c r="F269" s="202">
        <f>VLOOKUP(표9[[#This Row],[Team]],표1[[내역]:[코스트 센터]],2,0)</f>
        <v>100561</v>
      </c>
      <c r="G269" s="202" t="str">
        <f>VLOOKUP(표9[[#This Row],[Project]],표2[],2,0)</f>
        <v>P100010013</v>
      </c>
      <c r="H269" s="214" t="s">
        <v>296</v>
      </c>
      <c r="I269" s="214" t="str">
        <f>VLOOKUP($H269,AWS!$A:$H,8,0)</f>
        <v>Jordan Yerkes</v>
      </c>
      <c r="J269" s="214" t="str">
        <f>VLOOKUP($H269,AWS!$A:$H,8,0)</f>
        <v>Jordan Yerkes</v>
      </c>
      <c r="K269" s="187"/>
      <c r="L269" s="215">
        <v>122950</v>
      </c>
      <c r="M269" s="216">
        <v>82043</v>
      </c>
      <c r="N269" s="217">
        <v>123883</v>
      </c>
      <c r="O269" s="217">
        <v>139376</v>
      </c>
      <c r="P269" s="217">
        <v>127495</v>
      </c>
      <c r="Q269" s="217">
        <v>132303</v>
      </c>
      <c r="R269" s="217">
        <v>132925</v>
      </c>
      <c r="S269" s="217">
        <v>133271</v>
      </c>
      <c r="T269" s="212">
        <v>135375</v>
      </c>
      <c r="U269" s="212">
        <v>123553</v>
      </c>
      <c r="V269" s="205">
        <v>73651</v>
      </c>
      <c r="W269" s="205">
        <f>ROUND(표9[[#This Row],[Apr 2026 (USD or KRW)]],0)</f>
        <v>0</v>
      </c>
      <c r="X269" s="212"/>
      <c r="Y269" s="206">
        <f>표9[[#This Row],[Apr 2027(KRW)]]-표9[[#This Row],[Mar 2026(KRW)]]</f>
        <v>-73651</v>
      </c>
      <c r="Z269" s="213">
        <f t="shared" si="4"/>
        <v>-1</v>
      </c>
      <c r="AA269" s="208">
        <f>VLOOKUP(표9[[#This Row],[Team]],표1[],3,0)</f>
        <v>1000</v>
      </c>
    </row>
    <row r="270" spans="1:27" s="8" customFormat="1" ht="15">
      <c r="A270" s="214" t="str">
        <f>VLOOKUP($H270,AWS!$A:$H,2,0)</f>
        <v>AWS</v>
      </c>
      <c r="B270" s="214" t="str">
        <f>VLOOKUP($H270,AWS!$A:$H,3,0)</f>
        <v>KRAFTON HQ</v>
      </c>
      <c r="C270" s="209" t="str">
        <f>VLOOKUP($H270,AWS!$A:$H,4,0)</f>
        <v>PUBG STUDIO</v>
      </c>
      <c r="D270" s="214" t="str">
        <f>VLOOKUP($H270,AWS!$A:$H,5,0)</f>
        <v>PUBG PC&amp;Console Dev Div.</v>
      </c>
      <c r="E270" s="214" t="str">
        <f>VLOOKUP($H270,AWS!$A:$H,6,0)</f>
        <v>BATTLEGROUNDS_PC/CONSOLE</v>
      </c>
      <c r="F270" s="202">
        <f>VLOOKUP(표9[[#This Row],[Team]],표1[[내역]:[코스트 센터]],2,0)</f>
        <v>100414</v>
      </c>
      <c r="G270" s="202" t="str">
        <f>VLOOKUP(표9[[#This Row],[Project]],표2[],2,0)</f>
        <v>P100010012</v>
      </c>
      <c r="H270" s="214" t="s">
        <v>297</v>
      </c>
      <c r="I270" s="214" t="str">
        <f>VLOOKUP($H270,AWS!$A:$H,8,0)</f>
        <v>최준석</v>
      </c>
      <c r="J270" s="214" t="str">
        <f>VLOOKUP($H270,AWS!$A:$H,8,0)</f>
        <v>최준석</v>
      </c>
      <c r="K270" s="186"/>
      <c r="L270" s="215">
        <v>157620343</v>
      </c>
      <c r="M270" s="216">
        <v>141555721</v>
      </c>
      <c r="N270" s="217">
        <v>173805778</v>
      </c>
      <c r="O270" s="217">
        <v>133162674</v>
      </c>
      <c r="P270" s="217">
        <v>127509370</v>
      </c>
      <c r="Q270" s="217">
        <v>136575637</v>
      </c>
      <c r="R270" s="217">
        <v>101091902</v>
      </c>
      <c r="S270" s="217">
        <v>97595346</v>
      </c>
      <c r="T270" s="212">
        <v>93646066</v>
      </c>
      <c r="U270" s="212">
        <v>79043592</v>
      </c>
      <c r="V270" s="205">
        <v>92845217</v>
      </c>
      <c r="W270" s="205">
        <f>ROUND(표9[[#This Row],[Apr 2026 (USD or KRW)]],0)</f>
        <v>0</v>
      </c>
      <c r="X270" s="212"/>
      <c r="Y270" s="206">
        <f>표9[[#This Row],[Apr 2027(KRW)]]-표9[[#This Row],[Mar 2026(KRW)]]</f>
        <v>-92845217</v>
      </c>
      <c r="Z270" s="213">
        <f t="shared" si="4"/>
        <v>-1</v>
      </c>
      <c r="AA270" s="208">
        <f>VLOOKUP(표9[[#This Row],[Team]],표1[],3,0)</f>
        <v>1000</v>
      </c>
    </row>
    <row r="271" spans="1:27" s="8" customFormat="1" ht="17">
      <c r="A271" s="214" t="str">
        <f>VLOOKUP($H271,AWS!$A:$H,2,0)</f>
        <v>AWS</v>
      </c>
      <c r="B271" s="214" t="str">
        <f>VLOOKUP($H271,AWS!$A:$H,3,0)</f>
        <v>KRAFTON HQ</v>
      </c>
      <c r="C271" s="209" t="str">
        <f>VLOOKUP($H271,AWS!$A:$H,4,0)</f>
        <v>KRAFTON HQ</v>
      </c>
      <c r="D271" s="214" t="str">
        <f>VLOOKUP($H271,AWS!$A:$H,5,0)</f>
        <v>BGMI DevOps Team</v>
      </c>
      <c r="E271" s="214" t="str">
        <f>VLOOKUP($H271,AWS!$A:$H,6,0)</f>
        <v>(2022)BATTLEGROUNDS_MOBILE_IN</v>
      </c>
      <c r="F271" s="202">
        <f>VLOOKUP(표9[[#This Row],[Team]],표1[[내역]:[코스트 센터]],2,0)</f>
        <v>100553</v>
      </c>
      <c r="G271" s="202" t="str">
        <f>VLOOKUP(표9[[#This Row],[Project]],표2[],2,0)</f>
        <v>P100130012</v>
      </c>
      <c r="H271" s="184" t="s">
        <v>298</v>
      </c>
      <c r="I271" s="214" t="str">
        <f>VLOOKUP($H271,AWS!$A:$H,8,0)</f>
        <v>이돈현</v>
      </c>
      <c r="J271" s="214" t="str">
        <f>VLOOKUP($H271,AWS!$A:$H,8,0)</f>
        <v>이돈현</v>
      </c>
      <c r="K271" s="186" t="s">
        <v>29</v>
      </c>
      <c r="L271" s="215">
        <v>16500719</v>
      </c>
      <c r="M271" s="216">
        <v>16229294</v>
      </c>
      <c r="N271" s="217">
        <v>17426787</v>
      </c>
      <c r="O271" s="217">
        <v>17213542</v>
      </c>
      <c r="P271" s="217">
        <v>16783565</v>
      </c>
      <c r="Q271" s="217">
        <v>17788189</v>
      </c>
      <c r="R271" s="217">
        <v>18044453</v>
      </c>
      <c r="S271" s="217">
        <v>6647977</v>
      </c>
      <c r="T271" s="212">
        <v>15939907</v>
      </c>
      <c r="U271" s="212">
        <v>164637565</v>
      </c>
      <c r="V271" s="205">
        <v>359831680</v>
      </c>
      <c r="W271" s="205">
        <f>ROUND(표9[[#This Row],[Apr 2026 (USD or KRW)]],0)</f>
        <v>0</v>
      </c>
      <c r="X271" s="212"/>
      <c r="Y271" s="206">
        <f>표9[[#This Row],[Apr 2027(KRW)]]-표9[[#This Row],[Mar 2026(KRW)]]</f>
        <v>-359831680</v>
      </c>
      <c r="Z271" s="213">
        <f t="shared" si="4"/>
        <v>-1</v>
      </c>
      <c r="AA271" s="208">
        <f>VLOOKUP(표9[[#This Row],[Team]],표1[],3,0)</f>
        <v>1000</v>
      </c>
    </row>
    <row r="272" spans="1:27" s="8" customFormat="1" ht="15">
      <c r="A272" s="214" t="str">
        <f>VLOOKUP($H272,AWS!$A:$H,2,0)</f>
        <v>AWS</v>
      </c>
      <c r="B272" s="214" t="str">
        <f>VLOOKUP($H272,AWS!$A:$H,3,0)</f>
        <v>KRAFTON HQ</v>
      </c>
      <c r="C272" s="209" t="str">
        <f>VLOOKUP($H272,AWS!$A:$H,4,0)</f>
        <v>PUBG STUDIO</v>
      </c>
      <c r="D272" s="214" t="str">
        <f>VLOOKUP($H272,AWS!$A:$H,5,0)</f>
        <v>MS DevOps Team</v>
      </c>
      <c r="E272" s="214" t="str">
        <f>VLOOKUP($H272,AWS!$A:$H,6,0)</f>
        <v>OVERHEAD/OTHERS</v>
      </c>
      <c r="F272" s="202">
        <f>VLOOKUP(표9[[#This Row],[Team]],표1[[내역]:[코스트 센터]],2,0)</f>
        <v>100774</v>
      </c>
      <c r="G272" s="202" t="str">
        <f>VLOOKUP(표9[[#This Row],[Project]],표2[],2,0)</f>
        <v>I100099999</v>
      </c>
      <c r="H272" s="214" t="s">
        <v>299</v>
      </c>
      <c r="I272" s="214" t="str">
        <f>VLOOKUP($H272,AWS!$A:$H,8,0)</f>
        <v>최보성</v>
      </c>
      <c r="J272" s="214" t="str">
        <f>VLOOKUP($H272,AWS!$A:$H,8,0)</f>
        <v>최보성</v>
      </c>
      <c r="K272" s="187" t="s">
        <v>29</v>
      </c>
      <c r="L272" s="215">
        <v>9066515</v>
      </c>
      <c r="M272" s="216">
        <v>8907742</v>
      </c>
      <c r="N272" s="217">
        <v>8603047</v>
      </c>
      <c r="O272" s="217">
        <v>29391391</v>
      </c>
      <c r="P272" s="217">
        <v>54888778</v>
      </c>
      <c r="Q272" s="217">
        <v>14476303</v>
      </c>
      <c r="R272" s="217">
        <v>9167420</v>
      </c>
      <c r="S272" s="217">
        <v>10689701</v>
      </c>
      <c r="T272" s="212">
        <v>11802727</v>
      </c>
      <c r="U272" s="212">
        <v>8215810</v>
      </c>
      <c r="V272" s="205">
        <v>7167018</v>
      </c>
      <c r="W272" s="205">
        <f>ROUND(표9[[#This Row],[Apr 2026 (USD or KRW)]],0)</f>
        <v>0</v>
      </c>
      <c r="X272" s="212"/>
      <c r="Y272" s="206">
        <f>표9[[#This Row],[Apr 2027(KRW)]]-표9[[#This Row],[Mar 2026(KRW)]]</f>
        <v>-7167018</v>
      </c>
      <c r="Z272" s="213">
        <f t="shared" si="4"/>
        <v>-1</v>
      </c>
      <c r="AA272" s="208">
        <f>VLOOKUP(표9[[#This Row],[Team]],표1[],3,0)</f>
        <v>1000</v>
      </c>
    </row>
    <row r="273" spans="1:27" s="8" customFormat="1" ht="15">
      <c r="A273" s="214" t="str">
        <f>VLOOKUP($H273,AWS!$A:$H,2,0)</f>
        <v>AWS</v>
      </c>
      <c r="B273" s="214" t="str">
        <f>VLOOKUP($H273,AWS!$A:$H,3,0)</f>
        <v>KRAFTON HQ</v>
      </c>
      <c r="C273" s="209" t="str">
        <f>VLOOKUP($H273,AWS!$A:$H,4,0)</f>
        <v>PUBG NewState</v>
      </c>
      <c r="D273" s="214" t="str">
        <f>VLOOKUP($H273,AWS!$A:$H,5,0)</f>
        <v>Data Engineering Dept.</v>
      </c>
      <c r="E273" s="214" t="str">
        <f>VLOOKUP($H273,AWS!$A:$H,6,0)</f>
        <v>PUBG:NEW STATE</v>
      </c>
      <c r="F273" s="202">
        <f>VLOOKUP(표9[[#This Row],[Team]],표1[[내역]:[코스트 센터]],2,0)</f>
        <v>100212</v>
      </c>
      <c r="G273" s="202" t="str">
        <f>VLOOKUP(표9[[#This Row],[Project]],표2[],2,0)</f>
        <v>P100030014</v>
      </c>
      <c r="H273" s="214" t="s">
        <v>300</v>
      </c>
      <c r="I273" s="214" t="str">
        <f>VLOOKUP($H273,AWS!$A:$H,8,0)</f>
        <v>김신영</v>
      </c>
      <c r="J273" s="214" t="str">
        <f>VLOOKUP($H273,AWS!$A:$H,8,0)</f>
        <v>김신영</v>
      </c>
      <c r="K273" s="242" t="s">
        <v>29</v>
      </c>
      <c r="L273" s="215">
        <v>14599876</v>
      </c>
      <c r="M273" s="216">
        <v>14543073</v>
      </c>
      <c r="N273" s="217">
        <v>15152367</v>
      </c>
      <c r="O273" s="217">
        <v>14487190</v>
      </c>
      <c r="P273" s="217">
        <v>11578876</v>
      </c>
      <c r="Q273" s="217">
        <v>12106728</v>
      </c>
      <c r="R273" s="217">
        <v>12329264</v>
      </c>
      <c r="S273" s="217">
        <v>12220160</v>
      </c>
      <c r="T273" s="212">
        <v>12132204</v>
      </c>
      <c r="U273" s="212">
        <v>11589668</v>
      </c>
      <c r="V273" s="205">
        <v>12618294</v>
      </c>
      <c r="W273" s="205">
        <f>ROUND(표9[[#This Row],[Apr 2026 (USD or KRW)]],0)</f>
        <v>0</v>
      </c>
      <c r="X273" s="212"/>
      <c r="Y273" s="206">
        <f>표9[[#This Row],[Apr 2027(KRW)]]-표9[[#This Row],[Mar 2026(KRW)]]</f>
        <v>-12618294</v>
      </c>
      <c r="Z273" s="213">
        <f t="shared" si="4"/>
        <v>-1</v>
      </c>
      <c r="AA273" s="208">
        <f>VLOOKUP(표9[[#This Row],[Team]],표1[],3,0)</f>
        <v>1000</v>
      </c>
    </row>
    <row r="274" spans="1:27" s="8" customFormat="1" ht="15">
      <c r="A274" s="214" t="str">
        <f>VLOOKUP($H274,AWS!$A:$H,2,0)</f>
        <v>AWS</v>
      </c>
      <c r="B274" s="214" t="str">
        <f>VLOOKUP($H274,AWS!$A:$H,3,0)</f>
        <v>Research</v>
      </c>
      <c r="C274" s="209" t="str">
        <f>VLOOKUP($H274,AWS!$A:$H,4,0)</f>
        <v>Research</v>
      </c>
      <c r="D274" s="214" t="str">
        <f>VLOOKUP($H274,AWS!$A:$H,5,0)</f>
        <v>AI research center</v>
      </c>
      <c r="E274" s="214" t="str">
        <f>VLOOKUP($H274,AWS!$A:$H,6,0)</f>
        <v>DEEP LEARNING</v>
      </c>
      <c r="F274" s="202">
        <f>VLOOKUP(표9[[#This Row],[Team]],표1[[내역]:[코스트 센터]],2,0)</f>
        <v>100677</v>
      </c>
      <c r="G274" s="202" t="str">
        <f>VLOOKUP(표9[[#This Row],[Project]],표2[],2,0)</f>
        <v>I100090817</v>
      </c>
      <c r="H274" s="214" t="s">
        <v>301</v>
      </c>
      <c r="I274" s="214" t="str">
        <f>VLOOKUP($H274,AWS!$A:$H,8,0)</f>
        <v>심재한</v>
      </c>
      <c r="J274" s="214" t="str">
        <f>VLOOKUP($H274,AWS!$A:$H,8,0)</f>
        <v>심재한</v>
      </c>
      <c r="K274" s="187"/>
      <c r="L274" s="215">
        <v>23328212</v>
      </c>
      <c r="M274" s="216">
        <v>31382789</v>
      </c>
      <c r="N274" s="217">
        <v>55438969</v>
      </c>
      <c r="O274" s="217">
        <v>1603916</v>
      </c>
      <c r="P274" s="217">
        <v>21633922</v>
      </c>
      <c r="Q274" s="217">
        <v>2807701</v>
      </c>
      <c r="R274" s="217">
        <v>14400111</v>
      </c>
      <c r="S274" s="217">
        <v>7520491</v>
      </c>
      <c r="T274" s="212">
        <v>32788507</v>
      </c>
      <c r="U274" s="212">
        <v>39193969</v>
      </c>
      <c r="V274" s="205">
        <v>36948967</v>
      </c>
      <c r="W274" s="205">
        <f>ROUND(표9[[#This Row],[Apr 2026 (USD or KRW)]],0)</f>
        <v>0</v>
      </c>
      <c r="X274" s="212"/>
      <c r="Y274" s="206">
        <f>표9[[#This Row],[Apr 2027(KRW)]]-표9[[#This Row],[Mar 2026(KRW)]]</f>
        <v>-36948967</v>
      </c>
      <c r="Z274" s="213">
        <f t="shared" si="4"/>
        <v>-1</v>
      </c>
      <c r="AA274" s="208">
        <f>VLOOKUP(표9[[#This Row],[Team]],표1[],3,0)</f>
        <v>1000</v>
      </c>
    </row>
    <row r="275" spans="1:27" s="8" customFormat="1" ht="15">
      <c r="A275" s="214" t="str">
        <f>VLOOKUP($H275,AWS!$A:$H,2,0)</f>
        <v>AWS</v>
      </c>
      <c r="B275" s="214" t="str">
        <f>VLOOKUP($H275,AWS!$A:$H,3,0)</f>
        <v>KRAFTON HQ</v>
      </c>
      <c r="C275" s="209" t="str">
        <f>VLOOKUP($H275,AWS!$A:$H,4,0)</f>
        <v>KRAFTON America</v>
      </c>
      <c r="D275" s="214" t="str">
        <f>VLOOKUP($H275,AWS!$A:$H,5,0)</f>
        <v>Americas IT Team</v>
      </c>
      <c r="E275" s="214" t="str">
        <f>VLOOKUP($H275,AWS!$A:$H,6,0)</f>
        <v>OVERHEAD/OTHERS</v>
      </c>
      <c r="F275" s="202">
        <f>VLOOKUP(표9[[#This Row],[Team]],표1[[내역]:[코스트 센터]],2,0)</f>
        <v>131035</v>
      </c>
      <c r="G275" s="202" t="str">
        <f>VLOOKUP(표9[[#This Row],[Project]],표2[],2,0)</f>
        <v>I100099999</v>
      </c>
      <c r="H275" s="214" t="s">
        <v>302</v>
      </c>
      <c r="I275" s="214" t="str">
        <f>VLOOKUP($H275,AWS!$A:$H,8,0)</f>
        <v>David Huh</v>
      </c>
      <c r="J275" s="214" t="str">
        <f>VLOOKUP($H275,AWS!$A:$H,8,0)</f>
        <v>David Huh</v>
      </c>
      <c r="K275" s="187" t="s">
        <v>29</v>
      </c>
      <c r="L275" s="215"/>
      <c r="M275" s="216"/>
      <c r="N275" s="217">
        <v>23164</v>
      </c>
      <c r="O275" s="217">
        <v>145340</v>
      </c>
      <c r="P275" s="217">
        <v>142739</v>
      </c>
      <c r="Q275" s="217">
        <v>145778</v>
      </c>
      <c r="R275" s="217">
        <v>150607</v>
      </c>
      <c r="S275" s="217">
        <v>146609</v>
      </c>
      <c r="T275" s="212">
        <v>147869</v>
      </c>
      <c r="U275" s="212">
        <v>146182</v>
      </c>
      <c r="V275" s="205">
        <v>153515</v>
      </c>
      <c r="W275" s="205">
        <f>ROUND(표9[[#This Row],[Apr 2026 (USD or KRW)]],0)</f>
        <v>0</v>
      </c>
      <c r="X275" s="212"/>
      <c r="Y275" s="206">
        <f>표9[[#This Row],[Apr 2027(KRW)]]-표9[[#This Row],[Mar 2026(KRW)]]</f>
        <v>-153515</v>
      </c>
      <c r="Z275" s="213">
        <f t="shared" si="4"/>
        <v>-1</v>
      </c>
      <c r="AA275" s="208">
        <f>VLOOKUP(표9[[#This Row],[Team]],표1[],3,0)</f>
        <v>1300</v>
      </c>
    </row>
    <row r="276" spans="1:27" s="8" customFormat="1" ht="15">
      <c r="A276" s="214" t="str">
        <f>VLOOKUP($H276,AWS!$A:$H,2,0)</f>
        <v>AWS</v>
      </c>
      <c r="B276" s="214" t="str">
        <f>VLOOKUP($H276,AWS!$A:$H,3,0)</f>
        <v>KRAFTON HQ</v>
      </c>
      <c r="C276" s="209" t="str">
        <f>VLOOKUP($H276,AWS!$A:$H,4,0)</f>
        <v>KRAFTON HQ</v>
      </c>
      <c r="D276" s="214" t="str">
        <f>VLOOKUP($H276,AWS!$A:$H,5,0)</f>
        <v>Global Subsidiary Management Team</v>
      </c>
      <c r="E276" s="214" t="str">
        <f>VLOOKUP($H276,AWS!$A:$H,6,0)</f>
        <v>OVERHEAD/OTHERS</v>
      </c>
      <c r="F276" s="202">
        <f>VLOOKUP(표9[[#This Row],[Team]],표1[[내역]:[코스트 센터]],2,0)</f>
        <v>101712</v>
      </c>
      <c r="G276" s="202" t="str">
        <f>VLOOKUP(표9[[#This Row],[Project]],표2[],2,0)</f>
        <v>I100099999</v>
      </c>
      <c r="H276" s="214" t="s">
        <v>303</v>
      </c>
      <c r="I276" s="214" t="str">
        <f>VLOOKUP($H276,AWS!$A:$H,8,0)</f>
        <v>김재현</v>
      </c>
      <c r="J276" s="214" t="str">
        <f>VLOOKUP($H276,AWS!$A:$H,8,0)</f>
        <v>김재현</v>
      </c>
      <c r="K276" s="187"/>
      <c r="L276" s="215">
        <v>1233122</v>
      </c>
      <c r="M276" s="216">
        <v>1210475</v>
      </c>
      <c r="N276" s="217">
        <v>1235227</v>
      </c>
      <c r="O276" s="217">
        <v>1259259</v>
      </c>
      <c r="P276" s="217">
        <v>1267847</v>
      </c>
      <c r="Q276" s="217">
        <v>1317418</v>
      </c>
      <c r="R276" s="217">
        <v>1260376</v>
      </c>
      <c r="S276" s="217">
        <v>1620676</v>
      </c>
      <c r="T276" s="212">
        <v>1407145</v>
      </c>
      <c r="U276" s="212">
        <v>302765</v>
      </c>
      <c r="V276" s="205">
        <v>288741</v>
      </c>
      <c r="W276" s="205">
        <f>ROUND(표9[[#This Row],[Apr 2026 (USD or KRW)]],0)</f>
        <v>0</v>
      </c>
      <c r="X276" s="212"/>
      <c r="Y276" s="206">
        <f>표9[[#This Row],[Apr 2027(KRW)]]-표9[[#This Row],[Mar 2026(KRW)]]</f>
        <v>-288741</v>
      </c>
      <c r="Z276" s="213">
        <f t="shared" si="4"/>
        <v>-1</v>
      </c>
      <c r="AA276" s="208">
        <f>VLOOKUP(표9[[#This Row],[Team]],표1[],3,0)</f>
        <v>1000</v>
      </c>
    </row>
    <row r="277" spans="1:27" s="8" customFormat="1" ht="15">
      <c r="A277" s="214" t="str">
        <f>VLOOKUP($H277,AWS!$A:$H,2,0)</f>
        <v>AWS</v>
      </c>
      <c r="B277" s="214" t="str">
        <f>VLOOKUP($H277,AWS!$A:$H,3,0)</f>
        <v>KRAFTON HQ</v>
      </c>
      <c r="C277" s="209" t="str">
        <f>VLOOKUP($H277,AWS!$A:$H,4,0)</f>
        <v>KRAFTON HQ</v>
      </c>
      <c r="D277" s="214" t="str">
        <f>VLOOKUP($H277,AWS!$A:$H,5,0)</f>
        <v>HR Operations Team</v>
      </c>
      <c r="E277" s="214" t="str">
        <f>VLOOKUP($H277,AWS!$A:$H,6,0)</f>
        <v>OVERHEAD/OTHERS</v>
      </c>
      <c r="F277" s="202">
        <f>VLOOKUP(표9[[#This Row],[Team]],표1[[내역]:[코스트 센터]],2,0)</f>
        <v>100071</v>
      </c>
      <c r="G277" s="202" t="str">
        <f>VLOOKUP(표9[[#This Row],[Project]],표2[],2,0)</f>
        <v>I100099999</v>
      </c>
      <c r="H277" s="244" t="s">
        <v>304</v>
      </c>
      <c r="I277" s="226"/>
      <c r="J277" s="214" t="str">
        <f>VLOOKUP($H277,AWS!$A:$H,8,0)</f>
        <v>조재현</v>
      </c>
      <c r="K277" s="242"/>
      <c r="L277" s="197"/>
      <c r="M277" s="199"/>
      <c r="N277" s="200"/>
      <c r="O277" s="200"/>
      <c r="P277" s="200"/>
      <c r="Q277" s="200"/>
      <c r="R277" s="200"/>
      <c r="S277" s="200"/>
      <c r="T277" s="200"/>
      <c r="U277" s="200">
        <v>0</v>
      </c>
      <c r="V277" s="245">
        <v>12895</v>
      </c>
      <c r="W277" s="205">
        <f>ROUND(표9[[#This Row],[Apr 2026 (USD or KRW)]],0)</f>
        <v>0</v>
      </c>
      <c r="X277" s="212"/>
      <c r="Y277" s="206">
        <f>표9[[#This Row],[Apr 2027(KRW)]]-표9[[#This Row],[Mar 2026(KRW)]]</f>
        <v>-12895</v>
      </c>
      <c r="Z277" s="213">
        <f t="shared" si="4"/>
        <v>-1</v>
      </c>
      <c r="AA277" s="208">
        <f>VLOOKUP(표9[[#This Row],[Team]],표1[],3,0)</f>
        <v>1000</v>
      </c>
    </row>
    <row r="278" spans="1:27" s="8" customFormat="1" ht="15">
      <c r="A278" s="214" t="str">
        <f>VLOOKUP($H278,AWS!$A:$H,2,0)</f>
        <v>AWS</v>
      </c>
      <c r="B278" s="214" t="str">
        <f>VLOOKUP($H278,AWS!$A:$H,3,0)</f>
        <v>KRAFTON HQ</v>
      </c>
      <c r="C278" s="209" t="str">
        <f>VLOOKUP($H278,AWS!$A:$H,4,0)</f>
        <v>Mad Glory</v>
      </c>
      <c r="D278" s="214" t="str">
        <f>VLOOKUP($H278,AWS!$A:$H,5,0)</f>
        <v>Valor DevOps Part</v>
      </c>
      <c r="E278" s="214" t="str">
        <f>VLOOKUP($H278,AWS!$A:$H,6,0)</f>
        <v>Valor_Console</v>
      </c>
      <c r="F278" s="202">
        <f>VLOOKUP(표9[[#This Row],[Team]],표1[[내역]:[코스트 센터]],2,0)</f>
        <v>150108</v>
      </c>
      <c r="G278" s="202" t="str">
        <f>VLOOKUP(표9[[#This Row],[Project]],표2[],2,0)</f>
        <v>P100020081</v>
      </c>
      <c r="H278" s="244" t="s">
        <v>305</v>
      </c>
      <c r="I278" s="226"/>
      <c r="J278" s="214" t="str">
        <f>VLOOKUP($H278,AWS!$A:$H,8,0)</f>
        <v>송영재</v>
      </c>
      <c r="K278" s="242" t="s">
        <v>29</v>
      </c>
      <c r="L278" s="197"/>
      <c r="M278" s="199"/>
      <c r="N278" s="200"/>
      <c r="O278" s="200"/>
      <c r="P278" s="200"/>
      <c r="Q278" s="200"/>
      <c r="R278" s="200"/>
      <c r="S278" s="200"/>
      <c r="T278" s="200"/>
      <c r="U278" s="200">
        <v>0</v>
      </c>
      <c r="V278" s="245">
        <v>17153</v>
      </c>
      <c r="W278" s="205">
        <f>ROUND(표9[[#This Row],[Apr 2026 (USD or KRW)]],0)</f>
        <v>0</v>
      </c>
      <c r="X278" s="212"/>
      <c r="Y278" s="206">
        <f>표9[[#This Row],[Apr 2027(KRW)]]-표9[[#This Row],[Mar 2026(KRW)]]</f>
        <v>-17153</v>
      </c>
      <c r="Z278" s="213">
        <f t="shared" si="4"/>
        <v>-1</v>
      </c>
      <c r="AA278" s="208">
        <f>VLOOKUP(표9[[#This Row],[Team]],표1[],3,0)</f>
        <v>1500</v>
      </c>
    </row>
    <row r="279" spans="1:27" s="8" customFormat="1" ht="15">
      <c r="A279" s="214" t="str">
        <f>VLOOKUP($H279,AWS!$A:$H,2,0)</f>
        <v>AWS</v>
      </c>
      <c r="B279" s="214" t="str">
        <f>VLOOKUP($H279,AWS!$A:$H,3,0)</f>
        <v>KRAFTON HQ</v>
      </c>
      <c r="C279" s="209" t="str">
        <f>VLOOKUP($H279,AWS!$A:$H,4,0)</f>
        <v>Mad Glory</v>
      </c>
      <c r="D279" s="214" t="str">
        <f>VLOOKUP($H279,AWS!$A:$H,5,0)</f>
        <v>Valor DevOps Part</v>
      </c>
      <c r="E279" s="214" t="str">
        <f>VLOOKUP($H279,AWS!$A:$H,6,0)</f>
        <v>Valor_Console</v>
      </c>
      <c r="F279" s="202">
        <f>VLOOKUP(표9[[#This Row],[Team]],표1[[내역]:[코스트 센터]],2,0)</f>
        <v>150108</v>
      </c>
      <c r="G279" s="202" t="str">
        <f>VLOOKUP(표9[[#This Row],[Project]],표2[],2,0)</f>
        <v>P100020081</v>
      </c>
      <c r="H279" s="244" t="s">
        <v>306</v>
      </c>
      <c r="I279" s="226"/>
      <c r="J279" s="214" t="str">
        <f>VLOOKUP($H279,AWS!$A:$H,8,0)</f>
        <v>송영재</v>
      </c>
      <c r="K279" s="242" t="s">
        <v>29</v>
      </c>
      <c r="L279" s="197"/>
      <c r="M279" s="199"/>
      <c r="N279" s="200"/>
      <c r="O279" s="200"/>
      <c r="P279" s="200"/>
      <c r="Q279" s="200"/>
      <c r="R279" s="200"/>
      <c r="S279" s="200"/>
      <c r="T279" s="200"/>
      <c r="U279" s="200">
        <v>0</v>
      </c>
      <c r="V279" s="245">
        <v>14754</v>
      </c>
      <c r="W279" s="205">
        <f>ROUND(표9[[#This Row],[Apr 2026 (USD or KRW)]],0)</f>
        <v>0</v>
      </c>
      <c r="X279" s="212"/>
      <c r="Y279" s="206">
        <f>표9[[#This Row],[Apr 2027(KRW)]]-표9[[#This Row],[Mar 2026(KRW)]]</f>
        <v>-14754</v>
      </c>
      <c r="Z279" s="213">
        <f t="shared" si="4"/>
        <v>-1</v>
      </c>
      <c r="AA279" s="208">
        <f>VLOOKUP(표9[[#This Row],[Team]],표1[],3,0)</f>
        <v>1500</v>
      </c>
    </row>
    <row r="280" spans="1:27" s="8" customFormat="1" ht="15">
      <c r="A280" s="214" t="str">
        <f>VLOOKUP($H280,AWS!$A:$H,2,0)</f>
        <v>AWS</v>
      </c>
      <c r="B280" s="214" t="str">
        <f>VLOOKUP($H280,AWS!$A:$H,3,0)</f>
        <v>KRAFTON HQ</v>
      </c>
      <c r="C280" s="209" t="str">
        <f>VLOOKUP($H280,AWS!$A:$H,4,0)</f>
        <v>NineB</v>
      </c>
      <c r="D280" s="214" t="str">
        <f>VLOOKUP($H280,AWS!$A:$H,5,0)</f>
        <v>NineB Div.</v>
      </c>
      <c r="E280" s="214" t="str">
        <f>VLOOKUP($H280,AWS!$A:$H,6,0)</f>
        <v>OVERHEAD/OTHERS</v>
      </c>
      <c r="F280" s="202" t="e">
        <f>VLOOKUP(표9[[#This Row],[Team]],표1[[내역]:[코스트 센터]],2,0)</f>
        <v>#N/A</v>
      </c>
      <c r="G280" s="202" t="str">
        <f>VLOOKUP(표9[[#This Row],[Project]],표2[],2,0)</f>
        <v>I100099999</v>
      </c>
      <c r="H280" s="244" t="s">
        <v>307</v>
      </c>
      <c r="I280" s="226"/>
      <c r="J280" s="214" t="str">
        <f>VLOOKUP($H280,AWS!$A:$H,8,0)</f>
        <v>김성훈</v>
      </c>
      <c r="K280" s="242"/>
      <c r="L280" s="197"/>
      <c r="M280" s="199"/>
      <c r="N280" s="200"/>
      <c r="O280" s="200"/>
      <c r="P280" s="200"/>
      <c r="Q280" s="200"/>
      <c r="R280" s="200"/>
      <c r="S280" s="200"/>
      <c r="T280" s="200"/>
      <c r="U280" s="200">
        <v>0</v>
      </c>
      <c r="V280" s="245">
        <v>12767</v>
      </c>
      <c r="W280" s="205">
        <f>ROUND(표9[[#This Row],[Apr 2026 (USD or KRW)]],0)</f>
        <v>0</v>
      </c>
      <c r="X280" s="212"/>
      <c r="Y280" s="206">
        <f>표9[[#This Row],[Apr 2027(KRW)]]-표9[[#This Row],[Mar 2026(KRW)]]</f>
        <v>-12767</v>
      </c>
      <c r="Z280" s="213">
        <f t="shared" si="4"/>
        <v>-1</v>
      </c>
      <c r="AA280" s="208" t="e">
        <f>VLOOKUP(표9[[#This Row],[Team]],표1[],3,0)</f>
        <v>#N/A</v>
      </c>
    </row>
    <row r="281" spans="1:27" s="8" customFormat="1" ht="15">
      <c r="A281" s="214" t="str">
        <f>VLOOKUP($H281,AWS!$A:$H,2,0)</f>
        <v>AWS</v>
      </c>
      <c r="B281" s="214" t="str">
        <f>VLOOKUP($H281,AWS!$A:$H,3,0)</f>
        <v>KRAFTON HQ</v>
      </c>
      <c r="C281" s="209" t="str">
        <f>VLOOKUP($H281,AWS!$A:$H,4,0)</f>
        <v>KRAFTON India</v>
      </c>
      <c r="D281" s="214" t="str">
        <f>VLOOKUP($H281,AWS!$A:$H,5,0)</f>
        <v>IN New Games Publishing Team 3</v>
      </c>
      <c r="E281" s="214" t="str">
        <f>VLOOKUP($H281,AWS!$A:$H,6,0)</f>
        <v>OVERHEAD/OTHERS</v>
      </c>
      <c r="F281" s="202">
        <f>VLOOKUP(표9[[#This Row],[Team]],표1[[내역]:[코스트 센터]],2,0)</f>
        <v>290062</v>
      </c>
      <c r="G281" s="202" t="str">
        <f>VLOOKUP(표9[[#This Row],[Project]],표2[],2,0)</f>
        <v>I100099999</v>
      </c>
      <c r="H281" s="244" t="s">
        <v>308</v>
      </c>
      <c r="I281" s="226"/>
      <c r="J281" s="214" t="str">
        <f>VLOOKUP($H281,AWS!$A:$H,8,0)</f>
        <v>Sudhamshu Mitra</v>
      </c>
      <c r="K281" s="242"/>
      <c r="L281" s="197"/>
      <c r="M281" s="199"/>
      <c r="N281" s="200"/>
      <c r="O281" s="200"/>
      <c r="P281" s="200"/>
      <c r="Q281" s="200"/>
      <c r="R281" s="200"/>
      <c r="S281" s="200"/>
      <c r="T281" s="200"/>
      <c r="U281" s="200">
        <v>0</v>
      </c>
      <c r="V281" s="245">
        <v>22447</v>
      </c>
      <c r="W281" s="205">
        <f>ROUND(표9[[#This Row],[Apr 2026 (USD or KRW)]],0)</f>
        <v>0</v>
      </c>
      <c r="X281" s="212"/>
      <c r="Y281" s="206">
        <f>표9[[#This Row],[Apr 2027(KRW)]]-표9[[#This Row],[Mar 2026(KRW)]]</f>
        <v>-22447</v>
      </c>
      <c r="Z281" s="213">
        <f t="shared" si="4"/>
        <v>-1</v>
      </c>
      <c r="AA281" s="208">
        <f>VLOOKUP(표9[[#This Row],[Team]],표1[],3,0)</f>
        <v>2900</v>
      </c>
    </row>
    <row r="282" spans="1:27" s="8" customFormat="1" ht="15">
      <c r="A282" s="214" t="str">
        <f>VLOOKUP($H282,AWS!$A:$H,2,0)</f>
        <v>AWS</v>
      </c>
      <c r="B282" s="214" t="str">
        <f>VLOOKUP($H282,AWS!$A:$H,3,0)</f>
        <v>KRAFTON HQ</v>
      </c>
      <c r="C282" s="209" t="str">
        <f>VLOOKUP($H282,AWS!$A:$H,4,0)</f>
        <v>KRAFTON HQ</v>
      </c>
      <c r="D282" s="214" t="str">
        <f>VLOOKUP($H282,AWS!$A:$H,5,0)</f>
        <v>Video Creative Part</v>
      </c>
      <c r="E282" s="214" t="str">
        <f>VLOOKUP($H282,AWS!$A:$H,6,0)</f>
        <v>OVERHEAD/OTHERS</v>
      </c>
      <c r="F282" s="202">
        <f>VLOOKUP(표9[[#This Row],[Team]],표1[[내역]:[코스트 센터]],2,0)</f>
        <v>101082</v>
      </c>
      <c r="G282" s="202" t="str">
        <f>VLOOKUP(표9[[#This Row],[Project]],표2[],2,0)</f>
        <v>I100099999</v>
      </c>
      <c r="H282" s="244" t="s">
        <v>309</v>
      </c>
      <c r="I282" s="226"/>
      <c r="J282" s="214" t="str">
        <f>VLOOKUP($H282,AWS!$A:$H,8,0)</f>
        <v>전지민</v>
      </c>
      <c r="K282" s="242"/>
      <c r="L282" s="197"/>
      <c r="M282" s="199"/>
      <c r="N282" s="200"/>
      <c r="O282" s="200"/>
      <c r="P282" s="200"/>
      <c r="Q282" s="200"/>
      <c r="R282" s="200"/>
      <c r="S282" s="200"/>
      <c r="T282" s="200"/>
      <c r="U282" s="200">
        <v>0</v>
      </c>
      <c r="V282" s="245">
        <v>197</v>
      </c>
      <c r="W282" s="205">
        <f>ROUND(표9[[#This Row],[Apr 2026 (USD or KRW)]],0)</f>
        <v>0</v>
      </c>
      <c r="X282" s="212"/>
      <c r="Y282" s="206">
        <f>표9[[#This Row],[Apr 2027(KRW)]]-표9[[#This Row],[Mar 2026(KRW)]]</f>
        <v>-197</v>
      </c>
      <c r="Z282" s="213">
        <f t="shared" si="4"/>
        <v>-1</v>
      </c>
      <c r="AA282" s="208">
        <f>VLOOKUP(표9[[#This Row],[Team]],표1[],3,0)</f>
        <v>1000</v>
      </c>
    </row>
    <row r="283" spans="1:27" s="8" customFormat="1" ht="15">
      <c r="A283" s="214" t="str">
        <f>VLOOKUP($H283,AWS!$A:$H,2,0)</f>
        <v>AWS</v>
      </c>
      <c r="B283" s="214" t="str">
        <f>VLOOKUP($H283,AWS!$A:$H,3,0)</f>
        <v>KRAFTON HQ</v>
      </c>
      <c r="C283" s="209" t="str">
        <f>VLOOKUP($H283,AWS!$A:$H,4,0)</f>
        <v>KRAFTON HQ</v>
      </c>
      <c r="D283" s="214" t="str">
        <f>VLOOKUP($H283,AWS!$A:$H,5,0)</f>
        <v>GPD1 Community Management Team</v>
      </c>
      <c r="E283" s="214" t="str">
        <f>VLOOKUP($H283,AWS!$A:$H,6,0)</f>
        <v>OVERHEAD/OTHERS</v>
      </c>
      <c r="F283" s="202">
        <f>VLOOKUP(표9[[#This Row],[Team]],표1[[내역]:[코스트 센터]],2,0)</f>
        <v>101867</v>
      </c>
      <c r="G283" s="202" t="str">
        <f>VLOOKUP(표9[[#This Row],[Project]],표2[],2,0)</f>
        <v>I100099999</v>
      </c>
      <c r="H283" s="244" t="s">
        <v>310</v>
      </c>
      <c r="I283" s="226"/>
      <c r="J283" s="214" t="str">
        <f>VLOOKUP($H283,AWS!$A:$H,8,0)</f>
        <v>안예슬</v>
      </c>
      <c r="K283" s="242"/>
      <c r="L283" s="197"/>
      <c r="M283" s="199"/>
      <c r="N283" s="200"/>
      <c r="O283" s="200"/>
      <c r="P283" s="200"/>
      <c r="Q283" s="200"/>
      <c r="R283" s="200"/>
      <c r="S283" s="200"/>
      <c r="T283" s="200"/>
      <c r="U283" s="200">
        <v>0</v>
      </c>
      <c r="V283" s="245">
        <v>13412</v>
      </c>
      <c r="W283" s="205">
        <f>ROUND(표9[[#This Row],[Apr 2026 (USD or KRW)]],0)</f>
        <v>0</v>
      </c>
      <c r="X283" s="212"/>
      <c r="Y283" s="206">
        <f>표9[[#This Row],[Apr 2027(KRW)]]-표9[[#This Row],[Mar 2026(KRW)]]</f>
        <v>-13412</v>
      </c>
      <c r="Z283" s="213">
        <f t="shared" si="4"/>
        <v>-1</v>
      </c>
      <c r="AA283" s="208">
        <f>VLOOKUP(표9[[#This Row],[Team]],표1[],3,0)</f>
        <v>1000</v>
      </c>
    </row>
    <row r="284" spans="1:27" s="8" customFormat="1" ht="15">
      <c r="A284" s="214" t="str">
        <f>VLOOKUP($H284,AWS!$A:$H,2,0)</f>
        <v>AWS</v>
      </c>
      <c r="B284" s="214" t="str">
        <f>VLOOKUP($H284,AWS!$A:$H,3,0)</f>
        <v>Neptune</v>
      </c>
      <c r="C284" s="209" t="str">
        <f>VLOOKUP($H284,AWS!$A:$H,4,0)</f>
        <v>Neptune</v>
      </c>
      <c r="D284" s="214">
        <f>VLOOKUP($H284,AWS!$A:$H,5,0)</f>
        <v>0</v>
      </c>
      <c r="E284" s="214">
        <f>VLOOKUP($H284,AWS!$A:$H,6,0)</f>
        <v>0</v>
      </c>
      <c r="F284" s="202" t="e">
        <f>VLOOKUP(표9[[#This Row],[Team]],표1[[내역]:[코스트 센터]],2,0)</f>
        <v>#N/A</v>
      </c>
      <c r="G284" s="202" t="e">
        <f>VLOOKUP(표9[[#This Row],[Project]],표2[],2,0)</f>
        <v>#N/A</v>
      </c>
      <c r="H284" s="244" t="s">
        <v>311</v>
      </c>
      <c r="I284" s="226"/>
      <c r="J284" s="214">
        <f>VLOOKUP($H284,AWS!$A:$H,8,0)</f>
        <v>0</v>
      </c>
      <c r="K284" s="242"/>
      <c r="L284" s="197"/>
      <c r="M284" s="199"/>
      <c r="N284" s="200"/>
      <c r="O284" s="200"/>
      <c r="P284" s="200"/>
      <c r="Q284" s="200"/>
      <c r="R284" s="200"/>
      <c r="S284" s="200"/>
      <c r="T284" s="200"/>
      <c r="U284" s="200">
        <v>0</v>
      </c>
      <c r="V284" s="245">
        <v>80071</v>
      </c>
      <c r="W284" s="205">
        <f>ROUND(표9[[#This Row],[Apr 2026 (USD or KRW)]],0)</f>
        <v>0</v>
      </c>
      <c r="X284" s="212"/>
      <c r="Y284" s="206">
        <f>표9[[#This Row],[Apr 2027(KRW)]]-표9[[#This Row],[Mar 2026(KRW)]]</f>
        <v>-80071</v>
      </c>
      <c r="Z284" s="213">
        <f t="shared" si="4"/>
        <v>-1</v>
      </c>
      <c r="AA284" s="208" t="e">
        <f>VLOOKUP(표9[[#This Row],[Team]],표1[],3,0)</f>
        <v>#N/A</v>
      </c>
    </row>
    <row r="285" spans="1:27" s="8" customFormat="1" ht="15">
      <c r="A285" s="214" t="str">
        <f>VLOOKUP($H285,AWS!$A:$H,2,0)</f>
        <v>AWS</v>
      </c>
      <c r="B285" s="214" t="str">
        <f>VLOOKUP($H285,AWS!$A:$H,3,0)</f>
        <v>KRAFTON HQ</v>
      </c>
      <c r="C285" s="209" t="str">
        <f>VLOOKUP($H285,AWS!$A:$H,4,0)</f>
        <v>KRAFTON America</v>
      </c>
      <c r="D285" s="214" t="str">
        <f>VLOOKUP($H285,AWS!$A:$H,5,0)</f>
        <v>Creative Americas Production Team</v>
      </c>
      <c r="E285" s="214" t="str">
        <f>VLOOKUP($H285,AWS!$A:$H,6,0)</f>
        <v>OVERHEAD/OTHERS</v>
      </c>
      <c r="F285" s="202" t="e">
        <f>VLOOKUP(표9[[#This Row],[Team]],표1[[내역]:[코스트 센터]],2,0)</f>
        <v>#N/A</v>
      </c>
      <c r="G285" s="202" t="str">
        <f>VLOOKUP(표9[[#This Row],[Project]],표2[],2,0)</f>
        <v>I100099999</v>
      </c>
      <c r="H285" s="244" t="s">
        <v>312</v>
      </c>
      <c r="I285" s="226"/>
      <c r="J285" s="214" t="str">
        <f>VLOOKUP($H285,AWS!$A:$H,8,0)</f>
        <v>Andy Fernandez</v>
      </c>
      <c r="K285" s="242"/>
      <c r="L285" s="197"/>
      <c r="M285" s="199"/>
      <c r="N285" s="200"/>
      <c r="O285" s="200"/>
      <c r="P285" s="200"/>
      <c r="Q285" s="200"/>
      <c r="R285" s="200"/>
      <c r="S285" s="200"/>
      <c r="T285" s="200"/>
      <c r="U285" s="200">
        <v>0</v>
      </c>
      <c r="V285" s="245">
        <v>14272</v>
      </c>
      <c r="W285" s="205">
        <f>ROUND(표9[[#This Row],[Apr 2026 (USD or KRW)]],0)</f>
        <v>0</v>
      </c>
      <c r="X285" s="212"/>
      <c r="Y285" s="206">
        <f>표9[[#This Row],[Apr 2027(KRW)]]-표9[[#This Row],[Mar 2026(KRW)]]</f>
        <v>-14272</v>
      </c>
      <c r="Z285" s="213">
        <f t="shared" si="4"/>
        <v>-1</v>
      </c>
      <c r="AA285" s="208" t="e">
        <f>VLOOKUP(표9[[#This Row],[Team]],표1[],3,0)</f>
        <v>#N/A</v>
      </c>
    </row>
    <row r="286" spans="1:27" s="8" customFormat="1" ht="15">
      <c r="A286" s="214" t="str">
        <f>VLOOKUP($H286,AWS!$A:$H,2,0)</f>
        <v>AWS</v>
      </c>
      <c r="B286" s="214" t="str">
        <f>VLOOKUP($H286,AWS!$A:$H,3,0)</f>
        <v>KRAFTON HQ</v>
      </c>
      <c r="C286" s="209" t="str">
        <f>VLOOKUP($H286,AWS!$A:$H,4,0)</f>
        <v>KRAFTON HQ</v>
      </c>
      <c r="D286" s="214" t="str">
        <f>VLOOKUP($H286,AWS!$A:$H,5,0)</f>
        <v>PUBG Strategy &amp; Operations Team</v>
      </c>
      <c r="E286" s="214" t="str">
        <f>VLOOKUP($H286,AWS!$A:$H,6,0)</f>
        <v>OVERHEAD/OTHERS</v>
      </c>
      <c r="F286" s="202">
        <f>VLOOKUP(표9[[#This Row],[Team]],표1[[내역]:[코스트 센터]],2,0)</f>
        <v>101251</v>
      </c>
      <c r="G286" s="202" t="str">
        <f>VLOOKUP(표9[[#This Row],[Project]],표2[],2,0)</f>
        <v>I100099999</v>
      </c>
      <c r="H286" s="244" t="s">
        <v>313</v>
      </c>
      <c r="I286" s="226"/>
      <c r="J286" s="214" t="str">
        <f>VLOOKUP($H286,AWS!$A:$H,8,0)</f>
        <v>김세은</v>
      </c>
      <c r="K286" s="242"/>
      <c r="L286" s="197"/>
      <c r="M286" s="199"/>
      <c r="N286" s="200"/>
      <c r="O286" s="200"/>
      <c r="P286" s="200"/>
      <c r="Q286" s="200"/>
      <c r="R286" s="200"/>
      <c r="S286" s="200"/>
      <c r="T286" s="200"/>
      <c r="U286" s="200">
        <v>0</v>
      </c>
      <c r="V286" s="245">
        <v>13424</v>
      </c>
      <c r="W286" s="205">
        <f>ROUND(표9[[#This Row],[Apr 2026 (USD or KRW)]],0)</f>
        <v>0</v>
      </c>
      <c r="X286" s="212"/>
      <c r="Y286" s="206">
        <f>표9[[#This Row],[Apr 2027(KRW)]]-표9[[#This Row],[Mar 2026(KRW)]]</f>
        <v>-13424</v>
      </c>
      <c r="Z286" s="213">
        <f t="shared" si="4"/>
        <v>-1</v>
      </c>
      <c r="AA286" s="208">
        <f>VLOOKUP(표9[[#This Row],[Team]],표1[],3,0)</f>
        <v>1000</v>
      </c>
    </row>
    <row r="287" spans="1:27" s="8" customFormat="1" ht="15">
      <c r="A287" s="214" t="str">
        <f>VLOOKUP($H287,AWS!$A:$H,2,0)</f>
        <v>AWS</v>
      </c>
      <c r="B287" s="214" t="str">
        <f>VLOOKUP($H287,AWS!$A:$H,3,0)</f>
        <v>KRAFTON HQ</v>
      </c>
      <c r="C287" s="209" t="str">
        <f>VLOOKUP($H287,AWS!$A:$H,4,0)</f>
        <v>KRAFTON HQ</v>
      </c>
      <c r="D287" s="214" t="str">
        <f>VLOOKUP($H287,AWS!$A:$H,5,0)</f>
        <v>Live Ops Team</v>
      </c>
      <c r="E287" s="214" t="str">
        <f>VLOOKUP($H287,AWS!$A:$H,6,0)</f>
        <v>ig</v>
      </c>
      <c r="F287" s="202">
        <f>VLOOKUP(표9[[#This Row],[Team]],표1[[내역]:[코스트 센터]],2,0)</f>
        <v>101747</v>
      </c>
      <c r="G287" s="202" t="e">
        <f>VLOOKUP(표9[[#This Row],[Project]],표2[],2,0)</f>
        <v>#N/A</v>
      </c>
      <c r="H287" s="244" t="s">
        <v>314</v>
      </c>
      <c r="I287" s="226"/>
      <c r="J287" s="214" t="str">
        <f>VLOOKUP($H287,AWS!$A:$H,8,0)</f>
        <v>구지현</v>
      </c>
      <c r="K287" s="242"/>
      <c r="L287" s="197"/>
      <c r="M287" s="199"/>
      <c r="N287" s="200"/>
      <c r="O287" s="200"/>
      <c r="P287" s="200"/>
      <c r="Q287" s="200"/>
      <c r="R287" s="200"/>
      <c r="S287" s="200"/>
      <c r="T287" s="200"/>
      <c r="U287" s="200">
        <v>0</v>
      </c>
      <c r="V287" s="245">
        <v>55233</v>
      </c>
      <c r="W287" s="205">
        <f>ROUND(표9[[#This Row],[Apr 2026 (USD or KRW)]],0)</f>
        <v>0</v>
      </c>
      <c r="X287" s="212"/>
      <c r="Y287" s="206">
        <f>표9[[#This Row],[Apr 2027(KRW)]]-표9[[#This Row],[Mar 2026(KRW)]]</f>
        <v>-55233</v>
      </c>
      <c r="Z287" s="213">
        <f t="shared" si="4"/>
        <v>-1</v>
      </c>
      <c r="AA287" s="208">
        <f>VLOOKUP(표9[[#This Row],[Team]],표1[],3,0)</f>
        <v>1000</v>
      </c>
    </row>
    <row r="288" spans="1:27" s="8" customFormat="1" ht="15">
      <c r="A288" s="214" t="str">
        <f>VLOOKUP($H288,AWS!$A:$H,2,0)</f>
        <v>AWS</v>
      </c>
      <c r="B288" s="214" t="str">
        <f>VLOOKUP($H288,AWS!$A:$H,3,0)</f>
        <v>KRAFTON HQ</v>
      </c>
      <c r="C288" s="209" t="str">
        <f>VLOOKUP($H288,AWS!$A:$H,4,0)</f>
        <v>KRAFTON HQ</v>
      </c>
      <c r="D288" s="214" t="str">
        <f>VLOOKUP($H288,AWS!$A:$H,5,0)</f>
        <v>Service DevOps Team</v>
      </c>
      <c r="E288" s="214" t="str">
        <f>VLOOKUP($H288,AWS!$A:$H,6,0)</f>
        <v>Cricket All Stars</v>
      </c>
      <c r="F288" s="202">
        <f>VLOOKUP(표9[[#This Row],[Team]],표1[[내역]:[코스트 센터]],2,0)</f>
        <v>100033</v>
      </c>
      <c r="G288" s="202" t="str">
        <f>VLOOKUP(표9[[#This Row],[Project]],표2[],2,0)</f>
        <v>P100130145</v>
      </c>
      <c r="H288" s="244" t="s">
        <v>315</v>
      </c>
      <c r="I288" s="226"/>
      <c r="J288" s="214" t="str">
        <f>VLOOKUP($H288,AWS!$A:$H,8,0)</f>
        <v>안연주</v>
      </c>
      <c r="K288" s="242"/>
      <c r="L288" s="197"/>
      <c r="M288" s="199"/>
      <c r="N288" s="200"/>
      <c r="O288" s="200"/>
      <c r="P288" s="200"/>
      <c r="Q288" s="200"/>
      <c r="R288" s="200"/>
      <c r="S288" s="200"/>
      <c r="T288" s="200"/>
      <c r="U288" s="200">
        <v>0</v>
      </c>
      <c r="V288" s="245">
        <v>14921</v>
      </c>
      <c r="W288" s="205">
        <f>ROUND(표9[[#This Row],[Apr 2026 (USD or KRW)]],0)</f>
        <v>0</v>
      </c>
      <c r="X288" s="212"/>
      <c r="Y288" s="206">
        <f>표9[[#This Row],[Apr 2027(KRW)]]-표9[[#This Row],[Mar 2026(KRW)]]</f>
        <v>-14921</v>
      </c>
      <c r="Z288" s="213">
        <f t="shared" si="4"/>
        <v>-1</v>
      </c>
      <c r="AA288" s="208">
        <f>VLOOKUP(표9[[#This Row],[Team]],표1[],3,0)</f>
        <v>1000</v>
      </c>
    </row>
    <row r="289" spans="1:27" s="8" customFormat="1" ht="15">
      <c r="A289" s="214" t="str">
        <f>VLOOKUP($H289,AWS!$A:$H,2,0)</f>
        <v>AWS</v>
      </c>
      <c r="B289" s="214" t="str">
        <f>VLOOKUP($H289,AWS!$A:$H,3,0)</f>
        <v>KRAFTON HQ</v>
      </c>
      <c r="C289" s="209" t="str">
        <f>VLOOKUP($H289,AWS!$A:$H,4,0)</f>
        <v>Mad Glory</v>
      </c>
      <c r="D289" s="214" t="str">
        <f>VLOOKUP($H289,AWS!$A:$H,5,0)</f>
        <v>Valor DevOps Part</v>
      </c>
      <c r="E289" s="214" t="str">
        <f>VLOOKUP($H289,AWS!$A:$H,6,0)</f>
        <v>Valor_Console</v>
      </c>
      <c r="F289" s="202">
        <f>VLOOKUP(표9[[#This Row],[Team]],표1[[내역]:[코스트 센터]],2,0)</f>
        <v>150108</v>
      </c>
      <c r="G289" s="202" t="str">
        <f>VLOOKUP(표9[[#This Row],[Project]],표2[],2,0)</f>
        <v>P100020081</v>
      </c>
      <c r="H289" s="244" t="s">
        <v>316</v>
      </c>
      <c r="I289" s="226"/>
      <c r="J289" s="214" t="str">
        <f>VLOOKUP($H289,AWS!$A:$H,8,0)</f>
        <v>송영재</v>
      </c>
      <c r="K289" s="242" t="s">
        <v>29</v>
      </c>
      <c r="L289" s="197"/>
      <c r="M289" s="199"/>
      <c r="N289" s="200"/>
      <c r="O289" s="200"/>
      <c r="P289" s="200"/>
      <c r="Q289" s="200"/>
      <c r="R289" s="200"/>
      <c r="S289" s="200"/>
      <c r="T289" s="200"/>
      <c r="U289" s="200">
        <v>0</v>
      </c>
      <c r="V289" s="245">
        <v>15436</v>
      </c>
      <c r="W289" s="205">
        <f>ROUND(표9[[#This Row],[Apr 2026 (USD or KRW)]],0)</f>
        <v>0</v>
      </c>
      <c r="X289" s="212"/>
      <c r="Y289" s="206">
        <f>표9[[#This Row],[Apr 2027(KRW)]]-표9[[#This Row],[Mar 2026(KRW)]]</f>
        <v>-15436</v>
      </c>
      <c r="Z289" s="213">
        <f t="shared" si="4"/>
        <v>-1</v>
      </c>
      <c r="AA289" s="208">
        <f>VLOOKUP(표9[[#This Row],[Team]],표1[],3,0)</f>
        <v>1500</v>
      </c>
    </row>
    <row r="290" spans="1:27" s="8" customFormat="1" ht="17">
      <c r="A290" s="214" t="str">
        <f>VLOOKUP($H290,AWS!$A:$H,2,0)</f>
        <v>AWS</v>
      </c>
      <c r="B290" s="214" t="str">
        <f>VLOOKUP($H290,AWS!$A:$H,3,0)</f>
        <v>KRAFTON HQ</v>
      </c>
      <c r="C290" s="209" t="str">
        <f>VLOOKUP($H290,AWS!$A:$H,4,0)</f>
        <v>KRAFTON HQ</v>
      </c>
      <c r="D290" s="214" t="str">
        <f>VLOOKUP($H290,AWS!$A:$H,5,0)</f>
        <v>Service DevOps Team</v>
      </c>
      <c r="E290" s="214" t="str">
        <f>VLOOKUP($H290,AWS!$A:$H,6,0)</f>
        <v>Project IGNT</v>
      </c>
      <c r="F290" s="202">
        <f>VLOOKUP(표9[[#This Row],[Team]],표1[[내역]:[코스트 센터]],2,0)</f>
        <v>100033</v>
      </c>
      <c r="G290" s="202" t="str">
        <f>VLOOKUP(표9[[#This Row],[Project]],표2[],2,0)</f>
        <v>P100130183</v>
      </c>
      <c r="H290" s="254" t="s">
        <v>317</v>
      </c>
      <c r="I290" s="226"/>
      <c r="J290" s="214" t="str">
        <f>VLOOKUP($H290,AWS!$A:$H,8,0)</f>
        <v>안연주</v>
      </c>
      <c r="K290" s="242"/>
      <c r="L290" s="197"/>
      <c r="M290" s="199"/>
      <c r="N290" s="200"/>
      <c r="O290" s="200"/>
      <c r="P290" s="200"/>
      <c r="Q290" s="200"/>
      <c r="R290" s="200"/>
      <c r="S290" s="200"/>
      <c r="T290" s="200"/>
      <c r="U290" s="200">
        <v>0</v>
      </c>
      <c r="V290" s="245">
        <v>298601</v>
      </c>
      <c r="W290" s="205">
        <f>ROUND(표9[[#This Row],[Apr 2026 (USD or KRW)]],0)</f>
        <v>0</v>
      </c>
      <c r="X290" s="212"/>
      <c r="Y290" s="206">
        <f>표9[[#This Row],[Apr 2027(KRW)]]-표9[[#This Row],[Mar 2026(KRW)]]</f>
        <v>-298601</v>
      </c>
      <c r="Z290" s="213">
        <f t="shared" si="4"/>
        <v>-1</v>
      </c>
      <c r="AA290" s="208">
        <f>VLOOKUP(표9[[#This Row],[Team]],표1[],3,0)</f>
        <v>1000</v>
      </c>
    </row>
    <row r="291" spans="1:27" s="8" customFormat="1" ht="15">
      <c r="A291" s="214" t="str">
        <f>VLOOKUP($H291,AWS!$A:$H,2,0)</f>
        <v>AWS</v>
      </c>
      <c r="B291" s="214" t="str">
        <f>VLOOKUP($H291,AWS!$A:$H,3,0)</f>
        <v>KRAFTON HQ</v>
      </c>
      <c r="C291" s="209" t="str">
        <f>VLOOKUP($H291,AWS!$A:$H,4,0)</f>
        <v>KRAFTON HQ</v>
      </c>
      <c r="D291" s="214" t="str">
        <f>VLOOKUP($H291,AWS!$A:$H,5,0)</f>
        <v>GPD1 Community Management Team</v>
      </c>
      <c r="E291" s="214" t="str">
        <f>VLOOKUP($H291,AWS!$A:$H,6,0)</f>
        <v>SUBNAUTICA 2</v>
      </c>
      <c r="F291" s="202">
        <f>VLOOKUP(표9[[#This Row],[Team]],표1[[내역]:[코스트 센터]],2,0)</f>
        <v>101867</v>
      </c>
      <c r="G291" s="202" t="str">
        <f>VLOOKUP(표9[[#This Row],[Project]],표2[],2,0)</f>
        <v>P100010066</v>
      </c>
      <c r="H291" s="244" t="s">
        <v>318</v>
      </c>
      <c r="I291" s="226"/>
      <c r="J291" s="214" t="str">
        <f>VLOOKUP($H291,AWS!$A:$H,8,0)</f>
        <v>민경윤</v>
      </c>
      <c r="K291" s="242"/>
      <c r="L291" s="197"/>
      <c r="M291" s="199"/>
      <c r="N291" s="200"/>
      <c r="O291" s="200"/>
      <c r="P291" s="200"/>
      <c r="Q291" s="200"/>
      <c r="R291" s="200"/>
      <c r="S291" s="200"/>
      <c r="T291" s="200"/>
      <c r="U291" s="200">
        <v>0</v>
      </c>
      <c r="V291" s="245">
        <v>685171</v>
      </c>
      <c r="W291" s="205">
        <f>ROUND(표9[[#This Row],[Apr 2026 (USD or KRW)]],0)</f>
        <v>0</v>
      </c>
      <c r="X291" s="212"/>
      <c r="Y291" s="206">
        <f>표9[[#This Row],[Apr 2027(KRW)]]-표9[[#This Row],[Mar 2026(KRW)]]</f>
        <v>-685171</v>
      </c>
      <c r="Z291" s="213">
        <f t="shared" si="4"/>
        <v>-1</v>
      </c>
      <c r="AA291" s="208">
        <f>VLOOKUP(표9[[#This Row],[Team]],표1[],3,0)</f>
        <v>1000</v>
      </c>
    </row>
    <row r="292" spans="1:27" s="8" customFormat="1" ht="15">
      <c r="A292" s="214" t="str">
        <f>VLOOKUP($H292,AWS!$A:$H,2,0)</f>
        <v>AWS</v>
      </c>
      <c r="B292" s="214" t="str">
        <f>VLOOKUP($H292,AWS!$A:$H,3,0)</f>
        <v>KRAFTON HQ</v>
      </c>
      <c r="C292" s="209" t="str">
        <f>VLOOKUP($H292,AWS!$A:$H,4,0)</f>
        <v>KRAFTON HQ</v>
      </c>
      <c r="D292" s="214" t="str">
        <f>VLOOKUP($H292,AWS!$A:$H,5,0)</f>
        <v>Service DevOps Team</v>
      </c>
      <c r="E292" s="214" t="str">
        <f>VLOOKUP($H292,AWS!$A:$H,6,0)</f>
        <v>OVERHEAD/OTHERS</v>
      </c>
      <c r="F292" s="202">
        <f>VLOOKUP(표9[[#This Row],[Team]],표1[[내역]:[코스트 센터]],2,0)</f>
        <v>100033</v>
      </c>
      <c r="G292" s="202" t="str">
        <f>VLOOKUP(표9[[#This Row],[Project]],표2[],2,0)</f>
        <v>I100099999</v>
      </c>
      <c r="H292" s="214" t="s">
        <v>319</v>
      </c>
      <c r="I292" s="214" t="str">
        <f>VLOOKUP($H292,AWS!$A:$H,8,0)</f>
        <v>엄기성</v>
      </c>
      <c r="J292" s="214" t="str">
        <f>VLOOKUP($H292,AWS!$A:$H,8,0)</f>
        <v>엄기성</v>
      </c>
      <c r="K292" s="187"/>
      <c r="L292" s="215">
        <v>1149109</v>
      </c>
      <c r="M292" s="216">
        <v>1083134</v>
      </c>
      <c r="N292" s="217">
        <v>1102872</v>
      </c>
      <c r="O292" s="217">
        <v>1103467</v>
      </c>
      <c r="P292" s="217">
        <v>1183524</v>
      </c>
      <c r="Q292" s="217">
        <v>1088631</v>
      </c>
      <c r="R292" s="217">
        <v>1124598</v>
      </c>
      <c r="S292" s="217">
        <v>1264308</v>
      </c>
      <c r="T292" s="212">
        <v>1072603</v>
      </c>
      <c r="U292" s="212">
        <v>942217</v>
      </c>
      <c r="V292" s="205">
        <v>1277071</v>
      </c>
      <c r="W292" s="205">
        <f>ROUND(표9[[#This Row],[Apr 2026 (USD or KRW)]],0)</f>
        <v>0</v>
      </c>
      <c r="X292" s="212"/>
      <c r="Y292" s="206">
        <f>표9[[#This Row],[Apr 2027(KRW)]]-표9[[#This Row],[Mar 2026(KRW)]]</f>
        <v>-1277071</v>
      </c>
      <c r="Z292" s="213">
        <f t="shared" si="4"/>
        <v>-1</v>
      </c>
      <c r="AA292" s="208">
        <f>VLOOKUP(표9[[#This Row],[Team]],표1[],3,0)</f>
        <v>1000</v>
      </c>
    </row>
    <row r="293" spans="1:27" s="8" customFormat="1" ht="15">
      <c r="A293" s="209" t="str">
        <f>VLOOKUP($H293,AWS!$A:$H,2,0)</f>
        <v>AWS</v>
      </c>
      <c r="B293" s="209" t="str">
        <f>VLOOKUP($H293,AWS!$A:$H,3,0)</f>
        <v>Unknownworlds</v>
      </c>
      <c r="C293" s="209" t="str">
        <f>VLOOKUP($H293,AWS!$A:$H,4,0)</f>
        <v>Unknownworlds</v>
      </c>
      <c r="D293" s="214">
        <f>VLOOKUP($H293,AWS!$A:$H,5,0)</f>
        <v>0</v>
      </c>
      <c r="E293" s="214">
        <f>VLOOKUP($H293,AWS!$A:$H,6,0)</f>
        <v>0</v>
      </c>
      <c r="F293" s="202" t="e">
        <f>VLOOKUP(표9[[#This Row],[Team]],표1[[내역]:[코스트 센터]],2,0)</f>
        <v>#N/A</v>
      </c>
      <c r="G293" s="202" t="e">
        <f>VLOOKUP(표9[[#This Row],[Project]],표2[],2,0)</f>
        <v>#N/A</v>
      </c>
      <c r="H293" s="209" t="s">
        <v>320</v>
      </c>
      <c r="I293" s="219" t="str">
        <f>VLOOKUP($H293,AWS!$A:$H,8,0)</f>
        <v>Jack Smith</v>
      </c>
      <c r="J293" s="214" t="str">
        <f>VLOOKUP($H293,AWS!$A:$H,8,0)</f>
        <v>Jack Smith</v>
      </c>
      <c r="K293" s="186"/>
      <c r="L293" s="210"/>
      <c r="M293" s="211">
        <v>1756556</v>
      </c>
      <c r="N293" s="212">
        <v>1799670</v>
      </c>
      <c r="O293" s="212">
        <v>1794443</v>
      </c>
      <c r="P293" s="212">
        <v>1648704</v>
      </c>
      <c r="Q293" s="212">
        <v>1750195</v>
      </c>
      <c r="R293" s="212">
        <v>1748828</v>
      </c>
      <c r="S293" s="212">
        <v>1772253</v>
      </c>
      <c r="T293" s="212">
        <v>1724926</v>
      </c>
      <c r="U293" s="212">
        <v>1626021</v>
      </c>
      <c r="V293" s="205">
        <v>2449090</v>
      </c>
      <c r="W293" s="205">
        <f>ROUND(표9[[#This Row],[Apr 2026 (USD or KRW)]],0)</f>
        <v>0</v>
      </c>
      <c r="X293" s="212"/>
      <c r="Y293" s="206">
        <f>표9[[#This Row],[Apr 2027(KRW)]]-표9[[#This Row],[Mar 2026(KRW)]]</f>
        <v>-2449090</v>
      </c>
      <c r="Z293" s="213">
        <f t="shared" si="4"/>
        <v>-1</v>
      </c>
      <c r="AA293" s="208" t="e">
        <f>VLOOKUP(표9[[#This Row],[Team]],표1[],3,0)</f>
        <v>#N/A</v>
      </c>
    </row>
    <row r="294" spans="1:27" s="8" customFormat="1" ht="15">
      <c r="A294" s="209" t="str">
        <f>VLOOKUP($H294,AWS!$A:$H,2,0)</f>
        <v>AWS</v>
      </c>
      <c r="B294" s="209" t="str">
        <f>VLOOKUP($H294,AWS!$A:$H,3,0)</f>
        <v>KRAFTON HQ</v>
      </c>
      <c r="C294" s="209" t="str">
        <f>VLOOKUP($H294,AWS!$A:$H,4,0)</f>
        <v>KRAFTON HQ</v>
      </c>
      <c r="D294" s="214" t="str">
        <f>VLOOKUP($H294,AWS!$A:$H,5,0)</f>
        <v>IT Platform Engineering Team</v>
      </c>
      <c r="E294" s="214" t="str">
        <f>VLOOKUP($H294,AWS!$A:$H,6,0)</f>
        <v>OVERHEAD/OTHERS</v>
      </c>
      <c r="F294" s="263">
        <f>VLOOKUP(표9[[#This Row],[Team]],표1[[내역]:[코스트 센터]],2,0)</f>
        <v>100024</v>
      </c>
      <c r="G294" s="263" t="str">
        <f>VLOOKUP(표9[[#This Row],[Project]],표2[],2,0)</f>
        <v>I100099999</v>
      </c>
      <c r="H294" s="244" t="s">
        <v>6190</v>
      </c>
      <c r="I294" s="226"/>
      <c r="J294" s="214" t="str">
        <f>VLOOKUP($H294,AWS!$A:$H,8,0)</f>
        <v>박재완</v>
      </c>
      <c r="K294" s="242"/>
      <c r="L294" s="197"/>
      <c r="M294" s="199"/>
      <c r="N294" s="200"/>
      <c r="O294" s="200"/>
      <c r="P294" s="200"/>
      <c r="Q294" s="200"/>
      <c r="R294" s="200"/>
      <c r="S294" s="200"/>
      <c r="T294" s="200"/>
      <c r="U294" s="200"/>
      <c r="V294" s="245"/>
      <c r="W294" s="205">
        <f>ROUND(표9[[#This Row],[Apr 2026 (USD or KRW)]],0)</f>
        <v>0</v>
      </c>
      <c r="X294" s="212"/>
      <c r="Y294" s="206">
        <f>표9[[#This Row],[Apr 2027(KRW)]]-표9[[#This Row],[Mar 2026(KRW)]]</f>
        <v>0</v>
      </c>
      <c r="Z294" s="213" t="str">
        <f t="shared" si="4"/>
        <v/>
      </c>
      <c r="AA294" s="208">
        <f>VLOOKUP(표9[[#This Row],[Team]],표1[],3,0)</f>
        <v>1000</v>
      </c>
    </row>
    <row r="295" spans="1:27" s="8" customFormat="1" ht="15">
      <c r="A295" s="209" t="str">
        <f>VLOOKUP($H295,AWS!$A:$H,2,0)</f>
        <v>AWS</v>
      </c>
      <c r="B295" s="209" t="str">
        <f>VLOOKUP($H295,AWS!$A:$H,3,0)</f>
        <v>KRAFTON HQ</v>
      </c>
      <c r="C295" s="209" t="str">
        <f>VLOOKUP($H295,AWS!$A:$H,4,0)</f>
        <v>KRAFTON India</v>
      </c>
      <c r="D295" s="214" t="str">
        <f>VLOOKUP($H295,AWS!$A:$H,5,0)</f>
        <v>IN New Games Publishing Team 3</v>
      </c>
      <c r="E295" s="214" t="str">
        <f>VLOOKUP($H295,AWS!$A:$H,6,0)</f>
        <v>Project IGNT</v>
      </c>
      <c r="F295" s="263">
        <f>VLOOKUP(표9[[#This Row],[Team]],표1[[내역]:[코스트 센터]],2,0)</f>
        <v>290062</v>
      </c>
      <c r="G295" s="263" t="str">
        <f>VLOOKUP(표9[[#This Row],[Project]],표2[],2,0)</f>
        <v>P100130183</v>
      </c>
      <c r="H295" s="244" t="s">
        <v>6191</v>
      </c>
      <c r="I295" s="226"/>
      <c r="J295" s="214" t="str">
        <f>VLOOKUP($H295,AWS!$A:$H,8,0)</f>
        <v>Prashant Pandey</v>
      </c>
      <c r="K295" s="242"/>
      <c r="L295" s="197"/>
      <c r="M295" s="199"/>
      <c r="N295" s="200"/>
      <c r="O295" s="200"/>
      <c r="P295" s="200"/>
      <c r="Q295" s="200"/>
      <c r="R295" s="200"/>
      <c r="S295" s="200"/>
      <c r="T295" s="200"/>
      <c r="U295" s="200"/>
      <c r="V295" s="245"/>
      <c r="W295" s="205">
        <f>ROUND(표9[[#This Row],[Apr 2026 (USD or KRW)]],0)</f>
        <v>0</v>
      </c>
      <c r="X295" s="212"/>
      <c r="Y295" s="206">
        <f>표9[[#This Row],[Apr 2027(KRW)]]-표9[[#This Row],[Mar 2026(KRW)]]</f>
        <v>0</v>
      </c>
      <c r="Z295" s="213" t="str">
        <f t="shared" si="4"/>
        <v/>
      </c>
      <c r="AA295" s="208">
        <f>VLOOKUP(표9[[#This Row],[Team]],표1[],3,0)</f>
        <v>2900</v>
      </c>
    </row>
    <row r="296" spans="1:27" s="8" customFormat="1" ht="15">
      <c r="A296" s="209" t="str">
        <f>VLOOKUP($H296,AWS!$A:$H,2,0)</f>
        <v>AWS</v>
      </c>
      <c r="B296" s="209" t="str">
        <f>VLOOKUP($H296,AWS!$A:$H,3,0)</f>
        <v>KRAFTON HQ</v>
      </c>
      <c r="C296" s="209" t="str">
        <f>VLOOKUP($H296,AWS!$A:$H,4,0)</f>
        <v>KRAFTON India</v>
      </c>
      <c r="D296" s="214" t="str">
        <f>VLOOKUP($H296,AWS!$A:$H,5,0)</f>
        <v>IN New Games Publishing Team 3</v>
      </c>
      <c r="E296" s="214" t="str">
        <f>VLOOKUP($H296,AWS!$A:$H,6,0)</f>
        <v>Project IGNT</v>
      </c>
      <c r="F296" s="263">
        <f>VLOOKUP(표9[[#This Row],[Team]],표1[[내역]:[코스트 센터]],2,0)</f>
        <v>290062</v>
      </c>
      <c r="G296" s="263" t="str">
        <f>VLOOKUP(표9[[#This Row],[Project]],표2[],2,0)</f>
        <v>P100130183</v>
      </c>
      <c r="H296" s="244" t="s">
        <v>6192</v>
      </c>
      <c r="I296" s="226"/>
      <c r="J296" s="214" t="str">
        <f>VLOOKUP($H296,AWS!$A:$H,8,0)</f>
        <v>Prashant Pandey</v>
      </c>
      <c r="K296" s="242"/>
      <c r="L296" s="197"/>
      <c r="M296" s="199"/>
      <c r="N296" s="200"/>
      <c r="O296" s="200"/>
      <c r="P296" s="200"/>
      <c r="Q296" s="200"/>
      <c r="R296" s="200"/>
      <c r="S296" s="200"/>
      <c r="T296" s="200"/>
      <c r="U296" s="200"/>
      <c r="V296" s="245"/>
      <c r="W296" s="205">
        <f>ROUND(표9[[#This Row],[Apr 2026 (USD or KRW)]],0)</f>
        <v>0</v>
      </c>
      <c r="X296" s="212"/>
      <c r="Y296" s="206">
        <f>표9[[#This Row],[Apr 2027(KRW)]]-표9[[#This Row],[Mar 2026(KRW)]]</f>
        <v>0</v>
      </c>
      <c r="Z296" s="213" t="str">
        <f t="shared" si="4"/>
        <v/>
      </c>
      <c r="AA296" s="208">
        <f>VLOOKUP(표9[[#This Row],[Team]],표1[],3,0)</f>
        <v>2900</v>
      </c>
    </row>
    <row r="297" spans="1:27" s="8" customFormat="1" ht="15">
      <c r="A297" s="209" t="str">
        <f>VLOOKUP($H297,AWS!$A:$H,2,0)</f>
        <v>AWS</v>
      </c>
      <c r="B297" s="209" t="str">
        <f>VLOOKUP($H297,AWS!$A:$H,3,0)</f>
        <v>KRAFTON HQ</v>
      </c>
      <c r="C297" s="209" t="str">
        <f>VLOOKUP($H297,AWS!$A:$H,4,0)</f>
        <v>KRAFTON HQ</v>
      </c>
      <c r="D297" s="214" t="str">
        <f>VLOOKUP($H297,AWS!$A:$H,5,0)</f>
        <v>AI Product Dev Chapter Dept.</v>
      </c>
      <c r="E297" s="214" t="str">
        <f>VLOOKUP($H297,AWS!$A:$H,6,0)</f>
        <v>OVERHEAD/OTHERS</v>
      </c>
      <c r="F297" s="263">
        <f>VLOOKUP(표9[[#This Row],[Team]],표1[[내역]:[코스트 센터]],2,0)</f>
        <v>102159</v>
      </c>
      <c r="G297" s="263" t="str">
        <f>VLOOKUP(표9[[#This Row],[Project]],표2[],2,0)</f>
        <v>I100099999</v>
      </c>
      <c r="H297" s="244" t="s">
        <v>6193</v>
      </c>
      <c r="I297" s="226"/>
      <c r="J297" s="214" t="str">
        <f>VLOOKUP($H297,AWS!$A:$H,8,0)</f>
        <v>강하라</v>
      </c>
      <c r="K297" s="242"/>
      <c r="L297" s="197"/>
      <c r="M297" s="199"/>
      <c r="N297" s="200"/>
      <c r="O297" s="200"/>
      <c r="P297" s="200"/>
      <c r="Q297" s="200"/>
      <c r="R297" s="200"/>
      <c r="S297" s="200"/>
      <c r="T297" s="200"/>
      <c r="U297" s="200"/>
      <c r="V297" s="245"/>
      <c r="W297" s="205">
        <f>ROUND(표9[[#This Row],[Apr 2026 (USD or KRW)]],0)</f>
        <v>0</v>
      </c>
      <c r="X297" s="212"/>
      <c r="Y297" s="206">
        <f>표9[[#This Row],[Apr 2027(KRW)]]-표9[[#This Row],[Mar 2026(KRW)]]</f>
        <v>0</v>
      </c>
      <c r="Z297" s="213" t="str">
        <f t="shared" si="4"/>
        <v/>
      </c>
      <c r="AA297" s="208">
        <f>VLOOKUP(표9[[#This Row],[Team]],표1[],3,0)</f>
        <v>1000</v>
      </c>
    </row>
    <row r="298" spans="1:27" s="8" customFormat="1" ht="15">
      <c r="A298" s="209" t="str">
        <f>VLOOKUP($H298,AWS!$A:$H,2,0)</f>
        <v>AWS</v>
      </c>
      <c r="B298" s="209" t="str">
        <f>VLOOKUP($H298,AWS!$A:$H,3,0)</f>
        <v>KRAFTON HQ</v>
      </c>
      <c r="C298" s="209" t="str">
        <f>VLOOKUP($H298,AWS!$A:$H,4,0)</f>
        <v>KRAFTON HQ</v>
      </c>
      <c r="D298" s="214" t="str">
        <f>VLOOKUP($H298,AWS!$A:$H,5,0)</f>
        <v>Live Ops Team</v>
      </c>
      <c r="E298" s="214" t="str">
        <f>VLOOKUP($H298,AWS!$A:$H,6,0)</f>
        <v>inZOI</v>
      </c>
      <c r="F298" s="263">
        <f>VLOOKUP(표9[[#This Row],[Team]],표1[[내역]:[코스트 센터]],2,0)</f>
        <v>101747</v>
      </c>
      <c r="G298" s="263" t="str">
        <f>VLOOKUP(표9[[#This Row],[Project]],표2[],2,0)</f>
        <v>P100010055</v>
      </c>
      <c r="H298" s="244" t="s">
        <v>6194</v>
      </c>
      <c r="I298" s="226"/>
      <c r="J298" s="214" t="str">
        <f>VLOOKUP($H298,AWS!$A:$H,8,0)</f>
        <v>이지수</v>
      </c>
      <c r="K298" s="242"/>
      <c r="L298" s="197"/>
      <c r="M298" s="199"/>
      <c r="N298" s="200"/>
      <c r="O298" s="200"/>
      <c r="P298" s="200"/>
      <c r="Q298" s="200"/>
      <c r="R298" s="200"/>
      <c r="S298" s="200"/>
      <c r="T298" s="200"/>
      <c r="U298" s="200"/>
      <c r="V298" s="245"/>
      <c r="W298" s="205">
        <f>ROUND(표9[[#This Row],[Apr 2026 (USD or KRW)]],0)</f>
        <v>0</v>
      </c>
      <c r="X298" s="212"/>
      <c r="Y298" s="206">
        <f>표9[[#This Row],[Apr 2027(KRW)]]-표9[[#This Row],[Mar 2026(KRW)]]</f>
        <v>0</v>
      </c>
      <c r="Z298" s="213" t="str">
        <f t="shared" si="4"/>
        <v/>
      </c>
      <c r="AA298" s="208">
        <f>VLOOKUP(표9[[#This Row],[Team]],표1[],3,0)</f>
        <v>1000</v>
      </c>
    </row>
    <row r="299" spans="1:27" s="8" customFormat="1" ht="15">
      <c r="A299" s="209" t="str">
        <f>VLOOKUP($H299,AWS!$A:$H,2,0)</f>
        <v>AWS</v>
      </c>
      <c r="B299" s="209" t="str">
        <f>VLOOKUP($H299,AWS!$A:$H,3,0)</f>
        <v>Flyway Games</v>
      </c>
      <c r="C299" s="209" t="str">
        <f>VLOOKUP($H299,AWS!$A:$H,4,0)</f>
        <v>Flyway Games</v>
      </c>
      <c r="D299" s="214">
        <f>VLOOKUP($H299,AWS!$A:$H,5,0)</f>
        <v>0</v>
      </c>
      <c r="E299" s="214">
        <f>VLOOKUP($H299,AWS!$A:$H,6,0)</f>
        <v>0</v>
      </c>
      <c r="F299" s="263" t="e">
        <f>VLOOKUP(표9[[#This Row],[Team]],표1[[내역]:[코스트 센터]],2,0)</f>
        <v>#N/A</v>
      </c>
      <c r="G299" s="263" t="e">
        <f>VLOOKUP(표9[[#This Row],[Project]],표2[],2,0)</f>
        <v>#N/A</v>
      </c>
      <c r="H299" s="244" t="s">
        <v>6195</v>
      </c>
      <c r="I299" s="226"/>
      <c r="J299" s="214" t="str">
        <f>VLOOKUP($H299,AWS!$A:$H,8,0)</f>
        <v>당흔덕</v>
      </c>
      <c r="K299" s="242"/>
      <c r="L299" s="197"/>
      <c r="M299" s="199"/>
      <c r="N299" s="200"/>
      <c r="O299" s="200"/>
      <c r="P299" s="200"/>
      <c r="Q299" s="200"/>
      <c r="R299" s="200"/>
      <c r="S299" s="200"/>
      <c r="T299" s="200"/>
      <c r="U299" s="200"/>
      <c r="V299" s="245"/>
      <c r="W299" s="205">
        <f>ROUND(표9[[#This Row],[Apr 2026 (USD or KRW)]],0)</f>
        <v>0</v>
      </c>
      <c r="X299" s="212"/>
      <c r="Y299" s="206">
        <f>표9[[#This Row],[Apr 2027(KRW)]]-표9[[#This Row],[Mar 2026(KRW)]]</f>
        <v>0</v>
      </c>
      <c r="Z299" s="213" t="str">
        <f t="shared" si="4"/>
        <v/>
      </c>
      <c r="AA299" s="208" t="e">
        <f>VLOOKUP(표9[[#This Row],[Team]],표1[],3,0)</f>
        <v>#N/A</v>
      </c>
    </row>
    <row r="300" spans="1:27" s="8" customFormat="1" ht="15">
      <c r="A300" s="209" t="str">
        <f>VLOOKUP($H300,AWS!$A:$H,2,0)</f>
        <v>AWS</v>
      </c>
      <c r="B300" s="209" t="str">
        <f>VLOOKUP($H300,AWS!$A:$H,3,0)</f>
        <v>KRAFTON HQ</v>
      </c>
      <c r="C300" s="209" t="str">
        <f>VLOOKUP($H300,AWS!$A:$H,4,0)</f>
        <v>Nautilus</v>
      </c>
      <c r="D300" s="214">
        <f>VLOOKUP($H300,AWS!$A:$H,5,0)</f>
        <v>0</v>
      </c>
      <c r="E300" s="214" t="str">
        <f>VLOOKUP($H300,AWS!$A:$H,6,0)</f>
        <v>Real Cricket</v>
      </c>
      <c r="F300" s="263" t="e">
        <f>VLOOKUP(표9[[#This Row],[Team]],표1[[내역]:[코스트 센터]],2,0)</f>
        <v>#N/A</v>
      </c>
      <c r="G300" s="263" t="str">
        <f>VLOOKUP(표9[[#This Row],[Project]],표2[],2,0)</f>
        <v>P100130112</v>
      </c>
      <c r="H300" s="244" t="s">
        <v>6196</v>
      </c>
      <c r="I300" s="226"/>
      <c r="J300" s="214" t="str">
        <f>VLOOKUP($H300,AWS!$A:$H,8,0)</f>
        <v>김정언</v>
      </c>
      <c r="K300" s="242"/>
      <c r="L300" s="197"/>
      <c r="M300" s="199"/>
      <c r="N300" s="200"/>
      <c r="O300" s="200"/>
      <c r="P300" s="200"/>
      <c r="Q300" s="200"/>
      <c r="R300" s="200"/>
      <c r="S300" s="200"/>
      <c r="T300" s="200"/>
      <c r="U300" s="200"/>
      <c r="V300" s="245"/>
      <c r="W300" s="205">
        <f>ROUND(표9[[#This Row],[Apr 2026 (USD or KRW)]],0)</f>
        <v>0</v>
      </c>
      <c r="X300" s="212"/>
      <c r="Y300" s="206">
        <f>표9[[#This Row],[Apr 2027(KRW)]]-표9[[#This Row],[Mar 2026(KRW)]]</f>
        <v>0</v>
      </c>
      <c r="Z300" s="213" t="str">
        <f t="shared" si="4"/>
        <v/>
      </c>
      <c r="AA300" s="208" t="e">
        <f>VLOOKUP(표9[[#This Row],[Team]],표1[],3,0)</f>
        <v>#N/A</v>
      </c>
    </row>
    <row r="301" spans="1:27" s="8" customFormat="1" ht="15">
      <c r="A301" s="209" t="str">
        <f>VLOOKUP($H301,AWS!$A:$H,2,0)</f>
        <v>AWS</v>
      </c>
      <c r="B301" s="209" t="str">
        <f>VLOOKUP($H301,AWS!$A:$H,3,0)</f>
        <v>KRAFTON HQ</v>
      </c>
      <c r="C301" s="209" t="str">
        <f>VLOOKUP($H301,AWS!$A:$H,4,0)</f>
        <v>KRAFTON HQ</v>
      </c>
      <c r="D301" s="214" t="str">
        <f>VLOOKUP($H301,AWS!$A:$H,5,0)</f>
        <v>Live Creative Part 2</v>
      </c>
      <c r="E301" s="214" t="str">
        <f>VLOOKUP($H301,AWS!$A:$H,6,0)</f>
        <v>OVERHEAD/OTHERS</v>
      </c>
      <c r="F301" s="263">
        <f>VLOOKUP(표9[[#This Row],[Team]],표1[[내역]:[코스트 센터]],2,0)</f>
        <v>101554</v>
      </c>
      <c r="G301" s="263" t="str">
        <f>VLOOKUP(표9[[#This Row],[Project]],표2[],2,0)</f>
        <v>I100099999</v>
      </c>
      <c r="H301" s="244" t="s">
        <v>6197</v>
      </c>
      <c r="I301" s="226"/>
      <c r="J301" s="214" t="str">
        <f>VLOOKUP($H301,AWS!$A:$H,8,0)</f>
        <v>임세원</v>
      </c>
      <c r="K301" s="242"/>
      <c r="L301" s="197"/>
      <c r="M301" s="199"/>
      <c r="N301" s="200"/>
      <c r="O301" s="200"/>
      <c r="P301" s="200"/>
      <c r="Q301" s="200"/>
      <c r="R301" s="200"/>
      <c r="S301" s="200"/>
      <c r="T301" s="200"/>
      <c r="U301" s="200"/>
      <c r="V301" s="245"/>
      <c r="W301" s="205">
        <f>ROUND(표9[[#This Row],[Apr 2026 (USD or KRW)]],0)</f>
        <v>0</v>
      </c>
      <c r="X301" s="212"/>
      <c r="Y301" s="206">
        <f>표9[[#This Row],[Apr 2027(KRW)]]-표9[[#This Row],[Mar 2026(KRW)]]</f>
        <v>0</v>
      </c>
      <c r="Z301" s="213" t="str">
        <f t="shared" si="4"/>
        <v/>
      </c>
      <c r="AA301" s="208">
        <f>VLOOKUP(표9[[#This Row],[Team]],표1[],3,0)</f>
        <v>1000</v>
      </c>
    </row>
    <row r="302" spans="1:27" s="8" customFormat="1" ht="15">
      <c r="A302" s="209" t="str">
        <f>VLOOKUP($H302,AWS!$A:$H,2,0)</f>
        <v>AWS</v>
      </c>
      <c r="B302" s="209" t="str">
        <f>VLOOKUP($H302,AWS!$A:$H,3,0)</f>
        <v>KRAFTON HQ</v>
      </c>
      <c r="C302" s="209" t="str">
        <f>VLOOKUP($H302,AWS!$A:$H,4,0)</f>
        <v>KRAFTON India</v>
      </c>
      <c r="D302" s="214">
        <f>VLOOKUP($H302,AWS!$A:$H,5,0)</f>
        <v>0</v>
      </c>
      <c r="E302" s="214">
        <f>VLOOKUP($H302,AWS!$A:$H,6,0)</f>
        <v>0</v>
      </c>
      <c r="F302" s="263" t="e">
        <f>VLOOKUP(표9[[#This Row],[Team]],표1[[내역]:[코스트 센터]],2,0)</f>
        <v>#N/A</v>
      </c>
      <c r="G302" s="263" t="e">
        <f>VLOOKUP(표9[[#This Row],[Project]],표2[],2,0)</f>
        <v>#N/A</v>
      </c>
      <c r="H302" s="244" t="s">
        <v>6198</v>
      </c>
      <c r="I302" s="226"/>
      <c r="J302" s="214" t="str">
        <f>VLOOKUP($H302,AWS!$A:$H,8,0)</f>
        <v>Chandan Jagadeesha</v>
      </c>
      <c r="K302" s="242"/>
      <c r="L302" s="197"/>
      <c r="M302" s="199"/>
      <c r="N302" s="200"/>
      <c r="O302" s="200"/>
      <c r="P302" s="200"/>
      <c r="Q302" s="200"/>
      <c r="R302" s="200"/>
      <c r="S302" s="200"/>
      <c r="T302" s="200"/>
      <c r="U302" s="200"/>
      <c r="V302" s="245"/>
      <c r="W302" s="205">
        <f>ROUND(표9[[#This Row],[Apr 2026 (USD or KRW)]],0)</f>
        <v>0</v>
      </c>
      <c r="X302" s="212"/>
      <c r="Y302" s="206">
        <f>표9[[#This Row],[Apr 2027(KRW)]]-표9[[#This Row],[Mar 2026(KRW)]]</f>
        <v>0</v>
      </c>
      <c r="Z302" s="213" t="str">
        <f t="shared" si="4"/>
        <v/>
      </c>
      <c r="AA302" s="208" t="e">
        <f>VLOOKUP(표9[[#This Row],[Team]],표1[],3,0)</f>
        <v>#N/A</v>
      </c>
    </row>
    <row r="303" spans="1:27" s="8" customFormat="1" ht="15">
      <c r="A303" s="209" t="str">
        <f>VLOOKUP($H303,AWS!$A:$H,2,0)</f>
        <v>AWS</v>
      </c>
      <c r="B303" s="209" t="str">
        <f>VLOOKUP($H303,AWS!$A:$H,3,0)</f>
        <v>KRAFTON HQ</v>
      </c>
      <c r="C303" s="209" t="str">
        <f>VLOOKUP($H303,AWS!$A:$H,4,0)</f>
        <v>Ludo</v>
      </c>
      <c r="D303" s="214" t="str">
        <f>VLOOKUP($H303,AWS!$A:$H,5,0)</f>
        <v>Ludo Global Operations Div.</v>
      </c>
      <c r="E303" s="214" t="str">
        <f>VLOOKUP($H303,AWS!$A:$H,6,0)</f>
        <v>OVERHEAD/OTHERS</v>
      </c>
      <c r="F303" s="263">
        <f>VLOOKUP(표9[[#This Row],[Team]],표1[[내역]:[코스트 센터]],2,0)</f>
        <v>600003</v>
      </c>
      <c r="G303" s="263" t="str">
        <f>VLOOKUP(표9[[#This Row],[Project]],표2[],2,0)</f>
        <v>I100099999</v>
      </c>
      <c r="H303" s="244" t="s">
        <v>6199</v>
      </c>
      <c r="I303" s="226"/>
      <c r="J303" s="214" t="str">
        <f>VLOOKUP($H303,AWS!$A:$H,8,0)</f>
        <v>권영현</v>
      </c>
      <c r="K303" s="242"/>
      <c r="L303" s="197"/>
      <c r="M303" s="199"/>
      <c r="N303" s="200"/>
      <c r="O303" s="200"/>
      <c r="P303" s="200"/>
      <c r="Q303" s="200"/>
      <c r="R303" s="200"/>
      <c r="S303" s="200"/>
      <c r="T303" s="200"/>
      <c r="U303" s="200"/>
      <c r="V303" s="245"/>
      <c r="W303" s="205">
        <f>ROUND(표9[[#This Row],[Apr 2026 (USD or KRW)]],0)</f>
        <v>0</v>
      </c>
      <c r="X303" s="212"/>
      <c r="Y303" s="206">
        <f>표9[[#This Row],[Apr 2027(KRW)]]-표9[[#This Row],[Mar 2026(KRW)]]</f>
        <v>0</v>
      </c>
      <c r="Z303" s="213" t="str">
        <f t="shared" si="4"/>
        <v/>
      </c>
      <c r="AA303" s="208">
        <f>VLOOKUP(표9[[#This Row],[Team]],표1[],3,0)</f>
        <v>6000</v>
      </c>
    </row>
    <row r="304" spans="1:27" s="8" customFormat="1" ht="15">
      <c r="A304" s="209" t="str">
        <f>VLOOKUP($H304,AWS!$A:$H,2,0)</f>
        <v>AWS</v>
      </c>
      <c r="B304" s="209" t="str">
        <f>VLOOKUP($H304,AWS!$A:$H,3,0)</f>
        <v>KRAFTON HQ</v>
      </c>
      <c r="C304" s="209" t="str">
        <f>VLOOKUP($H304,AWS!$A:$H,4,0)</f>
        <v>KRAFTON HQ</v>
      </c>
      <c r="D304" s="214" t="str">
        <f>VLOOKUP($H304,AWS!$A:$H,5,0)</f>
        <v>PUBG TW Part</v>
      </c>
      <c r="E304" s="214" t="str">
        <f>VLOOKUP($H304,AWS!$A:$H,6,0)</f>
        <v>OVERHEAD/OTHERS</v>
      </c>
      <c r="F304" s="263">
        <f>VLOOKUP(표9[[#This Row],[Team]],표1[[내역]:[코스트 센터]],2,0)</f>
        <v>102069</v>
      </c>
      <c r="G304" s="263" t="str">
        <f>VLOOKUP(표9[[#This Row],[Project]],표2[],2,0)</f>
        <v>I100099999</v>
      </c>
      <c r="H304" s="244" t="s">
        <v>6200</v>
      </c>
      <c r="I304" s="226"/>
      <c r="J304" s="214" t="str">
        <f>VLOOKUP($H304,AWS!$A:$H,8,0)</f>
        <v>이륜형</v>
      </c>
      <c r="K304" s="242"/>
      <c r="L304" s="197"/>
      <c r="M304" s="199"/>
      <c r="N304" s="200"/>
      <c r="O304" s="200"/>
      <c r="P304" s="200"/>
      <c r="Q304" s="200"/>
      <c r="R304" s="200"/>
      <c r="S304" s="200"/>
      <c r="T304" s="200"/>
      <c r="U304" s="200"/>
      <c r="V304" s="245"/>
      <c r="W304" s="205">
        <f>ROUND(표9[[#This Row],[Apr 2026 (USD or KRW)]],0)</f>
        <v>0</v>
      </c>
      <c r="X304" s="212"/>
      <c r="Y304" s="206">
        <f>표9[[#This Row],[Apr 2027(KRW)]]-표9[[#This Row],[Mar 2026(KRW)]]</f>
        <v>0</v>
      </c>
      <c r="Z304" s="213" t="str">
        <f t="shared" si="4"/>
        <v/>
      </c>
      <c r="AA304" s="208">
        <f>VLOOKUP(표9[[#This Row],[Team]],표1[],3,0)</f>
        <v>1000</v>
      </c>
    </row>
    <row r="305" spans="1:27" s="8" customFormat="1" ht="15">
      <c r="A305" s="209" t="str">
        <f>VLOOKUP($H305,AWS!$A:$H,2,0)</f>
        <v>AWS</v>
      </c>
      <c r="B305" s="209" t="str">
        <f>VLOOKUP($H305,AWS!$A:$H,3,0)</f>
        <v>KRAFTON HQ</v>
      </c>
      <c r="C305" s="209" t="str">
        <f>VLOOKUP($H305,AWS!$A:$H,4,0)</f>
        <v>PUBG STUDIO</v>
      </c>
      <c r="D305" s="214" t="str">
        <f>VLOOKUP($H305,AWS!$A:$H,5,0)</f>
        <v>MS DevOps Team</v>
      </c>
      <c r="E305" s="214" t="str">
        <f>VLOOKUP($H305,AWS!$A:$H,6,0)</f>
        <v>PalM</v>
      </c>
      <c r="F305" s="263">
        <f>VLOOKUP(표9[[#This Row],[Team]],표1[[내역]:[코스트 센터]],2,0)</f>
        <v>100774</v>
      </c>
      <c r="G305" s="263" t="str">
        <f>VLOOKUP(표9[[#This Row],[Project]],표2[],2,0)</f>
        <v>P100030103</v>
      </c>
      <c r="H305" s="244" t="s">
        <v>6201</v>
      </c>
      <c r="I305" s="226"/>
      <c r="J305" s="214" t="str">
        <f>VLOOKUP($H305,AWS!$A:$H,8,0)</f>
        <v>이민기</v>
      </c>
      <c r="K305" s="242"/>
      <c r="L305" s="197"/>
      <c r="M305" s="199"/>
      <c r="N305" s="200"/>
      <c r="O305" s="200"/>
      <c r="P305" s="200"/>
      <c r="Q305" s="200"/>
      <c r="R305" s="200"/>
      <c r="S305" s="200"/>
      <c r="T305" s="200"/>
      <c r="U305" s="200"/>
      <c r="V305" s="245"/>
      <c r="W305" s="205">
        <f>ROUND(표9[[#This Row],[Apr 2026 (USD or KRW)]],0)</f>
        <v>0</v>
      </c>
      <c r="X305" s="212"/>
      <c r="Y305" s="206">
        <f>표9[[#This Row],[Apr 2027(KRW)]]-표9[[#This Row],[Mar 2026(KRW)]]</f>
        <v>0</v>
      </c>
      <c r="Z305" s="213" t="str">
        <f t="shared" si="4"/>
        <v/>
      </c>
      <c r="AA305" s="208">
        <f>VLOOKUP(표9[[#This Row],[Team]],표1[],3,0)</f>
        <v>1000</v>
      </c>
    </row>
    <row r="306" spans="1:27" s="8" customFormat="1" ht="15">
      <c r="A306" s="209" t="str">
        <f>VLOOKUP($H306,AWS!$A:$H,2,0)</f>
        <v>AWS</v>
      </c>
      <c r="B306" s="209" t="str">
        <f>VLOOKUP($H306,AWS!$A:$H,3,0)</f>
        <v>KRAFTON HQ</v>
      </c>
      <c r="C306" s="209" t="str">
        <f>VLOOKUP($H306,AWS!$A:$H,4,0)</f>
        <v>KRAFTON HQ</v>
      </c>
      <c r="D306" s="214" t="str">
        <f>VLOOKUP($H306,AWS!$A:$H,5,0)</f>
        <v>KOS Engineering Dept.</v>
      </c>
      <c r="E306" s="214" t="str">
        <f>VLOOKUP($H306,AWS!$A:$H,6,0)</f>
        <v>GPP</v>
      </c>
      <c r="F306" s="263">
        <f>VLOOKUP(표9[[#This Row],[Team]],표1[[내역]:[코스트 센터]],2,0)</f>
        <v>100025</v>
      </c>
      <c r="G306" s="263" t="str">
        <f>VLOOKUP(표9[[#This Row],[Project]],표2[],2,0)</f>
        <v>I100090813</v>
      </c>
      <c r="H306" s="244" t="s">
        <v>6202</v>
      </c>
      <c r="I306" s="226"/>
      <c r="J306" s="214" t="str">
        <f>VLOOKUP($H306,AWS!$A:$H,8,0)</f>
        <v>조국환</v>
      </c>
      <c r="K306" s="242"/>
      <c r="L306" s="197"/>
      <c r="M306" s="199"/>
      <c r="N306" s="200"/>
      <c r="O306" s="200"/>
      <c r="P306" s="200"/>
      <c r="Q306" s="200"/>
      <c r="R306" s="200"/>
      <c r="S306" s="200"/>
      <c r="T306" s="200"/>
      <c r="U306" s="200"/>
      <c r="V306" s="245"/>
      <c r="W306" s="205">
        <f>ROUND(표9[[#This Row],[Apr 2026 (USD or KRW)]],0)</f>
        <v>0</v>
      </c>
      <c r="X306" s="212"/>
      <c r="Y306" s="206">
        <f>표9[[#This Row],[Apr 2027(KRW)]]-표9[[#This Row],[Mar 2026(KRW)]]</f>
        <v>0</v>
      </c>
      <c r="Z306" s="213" t="str">
        <f t="shared" si="4"/>
        <v/>
      </c>
      <c r="AA306" s="208">
        <f>VLOOKUP(표9[[#This Row],[Team]],표1[],3,0)</f>
        <v>1000</v>
      </c>
    </row>
    <row r="307" spans="1:27" s="8" customFormat="1" ht="15">
      <c r="A307" s="209" t="str">
        <f>VLOOKUP($H307,AWS!$A:$H,2,0)</f>
        <v>AWS</v>
      </c>
      <c r="B307" s="209" t="str">
        <f>VLOOKUP($H307,AWS!$A:$H,3,0)</f>
        <v>KRAFTON HQ</v>
      </c>
      <c r="C307" s="209" t="str">
        <f>VLOOKUP($H307,AWS!$A:$H,4,0)</f>
        <v>KRAFTON HQ</v>
      </c>
      <c r="D307" s="214" t="str">
        <f>VLOOKUP($H307,AWS!$A:$H,5,0)</f>
        <v>KRAFTON HQ</v>
      </c>
      <c r="E307" s="214" t="str">
        <f>VLOOKUP($H307,AWS!$A:$H,6,0)</f>
        <v>OVERHEAD/OTHERS</v>
      </c>
      <c r="F307" s="263">
        <f>VLOOKUP(표9[[#This Row],[Team]],표1[[내역]:[코스트 센터]],2,0)</f>
        <v>100009</v>
      </c>
      <c r="G307" s="263" t="str">
        <f>VLOOKUP(표9[[#This Row],[Project]],표2[],2,0)</f>
        <v>I100099999</v>
      </c>
      <c r="H307" s="244" t="s">
        <v>6203</v>
      </c>
      <c r="I307" s="226"/>
      <c r="J307" s="214" t="str">
        <f>VLOOKUP($H307,AWS!$A:$H,8,0)</f>
        <v>이윤슬</v>
      </c>
      <c r="K307" s="242"/>
      <c r="L307" s="197"/>
      <c r="M307" s="199"/>
      <c r="N307" s="200"/>
      <c r="O307" s="200"/>
      <c r="P307" s="200"/>
      <c r="Q307" s="200"/>
      <c r="R307" s="200"/>
      <c r="S307" s="200"/>
      <c r="T307" s="200"/>
      <c r="U307" s="200"/>
      <c r="V307" s="245"/>
      <c r="W307" s="205">
        <f>ROUND(표9[[#This Row],[Apr 2026 (USD or KRW)]],0)</f>
        <v>0</v>
      </c>
      <c r="X307" s="212"/>
      <c r="Y307" s="206">
        <f>표9[[#This Row],[Apr 2027(KRW)]]-표9[[#This Row],[Mar 2026(KRW)]]</f>
        <v>0</v>
      </c>
      <c r="Z307" s="213" t="str">
        <f t="shared" si="4"/>
        <v/>
      </c>
      <c r="AA307" s="208">
        <f>VLOOKUP(표9[[#This Row],[Team]],표1[],3,0)</f>
        <v>1000</v>
      </c>
    </row>
    <row r="308" spans="1:27" s="8" customFormat="1" ht="15">
      <c r="A308" s="209" t="str">
        <f>VLOOKUP($H308,AWS!$A:$H,2,0)</f>
        <v>AWS</v>
      </c>
      <c r="B308" s="209" t="str">
        <f>VLOOKUP($H308,AWS!$A:$H,3,0)</f>
        <v>KRAFTON HQ</v>
      </c>
      <c r="C308" s="209" t="str">
        <f>VLOOKUP($H308,AWS!$A:$H,4,0)</f>
        <v>KRAFTON HQ</v>
      </c>
      <c r="D308" s="214" t="str">
        <f>VLOOKUP($H308,AWS!$A:$H,5,0)</f>
        <v>Venture Investments &amp; Talent Sourcing Dept.</v>
      </c>
      <c r="E308" s="214" t="str">
        <f>VLOOKUP($H308,AWS!$A:$H,6,0)</f>
        <v>OVERHEAD/OTHERS</v>
      </c>
      <c r="F308" s="263" t="e">
        <f>VLOOKUP(표9[[#This Row],[Team]],표1[[내역]:[코스트 센터]],2,0)</f>
        <v>#N/A</v>
      </c>
      <c r="G308" s="263" t="str">
        <f>VLOOKUP(표9[[#This Row],[Project]],표2[],2,0)</f>
        <v>I100099999</v>
      </c>
      <c r="H308" s="244" t="s">
        <v>6204</v>
      </c>
      <c r="I308" s="226"/>
      <c r="J308" s="214" t="str">
        <f>VLOOKUP($H308,AWS!$A:$H,8,0)</f>
        <v>김지훈</v>
      </c>
      <c r="K308" s="242"/>
      <c r="L308" s="197"/>
      <c r="M308" s="199"/>
      <c r="N308" s="200"/>
      <c r="O308" s="200"/>
      <c r="P308" s="200"/>
      <c r="Q308" s="200"/>
      <c r="R308" s="200"/>
      <c r="S308" s="200"/>
      <c r="T308" s="200"/>
      <c r="U308" s="200"/>
      <c r="V308" s="245"/>
      <c r="W308" s="205">
        <f>ROUND(표9[[#This Row],[Apr 2026 (USD or KRW)]],0)</f>
        <v>0</v>
      </c>
      <c r="X308" s="212"/>
      <c r="Y308" s="206">
        <f>표9[[#This Row],[Apr 2027(KRW)]]-표9[[#This Row],[Mar 2026(KRW)]]</f>
        <v>0</v>
      </c>
      <c r="Z308" s="213" t="str">
        <f t="shared" si="4"/>
        <v/>
      </c>
      <c r="AA308" s="208" t="e">
        <f>VLOOKUP(표9[[#This Row],[Team]],표1[],3,0)</f>
        <v>#N/A</v>
      </c>
    </row>
    <row r="309" spans="1:27" s="8" customFormat="1" ht="15">
      <c r="A309" s="209" t="str">
        <f>VLOOKUP($H309,AWS!$A:$H,2,0)</f>
        <v>AWS</v>
      </c>
      <c r="B309" s="209" t="str">
        <f>VLOOKUP($H309,AWS!$A:$H,3,0)</f>
        <v>KRAFTON HQ</v>
      </c>
      <c r="C309" s="209" t="str">
        <f>VLOOKUP($H309,AWS!$A:$H,4,0)</f>
        <v>KRAFTON HQ</v>
      </c>
      <c r="D309" s="214" t="str">
        <f>VLOOKUP($H309,AWS!$A:$H,5,0)</f>
        <v>KRAFTON HQ</v>
      </c>
      <c r="E309" s="214" t="str">
        <f>VLOOKUP($H309,AWS!$A:$H,6,0)</f>
        <v>OVERHEAD/OTHERS</v>
      </c>
      <c r="F309" s="263">
        <f>VLOOKUP(표9[[#This Row],[Team]],표1[[내역]:[코스트 센터]],2,0)</f>
        <v>100009</v>
      </c>
      <c r="G309" s="263" t="str">
        <f>VLOOKUP(표9[[#This Row],[Project]],표2[],2,0)</f>
        <v>I100099999</v>
      </c>
      <c r="H309" s="244" t="s">
        <v>6205</v>
      </c>
      <c r="I309" s="226"/>
      <c r="J309" s="214" t="str">
        <f>VLOOKUP($H309,AWS!$A:$H,8,0)</f>
        <v>이윤슬</v>
      </c>
      <c r="K309" s="242"/>
      <c r="L309" s="197"/>
      <c r="M309" s="199"/>
      <c r="N309" s="200"/>
      <c r="O309" s="200"/>
      <c r="P309" s="200"/>
      <c r="Q309" s="200"/>
      <c r="R309" s="200"/>
      <c r="S309" s="200"/>
      <c r="T309" s="200"/>
      <c r="U309" s="200"/>
      <c r="V309" s="245"/>
      <c r="W309" s="205">
        <f>ROUND(표9[[#This Row],[Apr 2026 (USD or KRW)]],0)</f>
        <v>0</v>
      </c>
      <c r="X309" s="212"/>
      <c r="Y309" s="206">
        <f>표9[[#This Row],[Apr 2027(KRW)]]-표9[[#This Row],[Mar 2026(KRW)]]</f>
        <v>0</v>
      </c>
      <c r="Z309" s="213" t="str">
        <f t="shared" si="4"/>
        <v/>
      </c>
      <c r="AA309" s="208">
        <f>VLOOKUP(표9[[#This Row],[Team]],표1[],3,0)</f>
        <v>1000</v>
      </c>
    </row>
    <row r="310" spans="1:27" s="8" customFormat="1" ht="15">
      <c r="A310" s="209" t="str">
        <f>VLOOKUP($H310,AWS!$A:$H,2,0)</f>
        <v>AWS</v>
      </c>
      <c r="B310" s="209" t="str">
        <f>VLOOKUP($H310,AWS!$A:$H,3,0)</f>
        <v>KRAFTON HQ</v>
      </c>
      <c r="C310" s="209" t="str">
        <f>VLOOKUP($H310,AWS!$A:$H,4,0)</f>
        <v>KRAFTON China</v>
      </c>
      <c r="D310" s="214">
        <f>VLOOKUP($H310,AWS!$A:$H,5,0)</f>
        <v>0</v>
      </c>
      <c r="E310" s="214" t="str">
        <f>VLOOKUP($H310,AWS!$A:$H,6,0)</f>
        <v>OVERHEAD/OTHERS</v>
      </c>
      <c r="F310" s="263" t="e">
        <f>VLOOKUP(표9[[#This Row],[Team]],표1[[내역]:[코스트 센터]],2,0)</f>
        <v>#N/A</v>
      </c>
      <c r="G310" s="263" t="str">
        <f>VLOOKUP(표9[[#This Row],[Project]],표2[],2,0)</f>
        <v>I100099999</v>
      </c>
      <c r="H310" s="244" t="s">
        <v>6206</v>
      </c>
      <c r="I310" s="226"/>
      <c r="J310" s="214" t="str">
        <f>VLOOKUP($H310,AWS!$A:$H,8,0)</f>
        <v>Jia Ming Zhang</v>
      </c>
      <c r="K310" s="242"/>
      <c r="L310" s="197"/>
      <c r="M310" s="199"/>
      <c r="N310" s="200"/>
      <c r="O310" s="200"/>
      <c r="P310" s="200"/>
      <c r="Q310" s="200"/>
      <c r="R310" s="200"/>
      <c r="S310" s="200"/>
      <c r="T310" s="200"/>
      <c r="U310" s="200"/>
      <c r="V310" s="245"/>
      <c r="W310" s="205">
        <f>ROUND(표9[[#This Row],[Apr 2026 (USD or KRW)]],0)</f>
        <v>0</v>
      </c>
      <c r="X310" s="212"/>
      <c r="Y310" s="206">
        <f>표9[[#This Row],[Apr 2027(KRW)]]-표9[[#This Row],[Mar 2026(KRW)]]</f>
        <v>0</v>
      </c>
      <c r="Z310" s="213" t="str">
        <f t="shared" si="4"/>
        <v/>
      </c>
      <c r="AA310" s="208" t="e">
        <f>VLOOKUP(표9[[#This Row],[Team]],표1[],3,0)</f>
        <v>#N/A</v>
      </c>
    </row>
    <row r="311" spans="1:27" ht="15" customHeight="1">
      <c r="A311" s="209" t="str">
        <f>VLOOKUP($H311,Azure!$A:$H,2,0)</f>
        <v>Azure</v>
      </c>
      <c r="B311" s="209" t="s">
        <v>321</v>
      </c>
      <c r="C311" s="209" t="s">
        <v>321</v>
      </c>
      <c r="D311" s="209" t="str">
        <f>VLOOKUP($H311,Azure!$A:$H,5,0)</f>
        <v>ML Sys &amp; Ops Team</v>
      </c>
      <c r="E311" s="209" t="str">
        <f>VLOOKUP($H311,Azure!$A:$H,6,0)</f>
        <v>DEEP LEARNING</v>
      </c>
      <c r="F311" s="202">
        <f>VLOOKUP(표9[[#This Row],[Team]],표1[[내역]:[코스트 센터]],2,0)</f>
        <v>100810</v>
      </c>
      <c r="G311" s="202" t="str">
        <f>VLOOKUP(표9[[#This Row],[Project]],표2[],2,0)</f>
        <v>I100090817</v>
      </c>
      <c r="H311" s="209" t="s">
        <v>322</v>
      </c>
      <c r="I311" s="209" t="str">
        <f>VLOOKUP($H311,Azure!$A:$H,7,0)</f>
        <v>이동기</v>
      </c>
      <c r="J311" s="209" t="str">
        <f>VLOOKUP($H311,Azure!$A:$H,8,0)</f>
        <v>김지윤</v>
      </c>
      <c r="K311" s="186" t="s">
        <v>29</v>
      </c>
      <c r="L311" s="210">
        <v>271107741</v>
      </c>
      <c r="M311" s="211">
        <v>255360965</v>
      </c>
      <c r="N311" s="212">
        <v>261480759</v>
      </c>
      <c r="O311" s="212">
        <v>258980391</v>
      </c>
      <c r="P311" s="212">
        <v>251108723</v>
      </c>
      <c r="Q311" s="212">
        <v>249788803</v>
      </c>
      <c r="R311" s="212">
        <v>248612867</v>
      </c>
      <c r="S311" s="212">
        <v>263767189</v>
      </c>
      <c r="T311" s="212">
        <v>251769405</v>
      </c>
      <c r="U311" s="212">
        <v>242636977</v>
      </c>
      <c r="V311" s="205">
        <v>243315920</v>
      </c>
      <c r="W311" s="205">
        <f>ROUND(표9[[#This Row],[Apr 2026 (USD or KRW)]],0)</f>
        <v>0</v>
      </c>
      <c r="X311" s="212"/>
      <c r="Y311" s="206">
        <f>표9[[#This Row],[Apr 2027(KRW)]]-표9[[#This Row],[Mar 2026(KRW)]]</f>
        <v>-243315920</v>
      </c>
      <c r="Z311" s="213">
        <f t="shared" si="4"/>
        <v>-1</v>
      </c>
      <c r="AA311" s="208">
        <f>VLOOKUP(표9[[#This Row],[Team]],표1[],3,0)</f>
        <v>1000</v>
      </c>
    </row>
    <row r="312" spans="1:27" ht="15">
      <c r="A312" s="209" t="str">
        <f>VLOOKUP($H312,Azure!$A:$H,2,0)</f>
        <v>Azure</v>
      </c>
      <c r="B312" s="209" t="str">
        <f>VLOOKUP($H312,Azure!$A:$H,3,0)</f>
        <v>Research</v>
      </c>
      <c r="C312" s="209" t="str">
        <f>VLOOKUP($H312,Azure!$A:$H,4,0)</f>
        <v>Research</v>
      </c>
      <c r="D312" s="209" t="str">
        <f>VLOOKUP($H312,Azure!$A:$H,5,0)</f>
        <v>ML Sys &amp; Ops Team</v>
      </c>
      <c r="E312" s="209" t="str">
        <f>VLOOKUP($H312,Azure!$A:$H,6,0)</f>
        <v>DEEP LEARNING</v>
      </c>
      <c r="F312" s="202">
        <f>VLOOKUP(표9[[#This Row],[Team]],표1[[내역]:[코스트 센터]],2,0)</f>
        <v>100810</v>
      </c>
      <c r="G312" s="202" t="str">
        <f>VLOOKUP(표9[[#This Row],[Project]],표2[],2,0)</f>
        <v>I100090817</v>
      </c>
      <c r="H312" s="209" t="s">
        <v>322</v>
      </c>
      <c r="I312" s="209" t="str">
        <f>VLOOKUP($H312,Azure!$A:$H,7,0)</f>
        <v>이동기</v>
      </c>
      <c r="J312" s="209" t="str">
        <f>VLOOKUP($H312,Azure!$A:$H,8,0)</f>
        <v>김지윤</v>
      </c>
      <c r="K312" s="186" t="s">
        <v>29</v>
      </c>
      <c r="L312" s="210">
        <v>165375722</v>
      </c>
      <c r="M312" s="211">
        <v>155770189</v>
      </c>
      <c r="N312" s="212">
        <v>159503263</v>
      </c>
      <c r="O312" s="212">
        <v>157978039</v>
      </c>
      <c r="P312" s="212">
        <v>153176321</v>
      </c>
      <c r="Q312" s="212">
        <v>157596351.55520001</v>
      </c>
      <c r="R312" s="212">
        <v>157720002</v>
      </c>
      <c r="S312" s="212">
        <v>167333904</v>
      </c>
      <c r="T312" s="212">
        <v>159722511</v>
      </c>
      <c r="U312" s="212">
        <v>153928898</v>
      </c>
      <c r="V312" s="205">
        <v>154359620</v>
      </c>
      <c r="W312" s="205">
        <f>ROUND(표9[[#This Row],[Apr 2026 (USD or KRW)]],0)</f>
        <v>0</v>
      </c>
      <c r="X312" s="224"/>
      <c r="Y312" s="206">
        <f>표9[[#This Row],[Apr 2027(KRW)]]-표9[[#This Row],[Mar 2026(KRW)]]</f>
        <v>-154359620</v>
      </c>
      <c r="Z312" s="213">
        <f t="shared" si="4"/>
        <v>-1</v>
      </c>
      <c r="AA312" s="208">
        <f>VLOOKUP(표9[[#This Row],[Team]],표1[],3,0)</f>
        <v>1000</v>
      </c>
    </row>
    <row r="313" spans="1:27" ht="15">
      <c r="A313" s="209" t="str">
        <f>VLOOKUP($H313,Azure!$A:$H,2,0)</f>
        <v>Azure</v>
      </c>
      <c r="B313" s="209" t="str">
        <f>VLOOKUP($H313,Azure!$A:$H,3,0)</f>
        <v>KRAFTON HQ</v>
      </c>
      <c r="C313" s="209" t="str">
        <f>VLOOKUP($H313,Azure!$A:$H,4,0)</f>
        <v>KRAFTON HQ</v>
      </c>
      <c r="D313" s="209" t="str">
        <f>VLOOKUP($H313,Azure!$A:$H,5,0)</f>
        <v>Art Management Part</v>
      </c>
      <c r="E313" s="209" t="str">
        <f>VLOOKUP($H313,Azure!$A:$H,6,0)</f>
        <v>OVERHEAD/OTHERS</v>
      </c>
      <c r="F313" s="202">
        <f>VLOOKUP(표9[[#This Row],[Team]],표1[[내역]:[코스트 센터]],2,0)</f>
        <v>101799</v>
      </c>
      <c r="G313" s="202" t="str">
        <f>VLOOKUP(표9[[#This Row],[Project]],표2[],2,0)</f>
        <v>I100099999</v>
      </c>
      <c r="H313" s="209" t="s">
        <v>323</v>
      </c>
      <c r="I313" s="209" t="str">
        <f>VLOOKUP($H313,Azure!$A:$H,7,0)</f>
        <v>배준석</v>
      </c>
      <c r="J313" s="209" t="str">
        <f>VLOOKUP($H313,Azure!$A:$H,8,0)</f>
        <v>배준석</v>
      </c>
      <c r="K313" s="186"/>
      <c r="L313" s="210"/>
      <c r="M313" s="211"/>
      <c r="N313" s="212"/>
      <c r="O313" s="212"/>
      <c r="P313" s="212"/>
      <c r="Q313" s="212">
        <v>1.9032</v>
      </c>
      <c r="R313" s="212">
        <v>4</v>
      </c>
      <c r="S313" s="212">
        <v>521</v>
      </c>
      <c r="T313" s="212">
        <v>258</v>
      </c>
      <c r="U313" s="212">
        <v>226</v>
      </c>
      <c r="V313" s="205">
        <v>113</v>
      </c>
      <c r="W313" s="205">
        <f>ROUND(표9[[#This Row],[Apr 2026 (USD or KRW)]],0)</f>
        <v>0</v>
      </c>
      <c r="X313" s="224"/>
      <c r="Y313" s="206">
        <f>표9[[#This Row],[Apr 2027(KRW)]]-표9[[#This Row],[Mar 2026(KRW)]]</f>
        <v>-113</v>
      </c>
      <c r="Z313" s="213">
        <f t="shared" si="4"/>
        <v>-1</v>
      </c>
      <c r="AA313" s="208">
        <f>VLOOKUP(표9[[#This Row],[Team]],표1[],3,0)</f>
        <v>1000</v>
      </c>
    </row>
    <row r="314" spans="1:27" ht="15">
      <c r="A314" s="209" t="str">
        <f>VLOOKUP($H314,Azure!$A:$H,2,0)</f>
        <v>Azure</v>
      </c>
      <c r="B314" s="209" t="s">
        <v>321</v>
      </c>
      <c r="C314" s="209" t="s">
        <v>321</v>
      </c>
      <c r="D314" s="209" t="str">
        <f>VLOOKUP($H314,Azure!$A:$H,5,0)</f>
        <v>Art Management Part</v>
      </c>
      <c r="E314" s="209" t="str">
        <f>VLOOKUP($H314,Azure!$A:$H,6,0)</f>
        <v>OVERHEAD/OTHERS</v>
      </c>
      <c r="F314" s="202">
        <f>VLOOKUP(표9[[#This Row],[Team]],표1[[내역]:[코스트 센터]],2,0)</f>
        <v>101799</v>
      </c>
      <c r="G314" s="202" t="str">
        <f>VLOOKUP(표9[[#This Row],[Project]],표2[],2,0)</f>
        <v>I100099999</v>
      </c>
      <c r="H314" s="209" t="s">
        <v>323</v>
      </c>
      <c r="I314" s="209" t="str">
        <f>VLOOKUP($H314,Azure!$A:$H,7,0)</f>
        <v>배준석</v>
      </c>
      <c r="J314" s="209" t="str">
        <f>VLOOKUP($H314,Azure!$A:$H,8,0)</f>
        <v>배준석</v>
      </c>
      <c r="K314" s="186"/>
      <c r="L314" s="210"/>
      <c r="M314" s="211"/>
      <c r="N314" s="212"/>
      <c r="O314" s="212"/>
      <c r="P314" s="212"/>
      <c r="Q314" s="212">
        <v>3</v>
      </c>
      <c r="R314" s="212">
        <v>6</v>
      </c>
      <c r="S314" s="212">
        <v>822</v>
      </c>
      <c r="T314" s="212">
        <v>406</v>
      </c>
      <c r="U314" s="212">
        <v>356</v>
      </c>
      <c r="V314" s="205">
        <v>178</v>
      </c>
      <c r="W314" s="205">
        <f>ROUND(표9[[#This Row],[Apr 2026 (USD or KRW)]],0)</f>
        <v>0</v>
      </c>
      <c r="X314" s="212"/>
      <c r="Y314" s="206">
        <f>표9[[#This Row],[Apr 2027(KRW)]]-표9[[#This Row],[Mar 2026(KRW)]]</f>
        <v>-178</v>
      </c>
      <c r="Z314" s="213">
        <f t="shared" si="4"/>
        <v>-1</v>
      </c>
      <c r="AA314" s="208">
        <f>VLOOKUP(표9[[#This Row],[Team]],표1[],3,0)</f>
        <v>1000</v>
      </c>
    </row>
    <row r="315" spans="1:27" ht="15">
      <c r="A315" s="209" t="str">
        <f>VLOOKUP($H315,Azure!$A:$H,2,0)</f>
        <v>Azure</v>
      </c>
      <c r="B315" s="209" t="str">
        <f>VLOOKUP($H315,Azure!$A:$H,3,0)</f>
        <v>KRAFTON HQ</v>
      </c>
      <c r="C315" s="209" t="str">
        <f>VLOOKUP($H315,Azure!$A:$H,4,0)</f>
        <v>KRAFTON HQ</v>
      </c>
      <c r="D315" s="209" t="str">
        <f>VLOOKUP($H315,Azure!$A:$H,5,0)</f>
        <v>Art Management Part</v>
      </c>
      <c r="E315" s="209" t="str">
        <f>VLOOKUP($H315,Azure!$A:$H,6,0)</f>
        <v>OVERHEAD/OTHERS</v>
      </c>
      <c r="F315" s="202">
        <f>VLOOKUP(표9[[#This Row],[Team]],표1[[내역]:[코스트 센터]],2,0)</f>
        <v>101799</v>
      </c>
      <c r="G315" s="202" t="str">
        <f>VLOOKUP(표9[[#This Row],[Project]],표2[],2,0)</f>
        <v>I100099999</v>
      </c>
      <c r="H315" s="209" t="s">
        <v>324</v>
      </c>
      <c r="I315" s="209" t="str">
        <f>VLOOKUP($H315,Azure!$A:$H,7,0)</f>
        <v>배준석</v>
      </c>
      <c r="J315" s="209" t="str">
        <f>VLOOKUP($H315,Azure!$A:$H,8,0)</f>
        <v>배준석</v>
      </c>
      <c r="K315" s="186"/>
      <c r="L315" s="210"/>
      <c r="M315" s="211"/>
      <c r="N315" s="212"/>
      <c r="O315" s="212"/>
      <c r="P315" s="212"/>
      <c r="Q315" s="212">
        <v>1.9032</v>
      </c>
      <c r="R315" s="212">
        <v>12</v>
      </c>
      <c r="S315" s="212">
        <v>0</v>
      </c>
      <c r="T315" s="212">
        <v>0</v>
      </c>
      <c r="U315" s="212">
        <v>0</v>
      </c>
      <c r="V315" s="205">
        <v>0</v>
      </c>
      <c r="W315" s="205">
        <f>ROUND(표9[[#This Row],[Apr 2026 (USD or KRW)]],0)</f>
        <v>0</v>
      </c>
      <c r="X315" s="224"/>
      <c r="Y315" s="206">
        <f>표9[[#This Row],[Apr 2027(KRW)]]-표9[[#This Row],[Mar 2026(KRW)]]</f>
        <v>0</v>
      </c>
      <c r="Z315" s="213" t="str">
        <f t="shared" si="4"/>
        <v/>
      </c>
      <c r="AA315" s="208">
        <f>VLOOKUP(표9[[#This Row],[Team]],표1[],3,0)</f>
        <v>1000</v>
      </c>
    </row>
    <row r="316" spans="1:27" ht="15">
      <c r="A316" s="209" t="str">
        <f>VLOOKUP($H316,Azure!$A:$H,2,0)</f>
        <v>Azure</v>
      </c>
      <c r="B316" s="209" t="s">
        <v>321</v>
      </c>
      <c r="C316" s="209" t="s">
        <v>321</v>
      </c>
      <c r="D316" s="209" t="str">
        <f>VLOOKUP($H316,Azure!$A:$H,5,0)</f>
        <v>Art Management Part</v>
      </c>
      <c r="E316" s="209" t="str">
        <f>VLOOKUP($H316,Azure!$A:$H,6,0)</f>
        <v>OVERHEAD/OTHERS</v>
      </c>
      <c r="F316" s="202">
        <f>VLOOKUP(표9[[#This Row],[Team]],표1[[내역]:[코스트 센터]],2,0)</f>
        <v>101799</v>
      </c>
      <c r="G316" s="202" t="str">
        <f>VLOOKUP(표9[[#This Row],[Project]],표2[],2,0)</f>
        <v>I100099999</v>
      </c>
      <c r="H316" s="209" t="s">
        <v>324</v>
      </c>
      <c r="I316" s="209" t="str">
        <f>VLOOKUP($H316,Azure!$A:$H,7,0)</f>
        <v>배준석</v>
      </c>
      <c r="J316" s="209" t="str">
        <f>VLOOKUP($H316,Azure!$A:$H,8,0)</f>
        <v>배준석</v>
      </c>
      <c r="K316" s="186"/>
      <c r="L316" s="210"/>
      <c r="M316" s="211"/>
      <c r="N316" s="212"/>
      <c r="O316" s="212"/>
      <c r="P316" s="212"/>
      <c r="Q316" s="212">
        <v>3</v>
      </c>
      <c r="R316" s="212">
        <v>19</v>
      </c>
      <c r="S316" s="212">
        <v>0</v>
      </c>
      <c r="T316" s="212">
        <v>0</v>
      </c>
      <c r="U316" s="212">
        <v>0</v>
      </c>
      <c r="V316" s="205">
        <v>0</v>
      </c>
      <c r="W316" s="205">
        <f>ROUND(표9[[#This Row],[Apr 2026 (USD or KRW)]],0)</f>
        <v>0</v>
      </c>
      <c r="X316" s="212"/>
      <c r="Y316" s="206">
        <f>표9[[#This Row],[Apr 2027(KRW)]]-표9[[#This Row],[Mar 2026(KRW)]]</f>
        <v>0</v>
      </c>
      <c r="Z316" s="213" t="str">
        <f t="shared" si="4"/>
        <v/>
      </c>
      <c r="AA316" s="208">
        <f>VLOOKUP(표9[[#This Row],[Team]],표1[],3,0)</f>
        <v>1000</v>
      </c>
    </row>
    <row r="317" spans="1:27" ht="15">
      <c r="A317" s="209" t="str">
        <f>VLOOKUP($H317,Azure!$A:$H,2,0)</f>
        <v>Azure</v>
      </c>
      <c r="B317" s="209" t="str">
        <f>VLOOKUP($H317,Azure!$A:$H,3,0)</f>
        <v>KRAFTON HQ</v>
      </c>
      <c r="C317" s="209" t="str">
        <f>VLOOKUP($H317,Azure!$A:$H,4,0)</f>
        <v>KRAFTON HQ</v>
      </c>
      <c r="D317" s="209" t="str">
        <f>VLOOKUP($H317,Azure!$A:$H,5,0)</f>
        <v>AI Transformation Team</v>
      </c>
      <c r="E317" s="209" t="str">
        <f>VLOOKUP($H317,Azure!$A:$H,6,0)</f>
        <v>OVERHEAD/OTHERS</v>
      </c>
      <c r="F317" s="202">
        <f>VLOOKUP(표9[[#This Row],[Team]],표1[[내역]:[코스트 센터]],2,0)</f>
        <v>101651</v>
      </c>
      <c r="G317" s="202" t="str">
        <f>VLOOKUP(표9[[#This Row],[Project]],표2[],2,0)</f>
        <v>I100099999</v>
      </c>
      <c r="H317" s="209" t="s">
        <v>325</v>
      </c>
      <c r="I317" s="209" t="str">
        <f>VLOOKUP($H317,Azure!$A:$H,7,0)</f>
        <v>이재준</v>
      </c>
      <c r="J317" s="209" t="str">
        <f>VLOOKUP($H317,Azure!$A:$H,8,0)</f>
        <v>이재준</v>
      </c>
      <c r="K317" s="186" t="s">
        <v>29</v>
      </c>
      <c r="L317" s="210">
        <v>27264</v>
      </c>
      <c r="M317" s="211">
        <v>153677</v>
      </c>
      <c r="N317" s="212">
        <v>155119</v>
      </c>
      <c r="O317" s="212">
        <v>148833</v>
      </c>
      <c r="P317" s="212">
        <v>89015</v>
      </c>
      <c r="Q317" s="212">
        <v>88956.202399999995</v>
      </c>
      <c r="R317" s="212">
        <v>3057</v>
      </c>
      <c r="S317" s="212">
        <v>35</v>
      </c>
      <c r="T317" s="212">
        <v>0</v>
      </c>
      <c r="U317" s="212">
        <v>3095</v>
      </c>
      <c r="V317" s="205">
        <v>12144</v>
      </c>
      <c r="W317" s="205">
        <f>ROUND(표9[[#This Row],[Apr 2026 (USD or KRW)]],0)</f>
        <v>0</v>
      </c>
      <c r="X317" s="224"/>
      <c r="Y317" s="206">
        <f>표9[[#This Row],[Apr 2027(KRW)]]-표9[[#This Row],[Mar 2026(KRW)]]</f>
        <v>-12144</v>
      </c>
      <c r="Z317" s="213">
        <f t="shared" si="4"/>
        <v>-1</v>
      </c>
      <c r="AA317" s="208">
        <f>VLOOKUP(표9[[#This Row],[Team]],표1[],3,0)</f>
        <v>1000</v>
      </c>
    </row>
    <row r="318" spans="1:27" ht="15">
      <c r="A318" s="209" t="str">
        <f>VLOOKUP($H318,Azure!$A:$H,2,0)</f>
        <v>Azure</v>
      </c>
      <c r="B318" s="209" t="s">
        <v>321</v>
      </c>
      <c r="C318" s="209" t="s">
        <v>321</v>
      </c>
      <c r="D318" s="209" t="str">
        <f>VLOOKUP($H318,Azure!$A:$H,5,0)</f>
        <v>AI Transformation Team</v>
      </c>
      <c r="E318" s="209" t="str">
        <f>VLOOKUP($H318,Azure!$A:$H,6,0)</f>
        <v>OVERHEAD/OTHERS</v>
      </c>
      <c r="F318" s="202">
        <f>VLOOKUP(표9[[#This Row],[Team]],표1[[내역]:[코스트 센터]],2,0)</f>
        <v>101651</v>
      </c>
      <c r="G318" s="202" t="str">
        <f>VLOOKUP(표9[[#This Row],[Project]],표2[],2,0)</f>
        <v>I100099999</v>
      </c>
      <c r="H318" s="209" t="s">
        <v>325</v>
      </c>
      <c r="I318" s="209" t="str">
        <f>VLOOKUP($H318,Azure!$A:$H,7,0)</f>
        <v>이재준</v>
      </c>
      <c r="J318" s="209" t="str">
        <f>VLOOKUP($H318,Azure!$A:$H,8,0)</f>
        <v>이재준</v>
      </c>
      <c r="K318" s="186" t="s">
        <v>29</v>
      </c>
      <c r="L318" s="210">
        <v>44695</v>
      </c>
      <c r="M318" s="211">
        <v>251929</v>
      </c>
      <c r="N318" s="212">
        <v>254294</v>
      </c>
      <c r="O318" s="212">
        <v>243989</v>
      </c>
      <c r="P318" s="212">
        <v>145927</v>
      </c>
      <c r="Q318" s="212">
        <v>140221</v>
      </c>
      <c r="R318" s="212">
        <v>4819</v>
      </c>
      <c r="S318" s="212">
        <v>55</v>
      </c>
      <c r="T318" s="212">
        <v>0</v>
      </c>
      <c r="U318" s="212">
        <v>4878</v>
      </c>
      <c r="V318" s="205">
        <v>19142</v>
      </c>
      <c r="W318" s="205">
        <f>ROUND(표9[[#This Row],[Apr 2026 (USD or KRW)]],0)</f>
        <v>0</v>
      </c>
      <c r="X318" s="212"/>
      <c r="Y318" s="206">
        <f>표9[[#This Row],[Apr 2027(KRW)]]-표9[[#This Row],[Mar 2026(KRW)]]</f>
        <v>-19142</v>
      </c>
      <c r="Z318" s="213">
        <f t="shared" si="4"/>
        <v>-1</v>
      </c>
      <c r="AA318" s="208">
        <f>VLOOKUP(표9[[#This Row],[Team]],표1[],3,0)</f>
        <v>1000</v>
      </c>
    </row>
    <row r="319" spans="1:27" ht="15">
      <c r="A319" s="209" t="str">
        <f>VLOOKUP($H319,Azure!$A:$H,2,0)</f>
        <v>Azure</v>
      </c>
      <c r="B319" s="209" t="str">
        <f>VLOOKUP($H319,Azure!$A:$H,3,0)</f>
        <v>KRAFTON HQ</v>
      </c>
      <c r="C319" s="209" t="str">
        <f>VLOOKUP($H319,Azure!$A:$H,4,0)</f>
        <v>KRAFTON HQ</v>
      </c>
      <c r="D319" s="209" t="str">
        <f>VLOOKUP($H319,Azure!$A:$H,5,0)</f>
        <v>DevData Engineering Team</v>
      </c>
      <c r="E319" s="209" t="str">
        <f>VLOOKUP($H319,Azure!$A:$H,6,0)</f>
        <v>Cricket All Stars</v>
      </c>
      <c r="F319" s="202">
        <f>VLOOKUP(표9[[#This Row],[Team]],표1[[내역]:[코스트 센터]],2,0)</f>
        <v>101721</v>
      </c>
      <c r="G319" s="202" t="str">
        <f>VLOOKUP(표9[[#This Row],[Project]],표2[],2,0)</f>
        <v>P100130145</v>
      </c>
      <c r="H319" s="225" t="s">
        <v>326</v>
      </c>
      <c r="I319" s="209"/>
      <c r="J319" s="209" t="str">
        <f>VLOOKUP($H319,Azure!$A:$H,8,0)</f>
        <v>안연주</v>
      </c>
      <c r="K319" s="186" t="s">
        <v>29</v>
      </c>
      <c r="L319" s="197"/>
      <c r="M319" s="199"/>
      <c r="N319" s="200"/>
      <c r="O319" s="200"/>
      <c r="P319" s="200"/>
      <c r="Q319" s="200"/>
      <c r="R319" s="200"/>
      <c r="S319" s="200"/>
      <c r="T319" s="200"/>
      <c r="U319" s="200"/>
      <c r="V319" s="205">
        <v>0</v>
      </c>
      <c r="W319" s="205">
        <f>ROUND(표9[[#This Row],[Apr 2026 (USD or KRW)]],0)</f>
        <v>0</v>
      </c>
      <c r="X319" s="224"/>
      <c r="Y319" s="206">
        <f>표9[[#This Row],[Apr 2027(KRW)]]-표9[[#This Row],[Mar 2026(KRW)]]</f>
        <v>0</v>
      </c>
      <c r="Z319" s="213" t="str">
        <f t="shared" si="4"/>
        <v/>
      </c>
      <c r="AA319" s="208">
        <f>VLOOKUP(표9[[#This Row],[Team]],표1[],3,0)</f>
        <v>1000</v>
      </c>
    </row>
    <row r="320" spans="1:27" ht="15">
      <c r="A320" s="209" t="str">
        <f>VLOOKUP($H320,Azure!$A:$H,2,0)</f>
        <v>Azure</v>
      </c>
      <c r="B320" s="209" t="s">
        <v>321</v>
      </c>
      <c r="C320" s="209" t="s">
        <v>321</v>
      </c>
      <c r="D320" s="209" t="str">
        <f>VLOOKUP($H320,Azure!$A:$H,5,0)</f>
        <v>DevData Engineering Team</v>
      </c>
      <c r="E320" s="209" t="str">
        <f>VLOOKUP($H320,Azure!$A:$H,6,0)</f>
        <v>Cricket All Stars</v>
      </c>
      <c r="F320" s="202">
        <f>VLOOKUP(표9[[#This Row],[Team]],표1[[내역]:[코스트 센터]],2,0)</f>
        <v>101721</v>
      </c>
      <c r="G320" s="202" t="str">
        <f>VLOOKUP(표9[[#This Row],[Project]],표2[],2,0)</f>
        <v>P100130145</v>
      </c>
      <c r="H320" s="225" t="s">
        <v>326</v>
      </c>
      <c r="I320" s="209"/>
      <c r="J320" s="209" t="str">
        <f>VLOOKUP($H320,Azure!$A:$H,8,0)</f>
        <v>안연주</v>
      </c>
      <c r="K320" s="186" t="s">
        <v>29</v>
      </c>
      <c r="L320" s="197"/>
      <c r="M320" s="198"/>
      <c r="N320" s="200"/>
      <c r="O320" s="200"/>
      <c r="P320" s="200"/>
      <c r="Q320" s="200"/>
      <c r="R320" s="200"/>
      <c r="S320" s="200"/>
      <c r="T320" s="200"/>
      <c r="U320" s="200"/>
      <c r="V320" s="205">
        <v>262212</v>
      </c>
      <c r="W320" s="205">
        <f>ROUND(표9[[#This Row],[Apr 2026 (USD or KRW)]],0)</f>
        <v>0</v>
      </c>
      <c r="X320" s="212"/>
      <c r="Y320" s="206">
        <f>표9[[#This Row],[Apr 2027(KRW)]]-표9[[#This Row],[Mar 2026(KRW)]]</f>
        <v>-262212</v>
      </c>
      <c r="Z320" s="213">
        <f t="shared" si="4"/>
        <v>-1</v>
      </c>
      <c r="AA320" s="208">
        <f>VLOOKUP(표9[[#This Row],[Team]],표1[],3,0)</f>
        <v>1000</v>
      </c>
    </row>
    <row r="321" spans="1:27" ht="15">
      <c r="A321" s="209" t="str">
        <f>VLOOKUP($H321,Azure!$A:$H,2,0)</f>
        <v>Azure</v>
      </c>
      <c r="B321" s="209" t="str">
        <f>VLOOKUP($H321,Azure!$A:$H,3,0)</f>
        <v>KRAFTON HQ</v>
      </c>
      <c r="C321" s="209" t="str">
        <f>VLOOKUP($H321,Azure!$A:$H,4,0)</f>
        <v>KRAFTON HQ</v>
      </c>
      <c r="D321" s="209" t="str">
        <f>VLOOKUP($H321,Azure!$A:$H,5,0)</f>
        <v>DevData Engineering Team</v>
      </c>
      <c r="E321" s="209" t="str">
        <f>VLOOKUP($H321,Azure!$A:$H,6,0)</f>
        <v>Cricket All Stars</v>
      </c>
      <c r="F321" s="202">
        <f>VLOOKUP(표9[[#This Row],[Team]],표1[[내역]:[코스트 센터]],2,0)</f>
        <v>101721</v>
      </c>
      <c r="G321" s="202" t="str">
        <f>VLOOKUP(표9[[#This Row],[Project]],표2[],2,0)</f>
        <v>P100130145</v>
      </c>
      <c r="H321" s="225" t="s">
        <v>327</v>
      </c>
      <c r="I321" s="226"/>
      <c r="J321" s="209" t="str">
        <f>VLOOKUP($H321,Azure!$A:$H,8,0)</f>
        <v>안연주</v>
      </c>
      <c r="K321" s="186" t="s">
        <v>29</v>
      </c>
      <c r="L321" s="197"/>
      <c r="M321" s="199"/>
      <c r="N321" s="200"/>
      <c r="O321" s="200"/>
      <c r="P321" s="200"/>
      <c r="Q321" s="200"/>
      <c r="R321" s="200"/>
      <c r="S321" s="200"/>
      <c r="T321" s="200"/>
      <c r="U321" s="200"/>
      <c r="V321" s="205">
        <v>0</v>
      </c>
      <c r="W321" s="205">
        <f>ROUND(표9[[#This Row],[Apr 2026 (USD or KRW)]],0)</f>
        <v>0</v>
      </c>
      <c r="X321" s="224"/>
      <c r="Y321" s="206">
        <f>표9[[#This Row],[Apr 2027(KRW)]]-표9[[#This Row],[Mar 2026(KRW)]]</f>
        <v>0</v>
      </c>
      <c r="Z321" s="213" t="str">
        <f t="shared" si="4"/>
        <v/>
      </c>
      <c r="AA321" s="208">
        <f>VLOOKUP(표9[[#This Row],[Team]],표1[],3,0)</f>
        <v>1000</v>
      </c>
    </row>
    <row r="322" spans="1:27" ht="15">
      <c r="A322" s="209" t="str">
        <f>VLOOKUP($H322,Azure!$A:$H,2,0)</f>
        <v>Azure</v>
      </c>
      <c r="B322" s="209" t="s">
        <v>321</v>
      </c>
      <c r="C322" s="209" t="s">
        <v>321</v>
      </c>
      <c r="D322" s="209" t="str">
        <f>VLOOKUP($H322,Azure!$A:$H,5,0)</f>
        <v>DevData Engineering Team</v>
      </c>
      <c r="E322" s="209" t="str">
        <f>VLOOKUP($H322,Azure!$A:$H,6,0)</f>
        <v>Cricket All Stars</v>
      </c>
      <c r="F322" s="202">
        <f>VLOOKUP(표9[[#This Row],[Team]],표1[[내역]:[코스트 센터]],2,0)</f>
        <v>101721</v>
      </c>
      <c r="G322" s="202" t="str">
        <f>VLOOKUP(표9[[#This Row],[Project]],표2[],2,0)</f>
        <v>P100130145</v>
      </c>
      <c r="H322" s="225" t="s">
        <v>327</v>
      </c>
      <c r="I322" s="226"/>
      <c r="J322" s="209" t="str">
        <f>VLOOKUP($H322,Azure!$A:$H,8,0)</f>
        <v>안연주</v>
      </c>
      <c r="K322" s="186" t="s">
        <v>29</v>
      </c>
      <c r="L322" s="197"/>
      <c r="M322" s="199"/>
      <c r="N322" s="200"/>
      <c r="O322" s="200"/>
      <c r="P322" s="200"/>
      <c r="Q322" s="200"/>
      <c r="R322" s="200"/>
      <c r="S322" s="200"/>
      <c r="T322" s="200"/>
      <c r="U322" s="200"/>
      <c r="V322" s="205">
        <v>4084367</v>
      </c>
      <c r="W322" s="205">
        <f>ROUND(표9[[#This Row],[Apr 2026 (USD or KRW)]],0)</f>
        <v>0</v>
      </c>
      <c r="X322" s="212"/>
      <c r="Y322" s="206">
        <f>표9[[#This Row],[Apr 2027(KRW)]]-표9[[#This Row],[Mar 2026(KRW)]]</f>
        <v>-4084367</v>
      </c>
      <c r="Z322" s="213">
        <f t="shared" si="4"/>
        <v>-1</v>
      </c>
      <c r="AA322" s="208">
        <f>VLOOKUP(표9[[#This Row],[Team]],표1[],3,0)</f>
        <v>1000</v>
      </c>
    </row>
    <row r="323" spans="1:27" ht="15">
      <c r="A323" s="209" t="str">
        <f>VLOOKUP($H323,Azure!$A:$H,2,0)</f>
        <v>Azure</v>
      </c>
      <c r="B323" s="209" t="str">
        <f>VLOOKUP($H323,Azure!$A:$H,3,0)</f>
        <v>KRAFTON HQ</v>
      </c>
      <c r="C323" s="209" t="str">
        <f>VLOOKUP($H323,Azure!$A:$H,4,0)</f>
        <v>KRAFTON HQ</v>
      </c>
      <c r="D323" s="209" t="str">
        <f>VLOOKUP($H323,Azure!$A:$H,5,0)</f>
        <v>Service DevOps Team</v>
      </c>
      <c r="E323" s="209" t="str">
        <f>VLOOKUP($H323,Azure!$A:$H,6,0)</f>
        <v>OVERHEAD/OTHERS</v>
      </c>
      <c r="F323" s="202">
        <f>VLOOKUP(표9[[#This Row],[Team]],표1[[내역]:[코스트 센터]],2,0)</f>
        <v>100033</v>
      </c>
      <c r="G323" s="202" t="str">
        <f>VLOOKUP(표9[[#This Row],[Project]],표2[],2,0)</f>
        <v>I100099999</v>
      </c>
      <c r="H323" s="209" t="s">
        <v>328</v>
      </c>
      <c r="I323" s="209" t="str">
        <f>VLOOKUP($H323,Azure!$A:$H,7,0)</f>
        <v>엄기성</v>
      </c>
      <c r="J323" s="209" t="str">
        <f>VLOOKUP($H323,Azure!$A:$H,8,0)</f>
        <v>엄기성</v>
      </c>
      <c r="K323" s="186"/>
      <c r="L323" s="210">
        <v>112497</v>
      </c>
      <c r="M323" s="211">
        <v>106296</v>
      </c>
      <c r="N323" s="212">
        <v>107796</v>
      </c>
      <c r="O323" s="212">
        <v>104288</v>
      </c>
      <c r="P323" s="212">
        <v>100935</v>
      </c>
      <c r="Q323" s="212">
        <v>106409.8152</v>
      </c>
      <c r="R323" s="212">
        <v>110056</v>
      </c>
      <c r="S323" s="212">
        <v>129325</v>
      </c>
      <c r="T323" s="212">
        <v>135808</v>
      </c>
      <c r="U323" s="212">
        <v>152069</v>
      </c>
      <c r="V323" s="205">
        <v>184162</v>
      </c>
      <c r="W323" s="205">
        <f>ROUND(표9[[#This Row],[Apr 2026 (USD or KRW)]],0)</f>
        <v>0</v>
      </c>
      <c r="X323" s="224"/>
      <c r="Y323" s="206">
        <f>표9[[#This Row],[Apr 2027(KRW)]]-표9[[#This Row],[Mar 2026(KRW)]]</f>
        <v>-184162</v>
      </c>
      <c r="Z323" s="213">
        <f t="shared" si="4"/>
        <v>-1</v>
      </c>
      <c r="AA323" s="208">
        <f>VLOOKUP(표9[[#This Row],[Team]],표1[],3,0)</f>
        <v>1000</v>
      </c>
    </row>
    <row r="324" spans="1:27" ht="15">
      <c r="A324" s="209" t="str">
        <f>VLOOKUP($H324,Azure!$A:$H,2,0)</f>
        <v>Azure</v>
      </c>
      <c r="B324" s="209" t="s">
        <v>321</v>
      </c>
      <c r="C324" s="209" t="s">
        <v>321</v>
      </c>
      <c r="D324" s="209" t="str">
        <f>VLOOKUP($H324,Azure!$A:$H,5,0)</f>
        <v>Service DevOps Team</v>
      </c>
      <c r="E324" s="209" t="str">
        <f>VLOOKUP($H324,Azure!$A:$H,6,0)</f>
        <v>OVERHEAD/OTHERS</v>
      </c>
      <c r="F324" s="202">
        <f>VLOOKUP(표9[[#This Row],[Team]],표1[[내역]:[코스트 센터]],2,0)</f>
        <v>100033</v>
      </c>
      <c r="G324" s="202" t="str">
        <f>VLOOKUP(표9[[#This Row],[Project]],표2[],2,0)</f>
        <v>I100099999</v>
      </c>
      <c r="H324" s="209" t="s">
        <v>328</v>
      </c>
      <c r="I324" s="209" t="str">
        <f>VLOOKUP($H324,Azure!$A:$H,7,0)</f>
        <v>엄기성</v>
      </c>
      <c r="J324" s="209" t="str">
        <f>VLOOKUP($H324,Azure!$A:$H,8,0)</f>
        <v>엄기성</v>
      </c>
      <c r="K324" s="186"/>
      <c r="L324" s="210">
        <v>184421</v>
      </c>
      <c r="M324" s="211">
        <v>174255</v>
      </c>
      <c r="N324" s="212">
        <v>176715</v>
      </c>
      <c r="O324" s="212">
        <v>170964</v>
      </c>
      <c r="P324" s="212">
        <v>165467</v>
      </c>
      <c r="Q324" s="212">
        <v>167733</v>
      </c>
      <c r="R324" s="212">
        <v>173480</v>
      </c>
      <c r="S324" s="212">
        <v>203854</v>
      </c>
      <c r="T324" s="212">
        <v>214074</v>
      </c>
      <c r="U324" s="212">
        <v>239706</v>
      </c>
      <c r="V324" s="205">
        <v>290294</v>
      </c>
      <c r="W324" s="205">
        <f>ROUND(표9[[#This Row],[Apr 2026 (USD or KRW)]],0)</f>
        <v>0</v>
      </c>
      <c r="X324" s="212"/>
      <c r="Y324" s="206">
        <f>표9[[#This Row],[Apr 2027(KRW)]]-표9[[#This Row],[Mar 2026(KRW)]]</f>
        <v>-290294</v>
      </c>
      <c r="Z324" s="213">
        <f t="shared" si="4"/>
        <v>-1</v>
      </c>
      <c r="AA324" s="208">
        <f>VLOOKUP(표9[[#This Row],[Team]],표1[],3,0)</f>
        <v>1000</v>
      </c>
    </row>
    <row r="325" spans="1:27" ht="15">
      <c r="A325" s="209" t="str">
        <f>VLOOKUP($H325,Azure!$A:$H,2,0)</f>
        <v>Azure</v>
      </c>
      <c r="B325" s="209" t="str">
        <f>VLOOKUP($H325,Azure!$A:$H,3,0)</f>
        <v>KRAFTON HQ</v>
      </c>
      <c r="C325" s="209" t="str">
        <f>VLOOKUP($H325,Azure!$A:$H,4,0)</f>
        <v>KRAFTON HQ</v>
      </c>
      <c r="D325" s="209" t="str">
        <f>VLOOKUP($H325,Azure!$A:$H,5,0)</f>
        <v>Service DevOps Team</v>
      </c>
      <c r="E325" s="209" t="str">
        <f>VLOOKUP($H325,Azure!$A:$H,6,0)</f>
        <v>OVERHEAD/OTHERS</v>
      </c>
      <c r="F325" s="202">
        <f>VLOOKUP(표9[[#This Row],[Team]],표1[[내역]:[코스트 센터]],2,0)</f>
        <v>100033</v>
      </c>
      <c r="G325" s="202" t="str">
        <f>VLOOKUP(표9[[#This Row],[Project]],표2[],2,0)</f>
        <v>I100099999</v>
      </c>
      <c r="H325" s="209" t="s">
        <v>329</v>
      </c>
      <c r="I325" s="209" t="str">
        <f>VLOOKUP($H325,Azure!$A:$H,7,0)</f>
        <v>엄기성</v>
      </c>
      <c r="J325" s="209" t="str">
        <f>VLOOKUP($H325,Azure!$A:$H,8,0)</f>
        <v>엄기성</v>
      </c>
      <c r="K325" s="186"/>
      <c r="L325" s="210">
        <v>147830</v>
      </c>
      <c r="M325" s="211">
        <v>142215</v>
      </c>
      <c r="N325" s="212">
        <v>146660</v>
      </c>
      <c r="O325" s="212">
        <v>188011</v>
      </c>
      <c r="P325" s="212">
        <v>130036</v>
      </c>
      <c r="Q325" s="212">
        <v>158426.17439999999</v>
      </c>
      <c r="R325" s="212">
        <v>261857</v>
      </c>
      <c r="S325" s="212">
        <v>159260</v>
      </c>
      <c r="T325" s="212">
        <v>182613</v>
      </c>
      <c r="U325" s="212">
        <v>175566</v>
      </c>
      <c r="V325" s="205">
        <v>171376</v>
      </c>
      <c r="W325" s="205">
        <f>ROUND(표9[[#This Row],[Apr 2026 (USD or KRW)]],0)</f>
        <v>0</v>
      </c>
      <c r="X325" s="224"/>
      <c r="Y325" s="206">
        <f>표9[[#This Row],[Apr 2027(KRW)]]-표9[[#This Row],[Mar 2026(KRW)]]</f>
        <v>-171376</v>
      </c>
      <c r="Z325" s="213">
        <f t="shared" si="4"/>
        <v>-1</v>
      </c>
      <c r="AA325" s="208">
        <f>VLOOKUP(표9[[#This Row],[Team]],표1[],3,0)</f>
        <v>1000</v>
      </c>
    </row>
    <row r="326" spans="1:27" ht="15">
      <c r="A326" s="209" t="str">
        <f>VLOOKUP($H326,Azure!$A:$H,2,0)</f>
        <v>Azure</v>
      </c>
      <c r="B326" s="209" t="s">
        <v>321</v>
      </c>
      <c r="C326" s="209" t="s">
        <v>321</v>
      </c>
      <c r="D326" s="209" t="str">
        <f>VLOOKUP($H326,Azure!$A:$H,5,0)</f>
        <v>Service DevOps Team</v>
      </c>
      <c r="E326" s="209" t="str">
        <f>VLOOKUP($H326,Azure!$A:$H,6,0)</f>
        <v>OVERHEAD/OTHERS</v>
      </c>
      <c r="F326" s="202">
        <f>VLOOKUP(표9[[#This Row],[Team]],표1[[내역]:[코스트 센터]],2,0)</f>
        <v>100033</v>
      </c>
      <c r="G326" s="202" t="str">
        <f>VLOOKUP(표9[[#This Row],[Project]],표2[],2,0)</f>
        <v>I100099999</v>
      </c>
      <c r="H326" s="209" t="s">
        <v>329</v>
      </c>
      <c r="I326" s="209" t="str">
        <f>VLOOKUP($H326,Azure!$A:$H,7,0)</f>
        <v>엄기성</v>
      </c>
      <c r="J326" s="209" t="str">
        <f>VLOOKUP($H326,Azure!$A:$H,8,0)</f>
        <v>엄기성</v>
      </c>
      <c r="K326" s="186"/>
      <c r="L326" s="210">
        <v>242344</v>
      </c>
      <c r="M326" s="211">
        <v>233139</v>
      </c>
      <c r="N326" s="212">
        <v>240426</v>
      </c>
      <c r="O326" s="212">
        <v>308215</v>
      </c>
      <c r="P326" s="212">
        <v>213173</v>
      </c>
      <c r="Q326" s="212">
        <v>249726</v>
      </c>
      <c r="R326" s="212">
        <v>412764</v>
      </c>
      <c r="S326" s="212">
        <v>251040</v>
      </c>
      <c r="T326" s="212">
        <v>287851</v>
      </c>
      <c r="U326" s="212">
        <v>276743</v>
      </c>
      <c r="V326" s="205">
        <v>270138</v>
      </c>
      <c r="W326" s="205">
        <f>ROUND(표9[[#This Row],[Apr 2026 (USD or KRW)]],0)</f>
        <v>0</v>
      </c>
      <c r="X326" s="212"/>
      <c r="Y326" s="206">
        <f>표9[[#This Row],[Apr 2027(KRW)]]-표9[[#This Row],[Mar 2026(KRW)]]</f>
        <v>-270138</v>
      </c>
      <c r="Z326" s="213">
        <f t="shared" si="4"/>
        <v>-1</v>
      </c>
      <c r="AA326" s="208">
        <f>VLOOKUP(표9[[#This Row],[Team]],표1[],3,0)</f>
        <v>1000</v>
      </c>
    </row>
    <row r="327" spans="1:27" ht="15">
      <c r="A327" s="209" t="str">
        <f>VLOOKUP($H327,Azure!$A:$H,2,0)</f>
        <v>Azure</v>
      </c>
      <c r="B327" s="209" t="str">
        <f>VLOOKUP($H327,Azure!$A:$H,3,0)</f>
        <v>KRAFTON HQ</v>
      </c>
      <c r="C327" s="209" t="str">
        <f>VLOOKUP($H327,Azure!$A:$H,4,0)</f>
        <v>PUBG NewState</v>
      </c>
      <c r="D327" s="209" t="str">
        <f>VLOOKUP($H327,Azure!$A:$H,5,0)</f>
        <v>[N/A]New State Dev Div.</v>
      </c>
      <c r="E327" s="209" t="str">
        <f>VLOOKUP($H327,Azure!$A:$H,6,0)</f>
        <v>PUBG:NEW STATE</v>
      </c>
      <c r="F327" s="202">
        <f>VLOOKUP(표9[[#This Row],[Team]],표1[[내역]:[코스트 센터]],2,0)</f>
        <v>100368</v>
      </c>
      <c r="G327" s="202" t="str">
        <f>VLOOKUP(표9[[#This Row],[Project]],표2[],2,0)</f>
        <v>P100030014</v>
      </c>
      <c r="H327" s="209" t="s">
        <v>330</v>
      </c>
      <c r="I327" s="209" t="str">
        <f>VLOOKUP($H327,Azure!$A:$H,7,0)</f>
        <v>엄기성</v>
      </c>
      <c r="J327" s="209" t="str">
        <f>VLOOKUP($H327,Azure!$A:$H,8,0)</f>
        <v>엄기성</v>
      </c>
      <c r="K327" s="186"/>
      <c r="L327" s="210">
        <v>551948</v>
      </c>
      <c r="M327" s="211">
        <v>541468</v>
      </c>
      <c r="N327" s="212">
        <v>543758</v>
      </c>
      <c r="O327" s="212">
        <v>537788</v>
      </c>
      <c r="P327" s="212">
        <v>531596</v>
      </c>
      <c r="Q327" s="212">
        <v>554267.03280000004</v>
      </c>
      <c r="R327" s="212">
        <v>546777</v>
      </c>
      <c r="S327" s="212">
        <v>554269</v>
      </c>
      <c r="T327" s="212">
        <v>548288</v>
      </c>
      <c r="U327" s="212">
        <v>543343</v>
      </c>
      <c r="V327" s="205">
        <v>549631</v>
      </c>
      <c r="W327" s="205">
        <f>ROUND(표9[[#This Row],[Apr 2026 (USD or KRW)]],0)</f>
        <v>0</v>
      </c>
      <c r="X327" s="224"/>
      <c r="Y327" s="206">
        <f>표9[[#This Row],[Apr 2027(KRW)]]-표9[[#This Row],[Mar 2026(KRW)]]</f>
        <v>-549631</v>
      </c>
      <c r="Z327" s="213">
        <f t="shared" si="4"/>
        <v>-1</v>
      </c>
      <c r="AA327" s="208">
        <f>VLOOKUP(표9[[#This Row],[Team]],표1[],3,0)</f>
        <v>1000</v>
      </c>
    </row>
    <row r="328" spans="1:27" ht="15">
      <c r="A328" s="209" t="str">
        <f>VLOOKUP($H328,Azure!$A:$H,2,0)</f>
        <v>Azure</v>
      </c>
      <c r="B328" s="209" t="s">
        <v>321</v>
      </c>
      <c r="C328" s="209" t="s">
        <v>321</v>
      </c>
      <c r="D328" s="209" t="str">
        <f>VLOOKUP($H328,Azure!$A:$H,5,0)</f>
        <v>[N/A]New State Dev Div.</v>
      </c>
      <c r="E328" s="209" t="str">
        <f>VLOOKUP($H328,Azure!$A:$H,6,0)</f>
        <v>PUBG:NEW STATE</v>
      </c>
      <c r="F328" s="202">
        <f>VLOOKUP(표9[[#This Row],[Team]],표1[[내역]:[코스트 센터]],2,0)</f>
        <v>100368</v>
      </c>
      <c r="G328" s="202" t="str">
        <f>VLOOKUP(표9[[#This Row],[Project]],표2[],2,0)</f>
        <v>P100030014</v>
      </c>
      <c r="H328" s="209" t="s">
        <v>331</v>
      </c>
      <c r="I328" s="209" t="str">
        <f>VLOOKUP($H328,Azure!$A:$H,7,0)</f>
        <v>엄기성</v>
      </c>
      <c r="J328" s="209" t="str">
        <f>VLOOKUP($H328,Azure!$A:$H,8,0)</f>
        <v>엄기성</v>
      </c>
      <c r="K328" s="186"/>
      <c r="L328" s="210">
        <v>904833</v>
      </c>
      <c r="M328" s="211">
        <v>887653</v>
      </c>
      <c r="N328" s="212">
        <v>891407</v>
      </c>
      <c r="O328" s="212">
        <v>881620</v>
      </c>
      <c r="P328" s="212">
        <v>871469</v>
      </c>
      <c r="Q328" s="212">
        <v>873687</v>
      </c>
      <c r="R328" s="212">
        <v>861881</v>
      </c>
      <c r="S328" s="212">
        <v>873690</v>
      </c>
      <c r="T328" s="212">
        <v>864262</v>
      </c>
      <c r="U328" s="212">
        <v>856467</v>
      </c>
      <c r="V328" s="205">
        <v>866379</v>
      </c>
      <c r="W328" s="205">
        <f>ROUND(표9[[#This Row],[Apr 2026 (USD or KRW)]],0)</f>
        <v>0</v>
      </c>
      <c r="X328" s="212"/>
      <c r="Y328" s="206">
        <f>표9[[#This Row],[Apr 2027(KRW)]]-표9[[#This Row],[Mar 2026(KRW)]]</f>
        <v>-866379</v>
      </c>
      <c r="Z328" s="213">
        <f t="shared" si="4"/>
        <v>-1</v>
      </c>
      <c r="AA328" s="208">
        <f>VLOOKUP(표9[[#This Row],[Team]],표1[],3,0)</f>
        <v>1000</v>
      </c>
    </row>
    <row r="329" spans="1:27" ht="15">
      <c r="A329" s="209" t="str">
        <f>VLOOKUP($H329,Azure!$A:$H,2,0)</f>
        <v>Azure</v>
      </c>
      <c r="B329" s="209" t="str">
        <f>VLOOKUP($H329,Azure!$A:$H,3,0)</f>
        <v>KRAFTON HQ</v>
      </c>
      <c r="C329" s="209" t="str">
        <f>VLOOKUP($H329,Azure!$A:$H,4,0)</f>
        <v>KRAFTON HQ</v>
      </c>
      <c r="D329" s="209" t="str">
        <f>VLOOKUP($H329,Azure!$A:$H,5,0)</f>
        <v>IN Platform Business Dept._HQ</v>
      </c>
      <c r="E329" s="209" t="str">
        <f>VLOOKUP($H329,Azure!$A:$H,6,0)</f>
        <v>OVERHEAD/OTHERS</v>
      </c>
      <c r="F329" s="202">
        <f>VLOOKUP(표9[[#This Row],[Team]],표1[[내역]:[코스트 센터]],2,0)</f>
        <v>101835</v>
      </c>
      <c r="G329" s="202" t="str">
        <f>VLOOKUP(표9[[#This Row],[Project]],표2[],2,0)</f>
        <v>I100099999</v>
      </c>
      <c r="H329" s="209" t="s">
        <v>332</v>
      </c>
      <c r="I329" s="209" t="str">
        <f>VLOOKUP($H329,Azure!$A:$H,7,0)</f>
        <v>김형진</v>
      </c>
      <c r="J329" s="209" t="str">
        <f>VLOOKUP($H329,Azure!$A:$H,8,0)</f>
        <v>김형진</v>
      </c>
      <c r="K329" s="186" t="s">
        <v>29</v>
      </c>
      <c r="L329" s="210"/>
      <c r="M329" s="211"/>
      <c r="N329" s="212"/>
      <c r="O329" s="212"/>
      <c r="P329" s="212"/>
      <c r="Q329" s="212"/>
      <c r="R329" s="212"/>
      <c r="S329" s="212"/>
      <c r="T329" s="212"/>
      <c r="U329" s="212">
        <v>4037</v>
      </c>
      <c r="V329" s="205">
        <v>3196195</v>
      </c>
      <c r="W329" s="205">
        <f>ROUND(표9[[#This Row],[Apr 2026 (USD or KRW)]],0)</f>
        <v>0</v>
      </c>
      <c r="X329" s="224"/>
      <c r="Y329" s="206">
        <f>표9[[#This Row],[Apr 2027(KRW)]]-표9[[#This Row],[Mar 2026(KRW)]]</f>
        <v>-3196195</v>
      </c>
      <c r="Z329" s="213">
        <f t="shared" si="4"/>
        <v>-1</v>
      </c>
      <c r="AA329" s="208">
        <f>VLOOKUP(표9[[#This Row],[Team]],표1[],3,0)</f>
        <v>1000</v>
      </c>
    </row>
    <row r="330" spans="1:27" ht="15">
      <c r="A330" s="209" t="str">
        <f>VLOOKUP($H330,Azure!$A:$H,2,0)</f>
        <v>Azure</v>
      </c>
      <c r="B330" s="209" t="s">
        <v>321</v>
      </c>
      <c r="C330" s="209" t="s">
        <v>321</v>
      </c>
      <c r="D330" s="209" t="str">
        <f>VLOOKUP($H330,Azure!$A:$H,5,0)</f>
        <v>IN Platform Business Dept._HQ</v>
      </c>
      <c r="E330" s="209" t="str">
        <f>VLOOKUP($H330,Azure!$A:$H,6,0)</f>
        <v>OVERHEAD/OTHERS</v>
      </c>
      <c r="F330" s="202">
        <f>VLOOKUP(표9[[#This Row],[Team]],표1[[내역]:[코스트 센터]],2,0)</f>
        <v>101835</v>
      </c>
      <c r="G330" s="202" t="str">
        <f>VLOOKUP(표9[[#This Row],[Project]],표2[],2,0)</f>
        <v>I100099999</v>
      </c>
      <c r="H330" s="209" t="s">
        <v>332</v>
      </c>
      <c r="I330" s="209" t="str">
        <f>VLOOKUP($H330,Azure!$A:$H,7,0)</f>
        <v>김형진</v>
      </c>
      <c r="J330" s="209" t="str">
        <f>VLOOKUP($H330,Azure!$A:$H,8,0)</f>
        <v>김형진</v>
      </c>
      <c r="K330" s="186"/>
      <c r="L330" s="210"/>
      <c r="M330" s="211"/>
      <c r="N330" s="212"/>
      <c r="O330" s="212"/>
      <c r="P330" s="212"/>
      <c r="Q330" s="212"/>
      <c r="R330" s="212"/>
      <c r="S330" s="212"/>
      <c r="T330" s="212"/>
      <c r="U330" s="212">
        <v>6364</v>
      </c>
      <c r="V330" s="205">
        <v>5038138</v>
      </c>
      <c r="W330" s="205">
        <f>ROUND(표9[[#This Row],[Apr 2026 (USD or KRW)]],0)</f>
        <v>0</v>
      </c>
      <c r="X330" s="212"/>
      <c r="Y330" s="206">
        <f>표9[[#This Row],[Apr 2027(KRW)]]-표9[[#This Row],[Mar 2026(KRW)]]</f>
        <v>-5038138</v>
      </c>
      <c r="Z330" s="213">
        <f t="shared" si="4"/>
        <v>-1</v>
      </c>
      <c r="AA330" s="208">
        <f>VLOOKUP(표9[[#This Row],[Team]],표1[],3,0)</f>
        <v>1000</v>
      </c>
    </row>
    <row r="331" spans="1:27" ht="15">
      <c r="A331" s="209" t="str">
        <f>VLOOKUP($H331,Azure!$A:$H,2,0)</f>
        <v>Azure</v>
      </c>
      <c r="B331" s="209" t="str">
        <f>VLOOKUP($H331,Azure!$A:$H,3,0)</f>
        <v>KRAFTON HQ</v>
      </c>
      <c r="C331" s="209" t="str">
        <f>VLOOKUP($H331,Azure!$A:$H,4,0)</f>
        <v>KRAFTON HQ</v>
      </c>
      <c r="D331" s="209" t="str">
        <f>VLOOKUP($H331,Azure!$A:$H,5,0)</f>
        <v>IN Platform Business Dept._HQ</v>
      </c>
      <c r="E331" s="209" t="str">
        <f>VLOOKUP($H331,Azure!$A:$H,6,0)</f>
        <v>OVERHEAD/OTHERS</v>
      </c>
      <c r="F331" s="202">
        <f>VLOOKUP(표9[[#This Row],[Team]],표1[[내역]:[코스트 센터]],2,0)</f>
        <v>101835</v>
      </c>
      <c r="G331" s="202" t="str">
        <f>VLOOKUP(표9[[#This Row],[Project]],표2[],2,0)</f>
        <v>I100099999</v>
      </c>
      <c r="H331" s="209" t="s">
        <v>333</v>
      </c>
      <c r="I331" s="209" t="str">
        <f>VLOOKUP($H331,Azure!$A:$H,7,0)</f>
        <v>김형진</v>
      </c>
      <c r="J331" s="209" t="str">
        <f>VLOOKUP($H331,Azure!$A:$H,8,0)</f>
        <v>김형진</v>
      </c>
      <c r="K331" s="186"/>
      <c r="L331" s="210"/>
      <c r="M331" s="211"/>
      <c r="N331" s="212"/>
      <c r="O331" s="212"/>
      <c r="P331" s="212"/>
      <c r="Q331" s="212"/>
      <c r="R331" s="212"/>
      <c r="S331" s="212"/>
      <c r="T331" s="212">
        <v>3753754</v>
      </c>
      <c r="U331" s="212">
        <v>8778135</v>
      </c>
      <c r="V331" s="205">
        <v>0</v>
      </c>
      <c r="W331" s="205">
        <f>ROUND(표9[[#This Row],[Apr 2026 (USD or KRW)]],0)</f>
        <v>0</v>
      </c>
      <c r="X331" s="224"/>
      <c r="Y331" s="206">
        <f>표9[[#This Row],[Apr 2027(KRW)]]-표9[[#This Row],[Mar 2026(KRW)]]</f>
        <v>0</v>
      </c>
      <c r="Z331" s="213" t="str">
        <f t="shared" si="4"/>
        <v/>
      </c>
      <c r="AA331" s="208">
        <f>VLOOKUP(표9[[#This Row],[Team]],표1[],3,0)</f>
        <v>1000</v>
      </c>
    </row>
    <row r="332" spans="1:27" ht="15">
      <c r="A332" s="209" t="str">
        <f>VLOOKUP($H332,Azure!$A:$H,2,0)</f>
        <v>Azure</v>
      </c>
      <c r="B332" s="209" t="str">
        <f>VLOOKUP($H332,Azure!$A:$H,3,0)</f>
        <v>KRAFTON HQ</v>
      </c>
      <c r="C332" s="209" t="str">
        <f>VLOOKUP($H332,Azure!$A:$H,4,0)</f>
        <v>KRAFTON HQ</v>
      </c>
      <c r="D332" s="209" t="str">
        <f>VLOOKUP($H332,Azure!$A:$H,5,0)</f>
        <v>DevData Engineering Team</v>
      </c>
      <c r="E332" s="209" t="str">
        <f>VLOOKUP($H332,Azure!$A:$H,6,0)</f>
        <v>(2022)BATTLEGROUNDS_MOBILE_IN</v>
      </c>
      <c r="F332" s="202">
        <f>VLOOKUP(표9[[#This Row],[Team]],표1[[내역]:[코스트 센터]],2,0)</f>
        <v>101721</v>
      </c>
      <c r="G332" s="202" t="str">
        <f>VLOOKUP(표9[[#This Row],[Project]],표2[],2,0)</f>
        <v>P100130012</v>
      </c>
      <c r="H332" s="209" t="s">
        <v>334</v>
      </c>
      <c r="I332" s="209" t="str">
        <f>VLOOKUP($H332,Azure!$A:$H,7,0)</f>
        <v>김도현</v>
      </c>
      <c r="J332" s="209" t="str">
        <f>VLOOKUP($H332,Azure!$A:$H,8,0)</f>
        <v>김도현</v>
      </c>
      <c r="K332" s="186" t="s">
        <v>29</v>
      </c>
      <c r="L332" s="210">
        <v>361912</v>
      </c>
      <c r="M332" s="211">
        <v>564614</v>
      </c>
      <c r="N332" s="212">
        <v>376200</v>
      </c>
      <c r="O332" s="212">
        <v>490439</v>
      </c>
      <c r="P332" s="212">
        <v>355263</v>
      </c>
      <c r="Q332" s="212">
        <v>706628.97759999998</v>
      </c>
      <c r="R332" s="212">
        <v>336976</v>
      </c>
      <c r="S332" s="212">
        <v>379391</v>
      </c>
      <c r="T332" s="212">
        <v>740866</v>
      </c>
      <c r="U332" s="212">
        <v>797677</v>
      </c>
      <c r="V332" s="205">
        <v>802443</v>
      </c>
      <c r="W332" s="205">
        <f>ROUND(표9[[#This Row],[Apr 2026 (USD or KRW)]],0)</f>
        <v>0</v>
      </c>
      <c r="X332" s="224"/>
      <c r="Y332" s="206">
        <f>표9[[#This Row],[Apr 2027(KRW)]]-표9[[#This Row],[Mar 2026(KRW)]]</f>
        <v>-802443</v>
      </c>
      <c r="Z332" s="213">
        <f t="shared" si="4"/>
        <v>-1</v>
      </c>
      <c r="AA332" s="208">
        <f>VLOOKUP(표9[[#This Row],[Team]],표1[],3,0)</f>
        <v>1000</v>
      </c>
    </row>
    <row r="333" spans="1:27" ht="15">
      <c r="A333" s="209" t="str">
        <f>VLOOKUP($H333,Azure!$A:$H,2,0)</f>
        <v>Azure</v>
      </c>
      <c r="B333" s="209" t="s">
        <v>321</v>
      </c>
      <c r="C333" s="209" t="s">
        <v>321</v>
      </c>
      <c r="D333" s="209" t="str">
        <f>VLOOKUP($H333,Azure!$A:$H,5,0)</f>
        <v>DevData Engineering Team</v>
      </c>
      <c r="E333" s="209" t="str">
        <f>VLOOKUP($H333,Azure!$A:$H,6,0)</f>
        <v>(2022)BATTLEGROUNDS_MOBILE_IN</v>
      </c>
      <c r="F333" s="202">
        <f>VLOOKUP(표9[[#This Row],[Team]],표1[[내역]:[코스트 센터]],2,0)</f>
        <v>101721</v>
      </c>
      <c r="G333" s="202" t="str">
        <f>VLOOKUP(표9[[#This Row],[Project]],표2[],2,0)</f>
        <v>P100130012</v>
      </c>
      <c r="H333" s="209" t="s">
        <v>334</v>
      </c>
      <c r="I333" s="209" t="str">
        <f>VLOOKUP($H333,Azure!$A:$H,7,0)</f>
        <v>김도현</v>
      </c>
      <c r="J333" s="209" t="str">
        <f>VLOOKUP($H333,Azure!$A:$H,8,0)</f>
        <v>김도현</v>
      </c>
      <c r="K333" s="186" t="s">
        <v>29</v>
      </c>
      <c r="L333" s="210">
        <v>593298</v>
      </c>
      <c r="M333" s="211">
        <v>925596</v>
      </c>
      <c r="N333" s="212">
        <v>616722</v>
      </c>
      <c r="O333" s="212">
        <v>803998</v>
      </c>
      <c r="P333" s="212">
        <v>582399</v>
      </c>
      <c r="Q333" s="212">
        <v>1113854</v>
      </c>
      <c r="R333" s="212">
        <v>531173</v>
      </c>
      <c r="S333" s="212">
        <v>598031</v>
      </c>
      <c r="T333" s="212">
        <v>1167821</v>
      </c>
      <c r="U333" s="212">
        <v>1257373</v>
      </c>
      <c r="V333" s="205">
        <v>1264885</v>
      </c>
      <c r="W333" s="205">
        <f>ROUND(표9[[#This Row],[Apr 2026 (USD or KRW)]],0)</f>
        <v>0</v>
      </c>
      <c r="X333" s="212"/>
      <c r="Y333" s="206">
        <f>표9[[#This Row],[Apr 2027(KRW)]]-표9[[#This Row],[Mar 2026(KRW)]]</f>
        <v>-1264885</v>
      </c>
      <c r="Z333" s="213">
        <f t="shared" si="4"/>
        <v>-1</v>
      </c>
      <c r="AA333" s="208">
        <f>VLOOKUP(표9[[#This Row],[Team]],표1[],3,0)</f>
        <v>1000</v>
      </c>
    </row>
    <row r="334" spans="1:27" ht="15">
      <c r="A334" s="209" t="str">
        <f>VLOOKUP($H334,Azure!$A:$H,2,0)</f>
        <v>Azure</v>
      </c>
      <c r="B334" s="209" t="str">
        <f>VLOOKUP($H334,Azure!$A:$H,3,0)</f>
        <v>KRAFTON HQ</v>
      </c>
      <c r="C334" s="209" t="str">
        <f>VLOOKUP($H334,Azure!$A:$H,4,0)</f>
        <v>KRAFTON HQ</v>
      </c>
      <c r="D334" s="209" t="str">
        <f>VLOOKUP($H334,Azure!$A:$H,5,0)</f>
        <v>BGMI DevOps Team</v>
      </c>
      <c r="E334" s="209" t="str">
        <f>VLOOKUP($H334,Azure!$A:$H,6,0)</f>
        <v>(2022)BATTLEGROUNDS_MOBILE_IN</v>
      </c>
      <c r="F334" s="202">
        <f>VLOOKUP(표9[[#This Row],[Team]],표1[[내역]:[코스트 센터]],2,0)</f>
        <v>100553</v>
      </c>
      <c r="G334" s="202" t="str">
        <f>VLOOKUP(표9[[#This Row],[Project]],표2[],2,0)</f>
        <v>P100130012</v>
      </c>
      <c r="H334" s="209" t="s">
        <v>335</v>
      </c>
      <c r="I334" s="209" t="str">
        <f>VLOOKUP($H334,Azure!$A:$H,7,0)</f>
        <v>조동현</v>
      </c>
      <c r="J334" s="209" t="str">
        <f>VLOOKUP($H334,Azure!$A:$H,8,0)</f>
        <v>조한경</v>
      </c>
      <c r="K334" s="186" t="s">
        <v>29</v>
      </c>
      <c r="L334" s="210">
        <v>194459</v>
      </c>
      <c r="M334" s="211">
        <v>509492</v>
      </c>
      <c r="N334" s="212">
        <v>594998</v>
      </c>
      <c r="O334" s="212">
        <v>581019</v>
      </c>
      <c r="P334" s="212">
        <v>563025</v>
      </c>
      <c r="Q334" s="212">
        <v>596672.23199999996</v>
      </c>
      <c r="R334" s="212">
        <v>580624</v>
      </c>
      <c r="S334" s="212">
        <v>603812</v>
      </c>
      <c r="T334" s="212">
        <v>588850</v>
      </c>
      <c r="U334" s="212">
        <v>832785</v>
      </c>
      <c r="V334" s="205">
        <v>2380478</v>
      </c>
      <c r="W334" s="205">
        <f>ROUND(표9[[#This Row],[Apr 2026 (USD or KRW)]],0)</f>
        <v>0</v>
      </c>
      <c r="X334" s="224"/>
      <c r="Y334" s="206">
        <f>표9[[#This Row],[Apr 2027(KRW)]]-표9[[#This Row],[Mar 2026(KRW)]]</f>
        <v>-2380478</v>
      </c>
      <c r="Z334" s="213">
        <f t="shared" si="4"/>
        <v>-1</v>
      </c>
      <c r="AA334" s="208">
        <f>VLOOKUP(표9[[#This Row],[Team]],표1[],3,0)</f>
        <v>1000</v>
      </c>
    </row>
    <row r="335" spans="1:27" ht="15">
      <c r="A335" s="209" t="str">
        <f>VLOOKUP($H335,Azure!$A:$H,2,0)</f>
        <v>Azure</v>
      </c>
      <c r="B335" s="209" t="s">
        <v>321</v>
      </c>
      <c r="C335" s="209" t="s">
        <v>321</v>
      </c>
      <c r="D335" s="209" t="str">
        <f>VLOOKUP($H335,Azure!$A:$H,5,0)</f>
        <v>BGMI DevOps Team</v>
      </c>
      <c r="E335" s="209" t="str">
        <f>VLOOKUP($H335,Azure!$A:$H,6,0)</f>
        <v>(2022)BATTLEGROUNDS_MOBILE_IN</v>
      </c>
      <c r="F335" s="202">
        <f>VLOOKUP(표9[[#This Row],[Team]],표1[[내역]:[코스트 센터]],2,0)</f>
        <v>100553</v>
      </c>
      <c r="G335" s="202" t="str">
        <f>VLOOKUP(표9[[#This Row],[Project]],표2[],2,0)</f>
        <v>P100130012</v>
      </c>
      <c r="H335" s="209" t="s">
        <v>335</v>
      </c>
      <c r="I335" s="209" t="str">
        <f>VLOOKUP($H335,Azure!$A:$H,7,0)</f>
        <v>조동현</v>
      </c>
      <c r="J335" s="209" t="str">
        <f>VLOOKUP($H335,Azure!$A:$H,8,0)</f>
        <v>조한경</v>
      </c>
      <c r="K335" s="186"/>
      <c r="L335" s="210">
        <v>318785</v>
      </c>
      <c r="M335" s="211">
        <v>835233</v>
      </c>
      <c r="N335" s="212">
        <v>975406</v>
      </c>
      <c r="O335" s="212">
        <v>952490</v>
      </c>
      <c r="P335" s="212">
        <v>922992</v>
      </c>
      <c r="Q335" s="212">
        <v>940530</v>
      </c>
      <c r="R335" s="212">
        <v>915233</v>
      </c>
      <c r="S335" s="212">
        <v>951785</v>
      </c>
      <c r="T335" s="212">
        <v>928200</v>
      </c>
      <c r="U335" s="212">
        <v>1312713</v>
      </c>
      <c r="V335" s="205">
        <v>3752329</v>
      </c>
      <c r="W335" s="205">
        <f>ROUND(표9[[#This Row],[Apr 2026 (USD or KRW)]],0)</f>
        <v>0</v>
      </c>
      <c r="X335" s="212"/>
      <c r="Y335" s="206">
        <f>표9[[#This Row],[Apr 2027(KRW)]]-표9[[#This Row],[Mar 2026(KRW)]]</f>
        <v>-3752329</v>
      </c>
      <c r="Z335" s="213">
        <f t="shared" si="4"/>
        <v>-1</v>
      </c>
      <c r="AA335" s="208">
        <f>VLOOKUP(표9[[#This Row],[Team]],표1[],3,0)</f>
        <v>1000</v>
      </c>
    </row>
    <row r="336" spans="1:27" ht="15">
      <c r="A336" s="209" t="str">
        <f>VLOOKUP($H336,Azure!$A:$H,2,0)</f>
        <v>Azure</v>
      </c>
      <c r="B336" s="209" t="str">
        <f>VLOOKUP($H336,Azure!$A:$H,3,0)</f>
        <v>KRAFTON HQ</v>
      </c>
      <c r="C336" s="209" t="str">
        <f>VLOOKUP($H336,Azure!$A:$H,4,0)</f>
        <v>KRAFTON HQ</v>
      </c>
      <c r="D336" s="209" t="str">
        <f>VLOOKUP($H336,Azure!$A:$H,5,0)</f>
        <v>M&amp;A Dept.</v>
      </c>
      <c r="E336" s="209" t="str">
        <f>VLOOKUP($H336,Azure!$A:$H,6,0)</f>
        <v>OVERHEAD/OTHERS</v>
      </c>
      <c r="F336" s="202">
        <f>VLOOKUP(표9[[#This Row],[Team]],표1[[내역]:[코스트 센터]],2,0)</f>
        <v>102133</v>
      </c>
      <c r="G336" s="202" t="str">
        <f>VLOOKUP(표9[[#This Row],[Project]],표2[],2,0)</f>
        <v>I100099999</v>
      </c>
      <c r="H336" s="225" t="s">
        <v>336</v>
      </c>
      <c r="I336" s="226"/>
      <c r="J336" s="209" t="str">
        <f>VLOOKUP($H336,Azure!$A:$H,8,0)</f>
        <v>이유림</v>
      </c>
      <c r="K336" s="242"/>
      <c r="L336" s="197"/>
      <c r="M336" s="199"/>
      <c r="N336" s="200"/>
      <c r="O336" s="200"/>
      <c r="P336" s="200"/>
      <c r="Q336" s="200"/>
      <c r="R336" s="200"/>
      <c r="S336" s="200"/>
      <c r="T336" s="200"/>
      <c r="U336" s="200"/>
      <c r="V336" s="205">
        <v>302</v>
      </c>
      <c r="W336" s="205">
        <f>ROUND(표9[[#This Row],[Apr 2026 (USD or KRW)]],0)</f>
        <v>0</v>
      </c>
      <c r="X336" s="224"/>
      <c r="Y336" s="206">
        <f>표9[[#This Row],[Apr 2027(KRW)]]-표9[[#This Row],[Mar 2026(KRW)]]</f>
        <v>-302</v>
      </c>
      <c r="Z336" s="213">
        <f t="shared" si="4"/>
        <v>-1</v>
      </c>
      <c r="AA336" s="208">
        <f>VLOOKUP(표9[[#This Row],[Team]],표1[],3,0)</f>
        <v>1000</v>
      </c>
    </row>
    <row r="337" spans="1:27" ht="15">
      <c r="A337" s="209" t="str">
        <f>VLOOKUP($H337,Azure!$A:$H,2,0)</f>
        <v>Azure</v>
      </c>
      <c r="B337" s="209" t="s">
        <v>321</v>
      </c>
      <c r="C337" s="209" t="s">
        <v>321</v>
      </c>
      <c r="D337" s="209" t="str">
        <f>VLOOKUP($H337,Azure!$A:$H,5,0)</f>
        <v>M&amp;A Dept.</v>
      </c>
      <c r="E337" s="209" t="str">
        <f>VLOOKUP($H337,Azure!$A:$H,6,0)</f>
        <v>OVERHEAD/OTHERS</v>
      </c>
      <c r="F337" s="202">
        <f>VLOOKUP(표9[[#This Row],[Team]],표1[[내역]:[코스트 센터]],2,0)</f>
        <v>102133</v>
      </c>
      <c r="G337" s="202" t="str">
        <f>VLOOKUP(표9[[#This Row],[Project]],표2[],2,0)</f>
        <v>I100099999</v>
      </c>
      <c r="H337" s="225" t="s">
        <v>337</v>
      </c>
      <c r="I337" s="226"/>
      <c r="J337" s="209" t="str">
        <f>VLOOKUP($H337,Azure!$A:$H,8,0)</f>
        <v>이유림</v>
      </c>
      <c r="K337" s="242"/>
      <c r="L337" s="197"/>
      <c r="M337" s="199"/>
      <c r="N337" s="200"/>
      <c r="O337" s="200"/>
      <c r="P337" s="200"/>
      <c r="Q337" s="200"/>
      <c r="R337" s="200"/>
      <c r="S337" s="200"/>
      <c r="T337" s="200"/>
      <c r="U337" s="200"/>
      <c r="V337" s="205">
        <v>476</v>
      </c>
      <c r="W337" s="205">
        <f>ROUND(표9[[#This Row],[Apr 2026 (USD or KRW)]],0)</f>
        <v>0</v>
      </c>
      <c r="X337" s="212"/>
      <c r="Y337" s="206">
        <f>표9[[#This Row],[Apr 2027(KRW)]]-표9[[#This Row],[Mar 2026(KRW)]]</f>
        <v>-476</v>
      </c>
      <c r="Z337" s="213">
        <f t="shared" si="4"/>
        <v>-1</v>
      </c>
      <c r="AA337" s="208">
        <f>VLOOKUP(표9[[#This Row],[Team]],표1[],3,0)</f>
        <v>1000</v>
      </c>
    </row>
    <row r="338" spans="1:27" ht="15">
      <c r="A338" s="209" t="str">
        <f>VLOOKUP($H338,Azure!$A:$H,2,0)</f>
        <v>Azure</v>
      </c>
      <c r="B338" s="209" t="str">
        <f>VLOOKUP($H338,Azure!$A:$H,3,0)</f>
        <v>KRAFTON HQ</v>
      </c>
      <c r="C338" s="209" t="str">
        <f>VLOOKUP($H338,Azure!$A:$H,4,0)</f>
        <v>KRAFTON HQ</v>
      </c>
      <c r="D338" s="209" t="str">
        <f>VLOOKUP($H338,Azure!$A:$H,5,0)</f>
        <v>Data Engineering Dept.</v>
      </c>
      <c r="E338" s="209" t="str">
        <f>VLOOKUP($H338,Azure!$A:$H,6,0)</f>
        <v>OVERHEAD/OTHERS</v>
      </c>
      <c r="F338" s="202">
        <f>VLOOKUP(표9[[#This Row],[Team]],표1[[내역]:[코스트 센터]],2,0)</f>
        <v>100212</v>
      </c>
      <c r="G338" s="202" t="str">
        <f>VLOOKUP(표9[[#This Row],[Project]],표2[],2,0)</f>
        <v>I100099999</v>
      </c>
      <c r="H338" s="209" t="s">
        <v>338</v>
      </c>
      <c r="I338" s="209" t="str">
        <f>VLOOKUP($H338,Azure!$A:$H,7,0)</f>
        <v>염화음</v>
      </c>
      <c r="J338" s="209" t="str">
        <f>VLOOKUP($H338,Azure!$A:$H,8,0)</f>
        <v>김시훈</v>
      </c>
      <c r="K338" s="186" t="s">
        <v>29</v>
      </c>
      <c r="L338" s="210">
        <v>15317371</v>
      </c>
      <c r="M338" s="211">
        <v>14594182</v>
      </c>
      <c r="N338" s="212">
        <v>14556277</v>
      </c>
      <c r="O338" s="212">
        <v>13828244</v>
      </c>
      <c r="P338" s="212">
        <v>13629480</v>
      </c>
      <c r="Q338" s="212">
        <v>14008017.0152</v>
      </c>
      <c r="R338" s="212">
        <v>13397822</v>
      </c>
      <c r="S338" s="212">
        <v>13090452</v>
      </c>
      <c r="T338" s="212">
        <v>17211313</v>
      </c>
      <c r="U338" s="212">
        <v>21263698</v>
      </c>
      <c r="V338" s="205">
        <v>13904338</v>
      </c>
      <c r="W338" s="205">
        <f>ROUND(표9[[#This Row],[Apr 2026 (USD or KRW)]],0)</f>
        <v>0</v>
      </c>
      <c r="X338" s="224"/>
      <c r="Y338" s="206">
        <f>표9[[#This Row],[Apr 2027(KRW)]]-표9[[#This Row],[Mar 2026(KRW)]]</f>
        <v>-13904338</v>
      </c>
      <c r="Z338" s="213">
        <f t="shared" si="4"/>
        <v>-1</v>
      </c>
      <c r="AA338" s="208">
        <f>VLOOKUP(표9[[#This Row],[Team]],표1[],3,0)</f>
        <v>1000</v>
      </c>
    </row>
    <row r="339" spans="1:27" ht="15">
      <c r="A339" s="209" t="str">
        <f>VLOOKUP($H339,Azure!$A:$H,2,0)</f>
        <v>Azure</v>
      </c>
      <c r="B339" s="209" t="s">
        <v>321</v>
      </c>
      <c r="C339" s="209" t="s">
        <v>321</v>
      </c>
      <c r="D339" s="209" t="str">
        <f>VLOOKUP($H339,Azure!$A:$H,5,0)</f>
        <v>Data Engineering Dept.</v>
      </c>
      <c r="E339" s="209" t="str">
        <f>VLOOKUP($H339,Azure!$A:$H,6,0)</f>
        <v>OVERHEAD/OTHERS</v>
      </c>
      <c r="F339" s="202">
        <f>VLOOKUP(표9[[#This Row],[Team]],표1[[내역]:[코스트 센터]],2,0)</f>
        <v>100212</v>
      </c>
      <c r="G339" s="202" t="str">
        <f>VLOOKUP(표9[[#This Row],[Project]],표2[],2,0)</f>
        <v>I100099999</v>
      </c>
      <c r="H339" s="209" t="s">
        <v>338</v>
      </c>
      <c r="I339" s="209" t="str">
        <f>VLOOKUP($H339,Azure!$A:$H,7,0)</f>
        <v>염화음</v>
      </c>
      <c r="J339" s="209" t="str">
        <f>VLOOKUP($H339,Azure!$A:$H,8,0)</f>
        <v>김시훈</v>
      </c>
      <c r="K339" s="186" t="s">
        <v>29</v>
      </c>
      <c r="L339" s="210">
        <v>25110445</v>
      </c>
      <c r="M339" s="211">
        <v>23924888</v>
      </c>
      <c r="N339" s="212">
        <v>23862749</v>
      </c>
      <c r="O339" s="212">
        <v>22669253</v>
      </c>
      <c r="P339" s="212">
        <v>22343410</v>
      </c>
      <c r="Q339" s="212">
        <v>22080733</v>
      </c>
      <c r="R339" s="212">
        <v>21118887</v>
      </c>
      <c r="S339" s="212">
        <v>20634632</v>
      </c>
      <c r="T339" s="212">
        <v>27130065</v>
      </c>
      <c r="U339" s="212">
        <v>33517809</v>
      </c>
      <c r="V339" s="205">
        <v>21917304</v>
      </c>
      <c r="W339" s="205">
        <f>ROUND(표9[[#This Row],[Apr 2026 (USD or KRW)]],0)</f>
        <v>0</v>
      </c>
      <c r="X339" s="212"/>
      <c r="Y339" s="206">
        <f>표9[[#This Row],[Apr 2027(KRW)]]-표9[[#This Row],[Mar 2026(KRW)]]</f>
        <v>-21917304</v>
      </c>
      <c r="Z339" s="213">
        <f t="shared" si="4"/>
        <v>-1</v>
      </c>
      <c r="AA339" s="208">
        <f>VLOOKUP(표9[[#This Row],[Team]],표1[],3,0)</f>
        <v>1000</v>
      </c>
    </row>
    <row r="340" spans="1:27" ht="15">
      <c r="A340" s="209" t="str">
        <f>VLOOKUP($H340,Azure!$A:$H,2,0)</f>
        <v>Azure</v>
      </c>
      <c r="B340" s="209" t="str">
        <f>VLOOKUP($H340,Azure!$A:$H,3,0)</f>
        <v>KRAFTON HQ</v>
      </c>
      <c r="C340" s="209" t="str">
        <f>VLOOKUP($H340,Azure!$A:$H,4,0)</f>
        <v>KRAFTON HQ</v>
      </c>
      <c r="D340" s="209" t="str">
        <f>VLOOKUP($H340,Azure!$A:$H,5,0)</f>
        <v>Data Engineering Dept.</v>
      </c>
      <c r="E340" s="209" t="str">
        <f>VLOOKUP($H340,Azure!$A:$H,6,0)</f>
        <v>OVERHEAD/OTHERS</v>
      </c>
      <c r="F340" s="202">
        <f>VLOOKUP(표9[[#This Row],[Team]],표1[[내역]:[코스트 센터]],2,0)</f>
        <v>100212</v>
      </c>
      <c r="G340" s="202" t="str">
        <f>VLOOKUP(표9[[#This Row],[Project]],표2[],2,0)</f>
        <v>I100099999</v>
      </c>
      <c r="H340" s="209" t="s">
        <v>339</v>
      </c>
      <c r="I340" s="209" t="str">
        <f>VLOOKUP($H340,Azure!$A:$H,7,0)</f>
        <v>염화음</v>
      </c>
      <c r="J340" s="209" t="str">
        <f>VLOOKUP($H340,Azure!$A:$H,8,0)</f>
        <v>김시훈</v>
      </c>
      <c r="K340" s="186" t="s">
        <v>29</v>
      </c>
      <c r="L340" s="210">
        <v>126728664</v>
      </c>
      <c r="M340" s="211">
        <v>127628160</v>
      </c>
      <c r="N340" s="212">
        <v>149218418</v>
      </c>
      <c r="O340" s="212">
        <v>172934433</v>
      </c>
      <c r="P340" s="212">
        <v>141380470</v>
      </c>
      <c r="Q340" s="212">
        <v>136497312.41119999</v>
      </c>
      <c r="R340" s="212">
        <v>159184683</v>
      </c>
      <c r="S340" s="212">
        <v>149900669</v>
      </c>
      <c r="T340" s="212">
        <v>156504733</v>
      </c>
      <c r="U340" s="212">
        <v>357963114</v>
      </c>
      <c r="V340" s="205">
        <v>357026560</v>
      </c>
      <c r="W340" s="205">
        <f>ROUND(표9[[#This Row],[Apr 2026 (USD or KRW)]],0)</f>
        <v>0</v>
      </c>
      <c r="X340" s="224"/>
      <c r="Y340" s="206">
        <f>표9[[#This Row],[Apr 2027(KRW)]]-표9[[#This Row],[Mar 2026(KRW)]]</f>
        <v>-357026560</v>
      </c>
      <c r="Z340" s="213">
        <f t="shared" si="4"/>
        <v>-1</v>
      </c>
      <c r="AA340" s="208">
        <f>VLOOKUP(표9[[#This Row],[Team]],표1[],3,0)</f>
        <v>1000</v>
      </c>
    </row>
    <row r="341" spans="1:27" ht="15">
      <c r="A341" s="209" t="str">
        <f>VLOOKUP($H341,Azure!$A:$H,2,0)</f>
        <v>Azure</v>
      </c>
      <c r="B341" s="209" t="s">
        <v>321</v>
      </c>
      <c r="C341" s="209" t="s">
        <v>321</v>
      </c>
      <c r="D341" s="209" t="str">
        <f>VLOOKUP($H341,Azure!$A:$H,5,0)</f>
        <v>Data Engineering Dept.</v>
      </c>
      <c r="E341" s="209" t="str">
        <f>VLOOKUP($H341,Azure!$A:$H,6,0)</f>
        <v>OVERHEAD/OTHERS</v>
      </c>
      <c r="F341" s="202">
        <f>VLOOKUP(표9[[#This Row],[Team]],표1[[내역]:[코스트 센터]],2,0)</f>
        <v>100212</v>
      </c>
      <c r="G341" s="202" t="str">
        <f>VLOOKUP(표9[[#This Row],[Project]],표2[],2,0)</f>
        <v>I100099999</v>
      </c>
      <c r="H341" s="209" t="s">
        <v>340</v>
      </c>
      <c r="I341" s="209" t="str">
        <f>VLOOKUP($H341,Azure!$A:$H,7,0)</f>
        <v>염화음</v>
      </c>
      <c r="J341" s="209" t="str">
        <f>VLOOKUP($H341,Azure!$A:$H,8,0)</f>
        <v>김시훈</v>
      </c>
      <c r="K341" s="186" t="s">
        <v>29</v>
      </c>
      <c r="L341" s="210">
        <v>207751908</v>
      </c>
      <c r="M341" s="211">
        <v>209226492</v>
      </c>
      <c r="N341" s="212">
        <v>244620357</v>
      </c>
      <c r="O341" s="212">
        <v>283499070</v>
      </c>
      <c r="P341" s="212">
        <v>231771262</v>
      </c>
      <c r="Q341" s="212">
        <v>215159698</v>
      </c>
      <c r="R341" s="212">
        <v>250921631</v>
      </c>
      <c r="S341" s="212">
        <v>236292378</v>
      </c>
      <c r="T341" s="212">
        <v>246697246</v>
      </c>
      <c r="U341" s="212">
        <v>564254593</v>
      </c>
      <c r="V341" s="205">
        <v>562778310</v>
      </c>
      <c r="W341" s="205">
        <f>ROUND(표9[[#This Row],[Apr 2026 (USD or KRW)]],0)</f>
        <v>0</v>
      </c>
      <c r="X341" s="212"/>
      <c r="Y341" s="206">
        <f>표9[[#This Row],[Apr 2027(KRW)]]-표9[[#This Row],[Mar 2026(KRW)]]</f>
        <v>-562778310</v>
      </c>
      <c r="Z341" s="213">
        <f t="shared" ref="Z341:Z404" si="5">IF(V341=0,"",(W341-V341)/V341)</f>
        <v>-1</v>
      </c>
      <c r="AA341" s="208">
        <f>VLOOKUP(표9[[#This Row],[Team]],표1[],3,0)</f>
        <v>1000</v>
      </c>
    </row>
    <row r="342" spans="1:27" ht="15">
      <c r="A342" s="209" t="str">
        <f>VLOOKUP($H342,Azure!$A:$H,2,0)</f>
        <v>Azure</v>
      </c>
      <c r="B342" s="209" t="str">
        <f>VLOOKUP($H342,Azure!$A:$H,3,0)</f>
        <v>KRAFTON HQ</v>
      </c>
      <c r="C342" s="209" t="str">
        <f>VLOOKUP($H342,Azure!$A:$H,4,0)</f>
        <v>KRAFTON HQ</v>
      </c>
      <c r="D342" s="209" t="str">
        <f>VLOOKUP($H342,Azure!$A:$H,5,0)</f>
        <v>Data Engineering Dept.</v>
      </c>
      <c r="E342" s="209" t="str">
        <f>VLOOKUP($H342,Azure!$A:$H,6,0)</f>
        <v>OVERHEAD/OTHERS</v>
      </c>
      <c r="F342" s="202">
        <f>VLOOKUP(표9[[#This Row],[Team]],표1[[내역]:[코스트 센터]],2,0)</f>
        <v>100212</v>
      </c>
      <c r="G342" s="202" t="str">
        <f>VLOOKUP(표9[[#This Row],[Project]],표2[],2,0)</f>
        <v>I100099999</v>
      </c>
      <c r="H342" s="209" t="s">
        <v>341</v>
      </c>
      <c r="I342" s="209" t="str">
        <f>VLOOKUP($H342,Azure!$A:$H,7,0)</f>
        <v>염화음</v>
      </c>
      <c r="J342" s="209" t="str">
        <f>VLOOKUP($H342,Azure!$A:$H,8,0)</f>
        <v>문중현</v>
      </c>
      <c r="K342" s="186"/>
      <c r="L342" s="210">
        <v>2189</v>
      </c>
      <c r="M342" s="211">
        <v>0</v>
      </c>
      <c r="N342" s="212"/>
      <c r="O342" s="212"/>
      <c r="P342" s="212"/>
      <c r="Q342" s="212"/>
      <c r="R342" s="212"/>
      <c r="S342" s="212">
        <v>0</v>
      </c>
      <c r="T342" s="212">
        <v>0</v>
      </c>
      <c r="U342" s="212">
        <v>0</v>
      </c>
      <c r="V342" s="205">
        <v>0</v>
      </c>
      <c r="W342" s="205">
        <f>ROUND(표9[[#This Row],[Apr 2026 (USD or KRW)]],0)</f>
        <v>0</v>
      </c>
      <c r="X342" s="224"/>
      <c r="Y342" s="206">
        <f>표9[[#This Row],[Apr 2027(KRW)]]-표9[[#This Row],[Mar 2026(KRW)]]</f>
        <v>0</v>
      </c>
      <c r="Z342" s="213" t="str">
        <f t="shared" si="5"/>
        <v/>
      </c>
      <c r="AA342" s="208">
        <f>VLOOKUP(표9[[#This Row],[Team]],표1[],3,0)</f>
        <v>1000</v>
      </c>
    </row>
    <row r="343" spans="1:27" ht="15">
      <c r="A343" s="209" t="str">
        <f>VLOOKUP($H343,Azure!$A:$H,2,0)</f>
        <v>Azure</v>
      </c>
      <c r="B343" s="209" t="s">
        <v>321</v>
      </c>
      <c r="C343" s="209" t="s">
        <v>321</v>
      </c>
      <c r="D343" s="209" t="str">
        <f>VLOOKUP($H343,Azure!$A:$H,5,0)</f>
        <v>Data Engineering Dept.</v>
      </c>
      <c r="E343" s="209" t="str">
        <f>VLOOKUP($H343,Azure!$A:$H,6,0)</f>
        <v>OVERHEAD/OTHERS</v>
      </c>
      <c r="F343" s="202">
        <f>VLOOKUP(표9[[#This Row],[Team]],표1[[내역]:[코스트 센터]],2,0)</f>
        <v>100212</v>
      </c>
      <c r="G343" s="202" t="str">
        <f>VLOOKUP(표9[[#This Row],[Project]],표2[],2,0)</f>
        <v>I100099999</v>
      </c>
      <c r="H343" s="209" t="s">
        <v>342</v>
      </c>
      <c r="I343" s="209" t="str">
        <f>VLOOKUP($H343,Azure!$A:$H,7,0)</f>
        <v>염화음</v>
      </c>
      <c r="J343" s="209" t="str">
        <f>VLOOKUP($H343,Azure!$A:$H,8,0)</f>
        <v>문중현</v>
      </c>
      <c r="K343" s="186"/>
      <c r="L343" s="210">
        <v>3589</v>
      </c>
      <c r="M343" s="211">
        <v>0</v>
      </c>
      <c r="N343" s="212"/>
      <c r="O343" s="212"/>
      <c r="P343" s="212"/>
      <c r="Q343" s="212"/>
      <c r="R343" s="212"/>
      <c r="S343" s="212">
        <v>0</v>
      </c>
      <c r="T343" s="212">
        <v>0</v>
      </c>
      <c r="U343" s="212">
        <v>0</v>
      </c>
      <c r="V343" s="205">
        <v>0</v>
      </c>
      <c r="W343" s="205">
        <f>ROUND(표9[[#This Row],[Apr 2026 (USD or KRW)]],0)</f>
        <v>0</v>
      </c>
      <c r="X343" s="212"/>
      <c r="Y343" s="206">
        <f>표9[[#This Row],[Apr 2027(KRW)]]-표9[[#This Row],[Mar 2026(KRW)]]</f>
        <v>0</v>
      </c>
      <c r="Z343" s="213" t="str">
        <f t="shared" si="5"/>
        <v/>
      </c>
      <c r="AA343" s="208">
        <f>VLOOKUP(표9[[#This Row],[Team]],표1[],3,0)</f>
        <v>1000</v>
      </c>
    </row>
    <row r="344" spans="1:27" ht="15">
      <c r="A344" s="209" t="str">
        <f>VLOOKUP($H344,Azure!$A:$H,2,0)</f>
        <v>Azure</v>
      </c>
      <c r="B344" s="209" t="str">
        <f>VLOOKUP($H344,Azure!$A:$H,3,0)</f>
        <v>KRAFTON HQ</v>
      </c>
      <c r="C344" s="209" t="str">
        <f>VLOOKUP($H344,Azure!$A:$H,4,0)</f>
        <v>KRAFTON HQ</v>
      </c>
      <c r="D344" s="209" t="str">
        <f>VLOOKUP($H344,Azure!$A:$H,5,0)</f>
        <v>Data Engineering Dept.</v>
      </c>
      <c r="E344" s="209" t="str">
        <f>VLOOKUP($H344,Azure!$A:$H,6,0)</f>
        <v>OVERHEAD/OTHERS</v>
      </c>
      <c r="F344" s="202">
        <f>VLOOKUP(표9[[#This Row],[Team]],표1[[내역]:[코스트 센터]],2,0)</f>
        <v>100212</v>
      </c>
      <c r="G344" s="202" t="str">
        <f>VLOOKUP(표9[[#This Row],[Project]],표2[],2,0)</f>
        <v>I100099999</v>
      </c>
      <c r="H344" s="209" t="s">
        <v>343</v>
      </c>
      <c r="I344" s="209" t="str">
        <f>VLOOKUP($H344,Azure!$A:$H,7,0)</f>
        <v>염화음</v>
      </c>
      <c r="J344" s="209" t="str">
        <f>VLOOKUP($H344,Azure!$A:$H,8,0)</f>
        <v>김시훈</v>
      </c>
      <c r="K344" s="186" t="s">
        <v>29</v>
      </c>
      <c r="L344" s="210">
        <v>65443626</v>
      </c>
      <c r="M344" s="211">
        <v>83196799</v>
      </c>
      <c r="N344" s="212">
        <v>88226201</v>
      </c>
      <c r="O344" s="212">
        <v>97461072</v>
      </c>
      <c r="P344" s="212">
        <v>91968279</v>
      </c>
      <c r="Q344" s="212">
        <v>99677091.6752</v>
      </c>
      <c r="R344" s="212">
        <v>119954546</v>
      </c>
      <c r="S344" s="212">
        <v>123162553</v>
      </c>
      <c r="T344" s="212">
        <v>104060185</v>
      </c>
      <c r="U344" s="212">
        <v>119579697</v>
      </c>
      <c r="V344" s="205">
        <v>116618711</v>
      </c>
      <c r="W344" s="205">
        <f>ROUND(표9[[#This Row],[Apr 2026 (USD or KRW)]],0)</f>
        <v>0</v>
      </c>
      <c r="X344" s="224"/>
      <c r="Y344" s="206">
        <f>표9[[#This Row],[Apr 2027(KRW)]]-표9[[#This Row],[Mar 2026(KRW)]]</f>
        <v>-116618711</v>
      </c>
      <c r="Z344" s="213">
        <f t="shared" si="5"/>
        <v>-1</v>
      </c>
      <c r="AA344" s="208">
        <f>VLOOKUP(표9[[#This Row],[Team]],표1[],3,0)</f>
        <v>1000</v>
      </c>
    </row>
    <row r="345" spans="1:27" ht="15">
      <c r="A345" s="209" t="str">
        <f>VLOOKUP($H345,Azure!$A:$H,2,0)</f>
        <v>Azure</v>
      </c>
      <c r="B345" s="209" t="s">
        <v>321</v>
      </c>
      <c r="C345" s="209" t="s">
        <v>321</v>
      </c>
      <c r="D345" s="209" t="str">
        <f>VLOOKUP($H345,Azure!$A:$H,5,0)</f>
        <v>Data Engineering Dept.</v>
      </c>
      <c r="E345" s="209" t="str">
        <f>VLOOKUP($H345,Azure!$A:$H,6,0)</f>
        <v>OVERHEAD/OTHERS</v>
      </c>
      <c r="F345" s="202">
        <f>VLOOKUP(표9[[#This Row],[Team]],표1[[내역]:[코스트 센터]],2,0)</f>
        <v>100212</v>
      </c>
      <c r="G345" s="202" t="str">
        <f>VLOOKUP(표9[[#This Row],[Project]],표2[],2,0)</f>
        <v>I100099999</v>
      </c>
      <c r="H345" s="209" t="s">
        <v>343</v>
      </c>
      <c r="I345" s="209" t="str">
        <f>VLOOKUP($H345,Azure!$A:$H,7,0)</f>
        <v>염화음</v>
      </c>
      <c r="J345" s="209" t="str">
        <f>VLOOKUP($H345,Azure!$A:$H,8,0)</f>
        <v>김시훈</v>
      </c>
      <c r="K345" s="186" t="s">
        <v>29</v>
      </c>
      <c r="L345" s="210">
        <v>107284632</v>
      </c>
      <c r="M345" s="211">
        <v>136388195</v>
      </c>
      <c r="N345" s="212">
        <v>144633116</v>
      </c>
      <c r="O345" s="212">
        <v>159772249</v>
      </c>
      <c r="P345" s="212">
        <v>150767671</v>
      </c>
      <c r="Q345" s="212">
        <v>157120258</v>
      </c>
      <c r="R345" s="212">
        <v>189083458</v>
      </c>
      <c r="S345" s="212">
        <v>194140226</v>
      </c>
      <c r="T345" s="212">
        <v>164029296</v>
      </c>
      <c r="U345" s="212">
        <v>188492587</v>
      </c>
      <c r="V345" s="205">
        <v>183825207</v>
      </c>
      <c r="W345" s="205">
        <f>ROUND(표9[[#This Row],[Apr 2026 (USD or KRW)]],0)</f>
        <v>0</v>
      </c>
      <c r="X345" s="212"/>
      <c r="Y345" s="206">
        <f>표9[[#This Row],[Apr 2027(KRW)]]-표9[[#This Row],[Mar 2026(KRW)]]</f>
        <v>-183825207</v>
      </c>
      <c r="Z345" s="213">
        <f t="shared" si="5"/>
        <v>-1</v>
      </c>
      <c r="AA345" s="208">
        <f>VLOOKUP(표9[[#This Row],[Team]],표1[],3,0)</f>
        <v>1000</v>
      </c>
    </row>
    <row r="346" spans="1:27" ht="15">
      <c r="A346" s="209" t="str">
        <f>VLOOKUP($H346,Azure!$A:$H,2,0)</f>
        <v>Azure</v>
      </c>
      <c r="B346" s="209" t="str">
        <f>VLOOKUP($H346,Azure!$A:$H,3,0)</f>
        <v>KRAFTON HQ</v>
      </c>
      <c r="C346" s="209" t="str">
        <f>VLOOKUP($H346,Azure!$A:$H,4,0)</f>
        <v>KRAFTON HQ</v>
      </c>
      <c r="D346" s="209" t="str">
        <f>VLOOKUP($H346,Azure!$A:$H,5,0)</f>
        <v>DevData Engineering Team</v>
      </c>
      <c r="E346" s="209" t="str">
        <f>VLOOKUP($H346,Azure!$A:$H,6,0)</f>
        <v>OVERHEAD/OTHERS</v>
      </c>
      <c r="F346" s="202">
        <f>VLOOKUP(표9[[#This Row],[Team]],표1[[내역]:[코스트 센터]],2,0)</f>
        <v>101721</v>
      </c>
      <c r="G346" s="202" t="str">
        <f>VLOOKUP(표9[[#This Row],[Project]],표2[],2,0)</f>
        <v>I100099999</v>
      </c>
      <c r="H346" s="209" t="s">
        <v>344</v>
      </c>
      <c r="I346" s="209" t="str">
        <f>VLOOKUP($H346,Azure!$A:$H,7,0)</f>
        <v>이동준</v>
      </c>
      <c r="J346" s="209" t="str">
        <f>VLOOKUP($H346,Azure!$A:$H,8,0)</f>
        <v>이동준</v>
      </c>
      <c r="K346" s="186" t="s">
        <v>29</v>
      </c>
      <c r="L346" s="210">
        <v>91530</v>
      </c>
      <c r="M346" s="211">
        <v>96451</v>
      </c>
      <c r="N346" s="212">
        <v>96546</v>
      </c>
      <c r="O346" s="212">
        <v>93628</v>
      </c>
      <c r="P346" s="212">
        <v>90750</v>
      </c>
      <c r="Q346" s="212">
        <v>1221306.2784</v>
      </c>
      <c r="R346" s="212">
        <v>1179310</v>
      </c>
      <c r="S346" s="212">
        <v>115770</v>
      </c>
      <c r="T346" s="212">
        <v>119820</v>
      </c>
      <c r="U346" s="212">
        <v>108288</v>
      </c>
      <c r="V346" s="205">
        <v>116597</v>
      </c>
      <c r="W346" s="205">
        <f>ROUND(표9[[#This Row],[Apr 2026 (USD or KRW)]],0)</f>
        <v>0</v>
      </c>
      <c r="X346" s="224"/>
      <c r="Y346" s="206">
        <f>표9[[#This Row],[Apr 2027(KRW)]]-표9[[#This Row],[Mar 2026(KRW)]]</f>
        <v>-116597</v>
      </c>
      <c r="Z346" s="213">
        <f t="shared" si="5"/>
        <v>-1</v>
      </c>
      <c r="AA346" s="208">
        <f>VLOOKUP(표9[[#This Row],[Team]],표1[],3,0)</f>
        <v>1000</v>
      </c>
    </row>
    <row r="347" spans="1:27" ht="15">
      <c r="A347" s="209" t="str">
        <f>VLOOKUP($H347,Azure!$A:$H,2,0)</f>
        <v>Azure</v>
      </c>
      <c r="B347" s="209" t="s">
        <v>321</v>
      </c>
      <c r="C347" s="209" t="s">
        <v>321</v>
      </c>
      <c r="D347" s="209" t="str">
        <f>VLOOKUP($H347,Azure!$A:$H,5,0)</f>
        <v>DevData Engineering Team</v>
      </c>
      <c r="E347" s="209" t="str">
        <f>VLOOKUP($H347,Azure!$A:$H,6,0)</f>
        <v>OVERHEAD/OTHERS</v>
      </c>
      <c r="F347" s="202">
        <f>VLOOKUP(표9[[#This Row],[Team]],표1[[내역]:[코스트 센터]],2,0)</f>
        <v>101721</v>
      </c>
      <c r="G347" s="202" t="str">
        <f>VLOOKUP(표9[[#This Row],[Project]],표2[],2,0)</f>
        <v>I100099999</v>
      </c>
      <c r="H347" s="209" t="s">
        <v>344</v>
      </c>
      <c r="I347" s="209" t="str">
        <f>VLOOKUP($H347,Azure!$A:$H,7,0)</f>
        <v>이동준</v>
      </c>
      <c r="J347" s="209" t="str">
        <f>VLOOKUP($H347,Azure!$A:$H,8,0)</f>
        <v>이동준</v>
      </c>
      <c r="K347" s="186"/>
      <c r="L347" s="210">
        <v>150049</v>
      </c>
      <c r="M347" s="211">
        <v>158117</v>
      </c>
      <c r="N347" s="212">
        <v>158272</v>
      </c>
      <c r="O347" s="212">
        <v>153489</v>
      </c>
      <c r="P347" s="212">
        <v>148770</v>
      </c>
      <c r="Q347" s="212">
        <v>1925136</v>
      </c>
      <c r="R347" s="212">
        <v>1858938</v>
      </c>
      <c r="S347" s="212">
        <v>182487</v>
      </c>
      <c r="T347" s="212">
        <v>188871</v>
      </c>
      <c r="U347" s="212">
        <v>170693</v>
      </c>
      <c r="V347" s="205">
        <v>183791</v>
      </c>
      <c r="W347" s="205">
        <f>ROUND(표9[[#This Row],[Apr 2026 (USD or KRW)]],0)</f>
        <v>0</v>
      </c>
      <c r="X347" s="212"/>
      <c r="Y347" s="206">
        <f>표9[[#This Row],[Apr 2027(KRW)]]-표9[[#This Row],[Mar 2026(KRW)]]</f>
        <v>-183791</v>
      </c>
      <c r="Z347" s="213">
        <f t="shared" si="5"/>
        <v>-1</v>
      </c>
      <c r="AA347" s="208">
        <f>VLOOKUP(표9[[#This Row],[Team]],표1[],3,0)</f>
        <v>1000</v>
      </c>
    </row>
    <row r="348" spans="1:27" ht="15">
      <c r="A348" s="209" t="str">
        <f>VLOOKUP($H348,Azure!$A:$H,2,0)</f>
        <v>Azure</v>
      </c>
      <c r="B348" s="209" t="str">
        <f>VLOOKUP($H348,Azure!$A:$H,3,0)</f>
        <v>KRAFTON HQ</v>
      </c>
      <c r="C348" s="209" t="str">
        <f>VLOOKUP($H348,Azure!$A:$H,4,0)</f>
        <v>KRAFTON HQ</v>
      </c>
      <c r="D348" s="209" t="str">
        <f>VLOOKUP($H348,Azure!$A:$H,5,0)</f>
        <v>DevData Engineering Team</v>
      </c>
      <c r="E348" s="209" t="str">
        <f>VLOOKUP($H348,Azure!$A:$H,6,0)</f>
        <v>OVERHEAD/OTHERS</v>
      </c>
      <c r="F348" s="202">
        <f>VLOOKUP(표9[[#This Row],[Team]],표1[[내역]:[코스트 센터]],2,0)</f>
        <v>101721</v>
      </c>
      <c r="G348" s="202" t="str">
        <f>VLOOKUP(표9[[#This Row],[Project]],표2[],2,0)</f>
        <v>I100099999</v>
      </c>
      <c r="H348" s="209" t="s">
        <v>345</v>
      </c>
      <c r="I348" s="209" t="str">
        <f>VLOOKUP($H348,Azure!$A:$H,7,0)</f>
        <v>김도현</v>
      </c>
      <c r="J348" s="209" t="str">
        <f>VLOOKUP($H348,Azure!$A:$H,8,0)</f>
        <v>김도현</v>
      </c>
      <c r="K348" s="186"/>
      <c r="L348" s="210">
        <v>323937</v>
      </c>
      <c r="M348" s="211">
        <v>389658</v>
      </c>
      <c r="N348" s="212">
        <v>595835</v>
      </c>
      <c r="O348" s="212">
        <v>856721</v>
      </c>
      <c r="P348" s="212">
        <v>923465</v>
      </c>
      <c r="Q348" s="212">
        <v>1165130.7927999999</v>
      </c>
      <c r="R348" s="212">
        <v>2104265</v>
      </c>
      <c r="S348" s="212">
        <v>2179241</v>
      </c>
      <c r="T348" s="212">
        <v>1280283</v>
      </c>
      <c r="U348" s="212">
        <v>2126445</v>
      </c>
      <c r="V348" s="205">
        <v>9181045</v>
      </c>
      <c r="W348" s="205">
        <f>ROUND(표9[[#This Row],[Apr 2026 (USD or KRW)]],0)</f>
        <v>0</v>
      </c>
      <c r="X348" s="224"/>
      <c r="Y348" s="206">
        <f>표9[[#This Row],[Apr 2027(KRW)]]-표9[[#This Row],[Mar 2026(KRW)]]</f>
        <v>-9181045</v>
      </c>
      <c r="Z348" s="213">
        <f t="shared" si="5"/>
        <v>-1</v>
      </c>
      <c r="AA348" s="208">
        <f>VLOOKUP(표9[[#This Row],[Team]],표1[],3,0)</f>
        <v>1000</v>
      </c>
    </row>
    <row r="349" spans="1:27" ht="15">
      <c r="A349" s="209" t="str">
        <f>VLOOKUP($H349,Azure!$A:$H,2,0)</f>
        <v>Azure</v>
      </c>
      <c r="B349" s="209" t="s">
        <v>321</v>
      </c>
      <c r="C349" s="209" t="s">
        <v>321</v>
      </c>
      <c r="D349" s="209" t="str">
        <f>VLOOKUP($H349,Azure!$A:$H,5,0)</f>
        <v>DevData Engineering Team</v>
      </c>
      <c r="E349" s="209" t="str">
        <f>VLOOKUP($H349,Azure!$A:$H,6,0)</f>
        <v>OVERHEAD/OTHERS</v>
      </c>
      <c r="F349" s="202">
        <f>VLOOKUP(표9[[#This Row],[Team]],표1[[내역]:[코스트 센터]],2,0)</f>
        <v>101721</v>
      </c>
      <c r="G349" s="202" t="str">
        <f>VLOOKUP(표9[[#This Row],[Project]],표2[],2,0)</f>
        <v>I100099999</v>
      </c>
      <c r="H349" s="209" t="s">
        <v>345</v>
      </c>
      <c r="I349" s="209" t="str">
        <f>VLOOKUP($H349,Azure!$A:$H,7,0)</f>
        <v>김도현</v>
      </c>
      <c r="J349" s="209" t="str">
        <f>VLOOKUP($H349,Azure!$A:$H,8,0)</f>
        <v>김도현</v>
      </c>
      <c r="K349" s="186"/>
      <c r="L349" s="210">
        <v>531044</v>
      </c>
      <c r="M349" s="211">
        <v>638783</v>
      </c>
      <c r="N349" s="212">
        <v>976778</v>
      </c>
      <c r="O349" s="212">
        <v>1404460</v>
      </c>
      <c r="P349" s="212">
        <v>1513877</v>
      </c>
      <c r="Q349" s="212">
        <v>1836587</v>
      </c>
      <c r="R349" s="212">
        <v>3316937</v>
      </c>
      <c r="S349" s="212">
        <v>3435122</v>
      </c>
      <c r="T349" s="212">
        <v>2018100</v>
      </c>
      <c r="U349" s="212">
        <v>3351899</v>
      </c>
      <c r="V349" s="205">
        <v>14472013</v>
      </c>
      <c r="W349" s="205">
        <f>ROUND(표9[[#This Row],[Apr 2026 (USD or KRW)]],0)</f>
        <v>0</v>
      </c>
      <c r="X349" s="212"/>
      <c r="Y349" s="206">
        <f>표9[[#This Row],[Apr 2027(KRW)]]-표9[[#This Row],[Mar 2026(KRW)]]</f>
        <v>-14472013</v>
      </c>
      <c r="Z349" s="213">
        <f t="shared" si="5"/>
        <v>-1</v>
      </c>
      <c r="AA349" s="208">
        <f>VLOOKUP(표9[[#This Row],[Team]],표1[],3,0)</f>
        <v>1000</v>
      </c>
    </row>
    <row r="350" spans="1:27" ht="15">
      <c r="A350" s="209" t="str">
        <f>VLOOKUP($H350,Azure!$A:$H,2,0)</f>
        <v>Azure</v>
      </c>
      <c r="B350" s="209" t="str">
        <f>VLOOKUP($H350,Azure!$A:$H,3,0)</f>
        <v>KRAFTON HQ</v>
      </c>
      <c r="C350" s="209" t="str">
        <f>VLOOKUP($H350,Azure!$A:$H,4,0)</f>
        <v>KRAFTON HQ</v>
      </c>
      <c r="D350" s="209" t="str">
        <f>VLOOKUP($H350,Azure!$A:$H,5,0)</f>
        <v>Data Engineering Dept.</v>
      </c>
      <c r="E350" s="209" t="str">
        <f>VLOOKUP($H350,Azure!$A:$H,6,0)</f>
        <v>OVERHEAD/OTHERS</v>
      </c>
      <c r="F350" s="202">
        <f>VLOOKUP(표9[[#This Row],[Team]],표1[[내역]:[코스트 센터]],2,0)</f>
        <v>100212</v>
      </c>
      <c r="G350" s="202" t="str">
        <f>VLOOKUP(표9[[#This Row],[Project]],표2[],2,0)</f>
        <v>I100099999</v>
      </c>
      <c r="H350" s="209" t="s">
        <v>346</v>
      </c>
      <c r="I350" s="209" t="str">
        <f>VLOOKUP($H350,Azure!$A:$H,7,0)</f>
        <v>염화음</v>
      </c>
      <c r="J350" s="209" t="str">
        <f>VLOOKUP($H350,Azure!$A:$H,8,0)</f>
        <v>문중현</v>
      </c>
      <c r="K350" s="186"/>
      <c r="L350" s="210">
        <v>7475391</v>
      </c>
      <c r="M350" s="211">
        <v>14338676</v>
      </c>
      <c r="N350" s="212">
        <v>497669</v>
      </c>
      <c r="O350" s="212">
        <v>567236</v>
      </c>
      <c r="P350" s="212">
        <v>2818292</v>
      </c>
      <c r="Q350" s="212">
        <v>1435164.4216</v>
      </c>
      <c r="R350" s="212">
        <v>1555487</v>
      </c>
      <c r="S350" s="212">
        <v>5437463</v>
      </c>
      <c r="T350" s="212">
        <v>4623765</v>
      </c>
      <c r="U350" s="212">
        <v>4114446</v>
      </c>
      <c r="V350" s="205">
        <v>6756194</v>
      </c>
      <c r="W350" s="205">
        <f>ROUND(표9[[#This Row],[Apr 2026 (USD or KRW)]],0)</f>
        <v>0</v>
      </c>
      <c r="X350" s="224"/>
      <c r="Y350" s="206">
        <f>표9[[#This Row],[Apr 2027(KRW)]]-표9[[#This Row],[Mar 2026(KRW)]]</f>
        <v>-6756194</v>
      </c>
      <c r="Z350" s="213">
        <f t="shared" si="5"/>
        <v>-1</v>
      </c>
      <c r="AA350" s="208">
        <f>VLOOKUP(표9[[#This Row],[Team]],표1[],3,0)</f>
        <v>1000</v>
      </c>
    </row>
    <row r="351" spans="1:27" ht="15">
      <c r="A351" s="209" t="str">
        <f>VLOOKUP($H351,Azure!$A:$H,2,0)</f>
        <v>Azure</v>
      </c>
      <c r="B351" s="209" t="s">
        <v>321</v>
      </c>
      <c r="C351" s="209" t="s">
        <v>321</v>
      </c>
      <c r="D351" s="209" t="str">
        <f>VLOOKUP($H351,Azure!$A:$H,5,0)</f>
        <v>Data Engineering Dept.</v>
      </c>
      <c r="E351" s="209" t="str">
        <f>VLOOKUP($H351,Azure!$A:$H,6,0)</f>
        <v>OVERHEAD/OTHERS</v>
      </c>
      <c r="F351" s="202">
        <f>VLOOKUP(표9[[#This Row],[Team]],표1[[내역]:[코스트 센터]],2,0)</f>
        <v>100212</v>
      </c>
      <c r="G351" s="202" t="str">
        <f>VLOOKUP(표9[[#This Row],[Project]],표2[],2,0)</f>
        <v>I100099999</v>
      </c>
      <c r="H351" s="209" t="s">
        <v>347</v>
      </c>
      <c r="I351" s="209" t="str">
        <f>VLOOKUP($H351,Azure!$A:$H,7,0)</f>
        <v>염화음</v>
      </c>
      <c r="J351" s="209" t="str">
        <f>VLOOKUP($H351,Azure!$A:$H,8,0)</f>
        <v>문중현</v>
      </c>
      <c r="K351" s="186"/>
      <c r="L351" s="210">
        <v>12254739</v>
      </c>
      <c r="M351" s="211">
        <v>23506026</v>
      </c>
      <c r="N351" s="212">
        <v>815850</v>
      </c>
      <c r="O351" s="212">
        <v>929895</v>
      </c>
      <c r="P351" s="212">
        <v>4620150</v>
      </c>
      <c r="Q351" s="212">
        <v>2262239</v>
      </c>
      <c r="R351" s="212">
        <v>2451903</v>
      </c>
      <c r="S351" s="212">
        <v>8571032</v>
      </c>
      <c r="T351" s="212">
        <v>7288407</v>
      </c>
      <c r="U351" s="212">
        <v>6485571</v>
      </c>
      <c r="V351" s="205">
        <v>10649738</v>
      </c>
      <c r="W351" s="205">
        <f>ROUND(표9[[#This Row],[Apr 2026 (USD or KRW)]],0)</f>
        <v>0</v>
      </c>
      <c r="X351" s="212"/>
      <c r="Y351" s="206">
        <f>표9[[#This Row],[Apr 2027(KRW)]]-표9[[#This Row],[Mar 2026(KRW)]]</f>
        <v>-10649738</v>
      </c>
      <c r="Z351" s="213">
        <f t="shared" si="5"/>
        <v>-1</v>
      </c>
      <c r="AA351" s="208">
        <f>VLOOKUP(표9[[#This Row],[Team]],표1[],3,0)</f>
        <v>1000</v>
      </c>
    </row>
    <row r="352" spans="1:27" ht="15">
      <c r="A352" s="209" t="str">
        <f>VLOOKUP($H352,Azure!$A:$H,2,0)</f>
        <v>Azure</v>
      </c>
      <c r="B352" s="209" t="str">
        <f>VLOOKUP($H352,Azure!$A:$H,3,0)</f>
        <v>KRAFTON HQ</v>
      </c>
      <c r="C352" s="209" t="str">
        <f>VLOOKUP($H352,Azure!$A:$H,4,0)</f>
        <v>KRAFTON HQ</v>
      </c>
      <c r="D352" s="209" t="str">
        <f>VLOOKUP($H352,Azure!$A:$H,5,0)</f>
        <v>Data Engineering Dept.</v>
      </c>
      <c r="E352" s="209" t="str">
        <f>VLOOKUP($H352,Azure!$A:$H,6,0)</f>
        <v>(2022)BATTLEGROUNDS_MOBILE_IN</v>
      </c>
      <c r="F352" s="202">
        <f>VLOOKUP(표9[[#This Row],[Team]],표1[[내역]:[코스트 센터]],2,0)</f>
        <v>100212</v>
      </c>
      <c r="G352" s="202" t="str">
        <f>VLOOKUP(표9[[#This Row],[Project]],표2[],2,0)</f>
        <v>P100130012</v>
      </c>
      <c r="H352" s="209" t="s">
        <v>348</v>
      </c>
      <c r="I352" s="209" t="str">
        <f>VLOOKUP($H352,Azure!$A:$H,7,0)</f>
        <v>염화음</v>
      </c>
      <c r="J352" s="209" t="str">
        <f>VLOOKUP($H352,Azure!$A:$H,8,0)</f>
        <v>김시훈</v>
      </c>
      <c r="K352" s="186" t="s">
        <v>29</v>
      </c>
      <c r="L352" s="210">
        <v>41084654</v>
      </c>
      <c r="M352" s="211">
        <v>34897936</v>
      </c>
      <c r="N352" s="212">
        <v>30461387</v>
      </c>
      <c r="O352" s="212">
        <v>40749550</v>
      </c>
      <c r="P352" s="212">
        <v>82303641</v>
      </c>
      <c r="Q352" s="212">
        <v>84995686.9736</v>
      </c>
      <c r="R352" s="212">
        <v>105864456</v>
      </c>
      <c r="S352" s="212">
        <v>110659586</v>
      </c>
      <c r="T352" s="212">
        <v>108055470</v>
      </c>
      <c r="U352" s="212">
        <v>101452552</v>
      </c>
      <c r="V352" s="205">
        <v>161713966</v>
      </c>
      <c r="W352" s="205">
        <f>ROUND(표9[[#This Row],[Apr 2026 (USD or KRW)]],0)</f>
        <v>0</v>
      </c>
      <c r="X352" s="224"/>
      <c r="Y352" s="206">
        <f>표9[[#This Row],[Apr 2027(KRW)]]-표9[[#This Row],[Mar 2026(KRW)]]</f>
        <v>-161713966</v>
      </c>
      <c r="Z352" s="213">
        <f t="shared" si="5"/>
        <v>-1</v>
      </c>
      <c r="AA352" s="208">
        <f>VLOOKUP(표9[[#This Row],[Team]],표1[],3,0)</f>
        <v>1000</v>
      </c>
    </row>
    <row r="353" spans="1:27" ht="15">
      <c r="A353" s="209" t="str">
        <f>VLOOKUP($H353,Azure!$A:$H,2,0)</f>
        <v>Azure</v>
      </c>
      <c r="B353" s="209" t="s">
        <v>321</v>
      </c>
      <c r="C353" s="209" t="s">
        <v>321</v>
      </c>
      <c r="D353" s="209" t="str">
        <f>VLOOKUP($H353,Azure!$A:$H,5,0)</f>
        <v>Data Engineering Dept.</v>
      </c>
      <c r="E353" s="209" t="str">
        <f>VLOOKUP($H353,Azure!$A:$H,6,0)</f>
        <v>(2022)BATTLEGROUNDS_MOBILE_IN</v>
      </c>
      <c r="F353" s="202">
        <f>VLOOKUP(표9[[#This Row],[Team]],표1[[내역]:[코스트 센터]],2,0)</f>
        <v>100212</v>
      </c>
      <c r="G353" s="202" t="str">
        <f>VLOOKUP(표9[[#This Row],[Project]],표2[],2,0)</f>
        <v>P100130012</v>
      </c>
      <c r="H353" s="209" t="s">
        <v>349</v>
      </c>
      <c r="I353" s="209" t="str">
        <f>VLOOKUP($H353,Azure!$A:$H,7,0)</f>
        <v>염화음</v>
      </c>
      <c r="J353" s="209" t="str">
        <f>VLOOKUP($H353,Azure!$A:$H,8,0)</f>
        <v>김시훈</v>
      </c>
      <c r="K353" s="186" t="s">
        <v>29</v>
      </c>
      <c r="L353" s="210">
        <v>67351891</v>
      </c>
      <c r="M353" s="211">
        <v>57209731</v>
      </c>
      <c r="N353" s="212">
        <v>49936700</v>
      </c>
      <c r="O353" s="212">
        <v>66802541</v>
      </c>
      <c r="P353" s="212">
        <v>134924001</v>
      </c>
      <c r="Q353" s="212">
        <v>133978069</v>
      </c>
      <c r="R353" s="212">
        <v>166873355</v>
      </c>
      <c r="S353" s="212">
        <v>174484781</v>
      </c>
      <c r="T353" s="212">
        <v>170327034</v>
      </c>
      <c r="U353" s="212">
        <v>159918903</v>
      </c>
      <c r="V353" s="205">
        <v>254908521</v>
      </c>
      <c r="W353" s="205">
        <f>ROUND(표9[[#This Row],[Apr 2026 (USD or KRW)]],0)</f>
        <v>0</v>
      </c>
      <c r="X353" s="212"/>
      <c r="Y353" s="206">
        <f>표9[[#This Row],[Apr 2027(KRW)]]-표9[[#This Row],[Mar 2026(KRW)]]</f>
        <v>-254908521</v>
      </c>
      <c r="Z353" s="213">
        <f t="shared" si="5"/>
        <v>-1</v>
      </c>
      <c r="AA353" s="208">
        <f>VLOOKUP(표9[[#This Row],[Team]],표1[],3,0)</f>
        <v>1000</v>
      </c>
    </row>
    <row r="354" spans="1:27" ht="15">
      <c r="A354" s="209" t="str">
        <f>VLOOKUP($H354,Azure!$A:$H,2,0)</f>
        <v>Azure</v>
      </c>
      <c r="B354" s="209" t="str">
        <f>VLOOKUP($H354,Azure!$A:$H,3,0)</f>
        <v>KRAFTON HQ</v>
      </c>
      <c r="C354" s="209" t="str">
        <f>VLOOKUP($H354,Azure!$A:$H,4,0)</f>
        <v>KRAFTON HQ</v>
      </c>
      <c r="D354" s="209" t="str">
        <f>VLOOKUP($H354,Azure!$A:$H,5,0)</f>
        <v>Live Service Support Dept.</v>
      </c>
      <c r="E354" s="209" t="str">
        <f>VLOOKUP($H354,Azure!$A:$H,6,0)</f>
        <v>inZOI</v>
      </c>
      <c r="F354" s="202">
        <f>VLOOKUP(표9[[#This Row],[Team]],표1[[내역]:[코스트 센터]],2,0)</f>
        <v>101537</v>
      </c>
      <c r="G354" s="202" t="str">
        <f>VLOOKUP(표9[[#This Row],[Project]],표2[],2,0)</f>
        <v>P100010055</v>
      </c>
      <c r="H354" s="209" t="s">
        <v>350</v>
      </c>
      <c r="I354" s="209" t="str">
        <f>VLOOKUP($H354,Azure!$A:$H,7,0)</f>
        <v>임형진</v>
      </c>
      <c r="J354" s="209" t="str">
        <f>VLOOKUP($H354,Azure!$A:$H,8,0)</f>
        <v>임형진</v>
      </c>
      <c r="K354" s="186"/>
      <c r="L354" s="210">
        <v>184</v>
      </c>
      <c r="M354" s="211">
        <v>99</v>
      </c>
      <c r="N354" s="212">
        <v>0</v>
      </c>
      <c r="O354" s="212">
        <v>159</v>
      </c>
      <c r="P354" s="212">
        <v>85</v>
      </c>
      <c r="Q354" s="212">
        <v>19.032</v>
      </c>
      <c r="R354" s="212">
        <v>27</v>
      </c>
      <c r="S354" s="212">
        <v>29</v>
      </c>
      <c r="T354" s="212">
        <v>65</v>
      </c>
      <c r="U354" s="212">
        <v>0</v>
      </c>
      <c r="V354" s="205">
        <v>0</v>
      </c>
      <c r="W354" s="205">
        <f>ROUND(표9[[#This Row],[Apr 2026 (USD or KRW)]],0)</f>
        <v>0</v>
      </c>
      <c r="X354" s="224"/>
      <c r="Y354" s="206">
        <f>표9[[#This Row],[Apr 2027(KRW)]]-표9[[#This Row],[Mar 2026(KRW)]]</f>
        <v>0</v>
      </c>
      <c r="Z354" s="213" t="str">
        <f t="shared" si="5"/>
        <v/>
      </c>
      <c r="AA354" s="208">
        <f>VLOOKUP(표9[[#This Row],[Team]],표1[],3,0)</f>
        <v>1000</v>
      </c>
    </row>
    <row r="355" spans="1:27" ht="15">
      <c r="A355" s="209" t="str">
        <f>VLOOKUP($H355,Azure!$A:$H,2,0)</f>
        <v>Azure</v>
      </c>
      <c r="B355" s="209" t="s">
        <v>321</v>
      </c>
      <c r="C355" s="209" t="s">
        <v>321</v>
      </c>
      <c r="D355" s="209" t="str">
        <f>VLOOKUP($H355,Azure!$A:$H,5,0)</f>
        <v>Live Service Support Dept.</v>
      </c>
      <c r="E355" s="209" t="str">
        <f>VLOOKUP($H355,Azure!$A:$H,6,0)</f>
        <v>inZOI</v>
      </c>
      <c r="F355" s="202">
        <f>VLOOKUP(표9[[#This Row],[Team]],표1[[내역]:[코스트 센터]],2,0)</f>
        <v>101537</v>
      </c>
      <c r="G355" s="202" t="str">
        <f>VLOOKUP(표9[[#This Row],[Project]],표2[],2,0)</f>
        <v>P100010055</v>
      </c>
      <c r="H355" s="209" t="s">
        <v>351</v>
      </c>
      <c r="I355" s="209" t="str">
        <f>VLOOKUP($H355,Azure!$A:$H,7,0)</f>
        <v>임형진</v>
      </c>
      <c r="J355" s="209" t="str">
        <f>VLOOKUP($H355,Azure!$A:$H,8,0)</f>
        <v>임형진</v>
      </c>
      <c r="K355" s="186"/>
      <c r="L355" s="210">
        <v>302</v>
      </c>
      <c r="M355" s="211">
        <v>163</v>
      </c>
      <c r="N355" s="212">
        <v>0</v>
      </c>
      <c r="O355" s="212">
        <v>261</v>
      </c>
      <c r="P355" s="212">
        <v>139</v>
      </c>
      <c r="Q355" s="212">
        <v>30</v>
      </c>
      <c r="R355" s="212">
        <v>43</v>
      </c>
      <c r="S355" s="212">
        <v>46</v>
      </c>
      <c r="T355" s="212">
        <v>103</v>
      </c>
      <c r="U355" s="212">
        <v>0</v>
      </c>
      <c r="V355" s="205">
        <v>0</v>
      </c>
      <c r="W355" s="205">
        <f>ROUND(표9[[#This Row],[Apr 2026 (USD or KRW)]],0)</f>
        <v>0</v>
      </c>
      <c r="X355" s="212"/>
      <c r="Y355" s="206">
        <f>표9[[#This Row],[Apr 2027(KRW)]]-표9[[#This Row],[Mar 2026(KRW)]]</f>
        <v>0</v>
      </c>
      <c r="Z355" s="213" t="str">
        <f t="shared" si="5"/>
        <v/>
      </c>
      <c r="AA355" s="208">
        <f>VLOOKUP(표9[[#This Row],[Team]],표1[],3,0)</f>
        <v>1000</v>
      </c>
    </row>
    <row r="356" spans="1:27" ht="15">
      <c r="A356" s="209" t="str">
        <f>VLOOKUP($H356,Azure!$A:$H,2,0)</f>
        <v>Azure</v>
      </c>
      <c r="B356" s="209" t="str">
        <f>VLOOKUP($H356,Azure!$A:$H,3,0)</f>
        <v>KRAFTON HQ</v>
      </c>
      <c r="C356" s="209" t="str">
        <f>VLOOKUP($H356,Azure!$A:$H,4,0)</f>
        <v>KRAFTON HQ</v>
      </c>
      <c r="D356" s="209" t="str">
        <f>VLOOKUP($H356,Azure!$A:$H,5,0)</f>
        <v>GPD1 Publishing Coordination Team</v>
      </c>
      <c r="E356" s="209" t="str">
        <f>VLOOKUP($H356,Azure!$A:$H,6,0)</f>
        <v>inZOI</v>
      </c>
      <c r="F356" s="202">
        <f>VLOOKUP(표9[[#This Row],[Team]],표1[[내역]:[코스트 센터]],2,0)</f>
        <v>105011</v>
      </c>
      <c r="G356" s="202" t="str">
        <f>VLOOKUP(표9[[#This Row],[Project]],표2[],2,0)</f>
        <v>P100010055</v>
      </c>
      <c r="H356" s="209" t="s">
        <v>352</v>
      </c>
      <c r="I356" s="209" t="str">
        <f>VLOOKUP($H356,Azure!$A:$H,7,0)</f>
        <v>임형진</v>
      </c>
      <c r="J356" s="209" t="str">
        <f>VLOOKUP($H356,Azure!$A:$H,8,0)</f>
        <v>국용상</v>
      </c>
      <c r="K356" s="186"/>
      <c r="L356" s="210">
        <v>128546</v>
      </c>
      <c r="M356" s="211">
        <v>72109</v>
      </c>
      <c r="N356" s="212">
        <v>47250</v>
      </c>
      <c r="O356" s="212">
        <v>113201</v>
      </c>
      <c r="P356" s="212">
        <v>329653</v>
      </c>
      <c r="Q356" s="212">
        <v>33605.436800000003</v>
      </c>
      <c r="R356" s="212">
        <v>0</v>
      </c>
      <c r="S356" s="212">
        <v>0</v>
      </c>
      <c r="T356" s="212">
        <v>0</v>
      </c>
      <c r="U356" s="212">
        <v>40905</v>
      </c>
      <c r="V356" s="205">
        <v>62216</v>
      </c>
      <c r="W356" s="205">
        <f>ROUND(표9[[#This Row],[Apr 2026 (USD or KRW)]],0)</f>
        <v>0</v>
      </c>
      <c r="X356" s="224"/>
      <c r="Y356" s="206">
        <f>표9[[#This Row],[Apr 2027(KRW)]]-표9[[#This Row],[Mar 2026(KRW)]]</f>
        <v>-62216</v>
      </c>
      <c r="Z356" s="213">
        <f t="shared" si="5"/>
        <v>-1</v>
      </c>
      <c r="AA356" s="208">
        <f>VLOOKUP(표9[[#This Row],[Team]],표1[],3,0)</f>
        <v>1000</v>
      </c>
    </row>
    <row r="357" spans="1:27" ht="15">
      <c r="A357" s="209" t="str">
        <f>VLOOKUP($H357,Azure!$A:$H,2,0)</f>
        <v>Azure</v>
      </c>
      <c r="B357" s="209" t="s">
        <v>321</v>
      </c>
      <c r="C357" s="209" t="s">
        <v>321</v>
      </c>
      <c r="D357" s="209" t="str">
        <f>VLOOKUP($H357,Azure!$A:$H,5,0)</f>
        <v>GPD1 Publishing Coordination Team</v>
      </c>
      <c r="E357" s="209" t="str">
        <f>VLOOKUP($H357,Azure!$A:$H,6,0)</f>
        <v>inZOI</v>
      </c>
      <c r="F357" s="202">
        <f>VLOOKUP(표9[[#This Row],[Team]],표1[[내역]:[코스트 센터]],2,0)</f>
        <v>105011</v>
      </c>
      <c r="G357" s="202" t="str">
        <f>VLOOKUP(표9[[#This Row],[Project]],표2[],2,0)</f>
        <v>P100010055</v>
      </c>
      <c r="H357" s="209" t="s">
        <v>352</v>
      </c>
      <c r="I357" s="209" t="str">
        <f>VLOOKUP($H357,Azure!$A:$H,7,0)</f>
        <v>임형진</v>
      </c>
      <c r="J357" s="209" t="str">
        <f>VLOOKUP($H357,Azure!$A:$H,8,0)</f>
        <v>국용상</v>
      </c>
      <c r="K357" s="186"/>
      <c r="L357" s="210">
        <v>210731</v>
      </c>
      <c r="M357" s="211">
        <v>118211</v>
      </c>
      <c r="N357" s="212">
        <v>77459</v>
      </c>
      <c r="O357" s="212">
        <v>185575</v>
      </c>
      <c r="P357" s="212">
        <v>540414</v>
      </c>
      <c r="Q357" s="212">
        <v>52972</v>
      </c>
      <c r="R357" s="212">
        <v>0</v>
      </c>
      <c r="S357" s="212">
        <v>0</v>
      </c>
      <c r="T357" s="212">
        <v>0</v>
      </c>
      <c r="U357" s="212">
        <v>64479</v>
      </c>
      <c r="V357" s="205">
        <v>98070</v>
      </c>
      <c r="W357" s="205">
        <f>ROUND(표9[[#This Row],[Apr 2026 (USD or KRW)]],0)</f>
        <v>0</v>
      </c>
      <c r="X357" s="212"/>
      <c r="Y357" s="206">
        <f>표9[[#This Row],[Apr 2027(KRW)]]-표9[[#This Row],[Mar 2026(KRW)]]</f>
        <v>-98070</v>
      </c>
      <c r="Z357" s="213">
        <f t="shared" si="5"/>
        <v>-1</v>
      </c>
      <c r="AA357" s="208">
        <f>VLOOKUP(표9[[#This Row],[Team]],표1[],3,0)</f>
        <v>1000</v>
      </c>
    </row>
    <row r="358" spans="1:27" ht="15">
      <c r="A358" s="209" t="str">
        <f>VLOOKUP($H358,Azure!$A:$H,2,0)</f>
        <v>Azure</v>
      </c>
      <c r="B358" s="209" t="str">
        <f>VLOOKUP($H358,Azure!$A:$H,3,0)</f>
        <v>KRAFTON HQ</v>
      </c>
      <c r="C358" s="209" t="str">
        <f>VLOOKUP($H358,Azure!$A:$H,4,0)</f>
        <v>KRAFTON HQ</v>
      </c>
      <c r="D358" s="209" t="str">
        <f>VLOOKUP($H358,Azure!$A:$H,5,0)</f>
        <v>Live Service Support Dept.</v>
      </c>
      <c r="E358" s="209" t="str">
        <f>VLOOKUP($H358,Azure!$A:$H,6,0)</f>
        <v>Dark and Darker_Mobile</v>
      </c>
      <c r="F358" s="202">
        <f>VLOOKUP(표9[[#This Row],[Team]],표1[[내역]:[코스트 센터]],2,0)</f>
        <v>101537</v>
      </c>
      <c r="G358" s="202" t="str">
        <f>VLOOKUP(표9[[#This Row],[Project]],표2[],2,0)</f>
        <v>P100030073</v>
      </c>
      <c r="H358" s="209" t="s">
        <v>353</v>
      </c>
      <c r="I358" s="209" t="str">
        <f>VLOOKUP($H358,Azure!$A:$H,7,0)</f>
        <v>오명석</v>
      </c>
      <c r="J358" s="209" t="str">
        <f>VLOOKUP($H358,Azure!$A:$H,8,0)</f>
        <v>오명석</v>
      </c>
      <c r="K358" s="186"/>
      <c r="L358" s="210">
        <v>0</v>
      </c>
      <c r="M358" s="211">
        <v>0</v>
      </c>
      <c r="N358" s="212"/>
      <c r="O358" s="212"/>
      <c r="P358" s="212"/>
      <c r="Q358" s="212"/>
      <c r="R358" s="212"/>
      <c r="S358" s="212">
        <v>0</v>
      </c>
      <c r="T358" s="212">
        <v>0</v>
      </c>
      <c r="U358" s="212">
        <v>0</v>
      </c>
      <c r="V358" s="205">
        <v>0</v>
      </c>
      <c r="W358" s="205">
        <f>ROUND(표9[[#This Row],[Apr 2026 (USD or KRW)]],0)</f>
        <v>0</v>
      </c>
      <c r="X358" s="224"/>
      <c r="Y358" s="206">
        <f>표9[[#This Row],[Apr 2027(KRW)]]-표9[[#This Row],[Mar 2026(KRW)]]</f>
        <v>0</v>
      </c>
      <c r="Z358" s="213" t="str">
        <f t="shared" si="5"/>
        <v/>
      </c>
      <c r="AA358" s="208">
        <f>VLOOKUP(표9[[#This Row],[Team]],표1[],3,0)</f>
        <v>1000</v>
      </c>
    </row>
    <row r="359" spans="1:27" ht="15">
      <c r="A359" s="209" t="str">
        <f>VLOOKUP($H359,Azure!$A:$H,2,0)</f>
        <v>Azure</v>
      </c>
      <c r="B359" s="209" t="s">
        <v>321</v>
      </c>
      <c r="C359" s="209" t="s">
        <v>321</v>
      </c>
      <c r="D359" s="209" t="str">
        <f>VLOOKUP($H359,Azure!$A:$H,5,0)</f>
        <v>Live Service Support Dept.</v>
      </c>
      <c r="E359" s="209" t="str">
        <f>VLOOKUP($H359,Azure!$A:$H,6,0)</f>
        <v>Dark and Darker_Mobile</v>
      </c>
      <c r="F359" s="202">
        <f>VLOOKUP(표9[[#This Row],[Team]],표1[[내역]:[코스트 센터]],2,0)</f>
        <v>101537</v>
      </c>
      <c r="G359" s="202" t="str">
        <f>VLOOKUP(표9[[#This Row],[Project]],표2[],2,0)</f>
        <v>P100030073</v>
      </c>
      <c r="H359" s="209" t="s">
        <v>353</v>
      </c>
      <c r="I359" s="209" t="str">
        <f>VLOOKUP($H359,Azure!$A:$H,7,0)</f>
        <v>오명석</v>
      </c>
      <c r="J359" s="209" t="str">
        <f>VLOOKUP($H359,Azure!$A:$H,8,0)</f>
        <v>오명석</v>
      </c>
      <c r="K359" s="186"/>
      <c r="L359" s="210">
        <v>0</v>
      </c>
      <c r="M359" s="211">
        <v>0</v>
      </c>
      <c r="N359" s="212"/>
      <c r="O359" s="212"/>
      <c r="P359" s="212"/>
      <c r="Q359" s="212"/>
      <c r="R359" s="212"/>
      <c r="S359" s="212">
        <v>0</v>
      </c>
      <c r="T359" s="212">
        <v>0</v>
      </c>
      <c r="U359" s="212">
        <v>0</v>
      </c>
      <c r="V359" s="205">
        <v>0</v>
      </c>
      <c r="W359" s="205">
        <f>ROUND(표9[[#This Row],[Apr 2026 (USD or KRW)]],0)</f>
        <v>0</v>
      </c>
      <c r="X359" s="212"/>
      <c r="Y359" s="206">
        <f>표9[[#This Row],[Apr 2027(KRW)]]-표9[[#This Row],[Mar 2026(KRW)]]</f>
        <v>0</v>
      </c>
      <c r="Z359" s="213" t="str">
        <f t="shared" si="5"/>
        <v/>
      </c>
      <c r="AA359" s="208">
        <f>VLOOKUP(표9[[#This Row],[Team]],표1[],3,0)</f>
        <v>1000</v>
      </c>
    </row>
    <row r="360" spans="1:27" ht="15">
      <c r="A360" s="209" t="str">
        <f>VLOOKUP($H360,Azure!$A:$H,2,0)</f>
        <v>Azure</v>
      </c>
      <c r="B360" s="209" t="str">
        <f>VLOOKUP($H360,Azure!$A:$H,3,0)</f>
        <v>KRAFTON HQ</v>
      </c>
      <c r="C360" s="209" t="str">
        <f>VLOOKUP($H360,Azure!$A:$H,4,0)</f>
        <v>KRAFTON HQ</v>
      </c>
      <c r="D360" s="209" t="str">
        <f>VLOOKUP($H360,Azure!$A:$H,5,0)</f>
        <v>Live Service Support Dept.</v>
      </c>
      <c r="E360" s="209" t="str">
        <f>VLOOKUP($H360,Azure!$A:$H,6,0)</f>
        <v>inZOI</v>
      </c>
      <c r="F360" s="202">
        <f>VLOOKUP(표9[[#This Row],[Team]],표1[[내역]:[코스트 센터]],2,0)</f>
        <v>101537</v>
      </c>
      <c r="G360" s="202" t="str">
        <f>VLOOKUP(표9[[#This Row],[Project]],표2[],2,0)</f>
        <v>P100010055</v>
      </c>
      <c r="H360" s="209" t="s">
        <v>354</v>
      </c>
      <c r="I360" s="209" t="str">
        <f>VLOOKUP($H360,Azure!$A:$H,7,0)</f>
        <v>오명석</v>
      </c>
      <c r="J360" s="209" t="str">
        <f>VLOOKUP($H360,Azure!$A:$H,8,0)</f>
        <v>오명석</v>
      </c>
      <c r="K360" s="186"/>
      <c r="L360" s="210">
        <v>4585</v>
      </c>
      <c r="M360" s="211">
        <v>1</v>
      </c>
      <c r="N360" s="212">
        <v>0</v>
      </c>
      <c r="O360" s="212">
        <v>0</v>
      </c>
      <c r="P360" s="212">
        <v>0</v>
      </c>
      <c r="Q360" s="212">
        <v>0</v>
      </c>
      <c r="R360" s="212">
        <v>0</v>
      </c>
      <c r="S360" s="212">
        <v>0</v>
      </c>
      <c r="T360" s="212">
        <v>0</v>
      </c>
      <c r="U360" s="212">
        <v>0</v>
      </c>
      <c r="V360" s="205">
        <v>0</v>
      </c>
      <c r="W360" s="205">
        <f>ROUND(표9[[#This Row],[Apr 2026 (USD or KRW)]],0)</f>
        <v>0</v>
      </c>
      <c r="X360" s="224"/>
      <c r="Y360" s="206">
        <f>표9[[#This Row],[Apr 2027(KRW)]]-표9[[#This Row],[Mar 2026(KRW)]]</f>
        <v>0</v>
      </c>
      <c r="Z360" s="213" t="str">
        <f t="shared" si="5"/>
        <v/>
      </c>
      <c r="AA360" s="208">
        <f>VLOOKUP(표9[[#This Row],[Team]],표1[],3,0)</f>
        <v>1000</v>
      </c>
    </row>
    <row r="361" spans="1:27" ht="15">
      <c r="A361" s="209" t="str">
        <f>VLOOKUP($H361,Azure!$A:$H,2,0)</f>
        <v>Azure</v>
      </c>
      <c r="B361" s="209" t="s">
        <v>321</v>
      </c>
      <c r="C361" s="209" t="s">
        <v>321</v>
      </c>
      <c r="D361" s="209" t="str">
        <f>VLOOKUP($H361,Azure!$A:$H,5,0)</f>
        <v>Live Service Support Dept.</v>
      </c>
      <c r="E361" s="209" t="str">
        <f>VLOOKUP($H361,Azure!$A:$H,6,0)</f>
        <v>inZOI</v>
      </c>
      <c r="F361" s="202">
        <f>VLOOKUP(표9[[#This Row],[Team]],표1[[내역]:[코스트 센터]],2,0)</f>
        <v>101537</v>
      </c>
      <c r="G361" s="202" t="str">
        <f>VLOOKUP(표9[[#This Row],[Project]],표2[],2,0)</f>
        <v>P100010055</v>
      </c>
      <c r="H361" s="209" t="s">
        <v>354</v>
      </c>
      <c r="I361" s="209" t="str">
        <f>VLOOKUP($H361,Azure!$A:$H,7,0)</f>
        <v>오명석</v>
      </c>
      <c r="J361" s="209" t="str">
        <f>VLOOKUP($H361,Azure!$A:$H,8,0)</f>
        <v>오명석</v>
      </c>
      <c r="K361" s="186"/>
      <c r="L361" s="210">
        <v>7516</v>
      </c>
      <c r="M361" s="211">
        <v>2</v>
      </c>
      <c r="N361" s="212">
        <v>0</v>
      </c>
      <c r="O361" s="212">
        <v>0</v>
      </c>
      <c r="P361" s="212">
        <v>0</v>
      </c>
      <c r="Q361" s="212">
        <v>0</v>
      </c>
      <c r="R361" s="212">
        <v>0</v>
      </c>
      <c r="S361" s="212">
        <v>0</v>
      </c>
      <c r="T361" s="212">
        <v>0</v>
      </c>
      <c r="U361" s="212">
        <v>0</v>
      </c>
      <c r="V361" s="205">
        <v>0</v>
      </c>
      <c r="W361" s="205">
        <f>ROUND(표9[[#This Row],[Apr 2026 (USD or KRW)]],0)</f>
        <v>0</v>
      </c>
      <c r="X361" s="212"/>
      <c r="Y361" s="206">
        <f>표9[[#This Row],[Apr 2027(KRW)]]-표9[[#This Row],[Mar 2026(KRW)]]</f>
        <v>0</v>
      </c>
      <c r="Z361" s="213" t="str">
        <f t="shared" si="5"/>
        <v/>
      </c>
      <c r="AA361" s="208">
        <f>VLOOKUP(표9[[#This Row],[Team]],표1[],3,0)</f>
        <v>1000</v>
      </c>
    </row>
    <row r="362" spans="1:27" ht="15">
      <c r="A362" s="209" t="str">
        <f>VLOOKUP($H362,Azure!$A:$H,2,0)</f>
        <v>Azure</v>
      </c>
      <c r="B362" s="209" t="str">
        <f>VLOOKUP($H362,Azure!$A:$H,3,0)</f>
        <v>KRAFTON HQ</v>
      </c>
      <c r="C362" s="209" t="str">
        <f>VLOOKUP($H362,Azure!$A:$H,4,0)</f>
        <v>KRAFTON HQ</v>
      </c>
      <c r="D362" s="209" t="str">
        <f>VLOOKUP($H362,Azure!$A:$H,5,0)</f>
        <v>Service DevOps Team</v>
      </c>
      <c r="E362" s="209" t="str">
        <f>VLOOKUP($H362,Azure!$A:$H,6,0)</f>
        <v>OVERHEAD/OTHERS</v>
      </c>
      <c r="F362" s="202">
        <f>VLOOKUP(표9[[#This Row],[Team]],표1[[내역]:[코스트 센터]],2,0)</f>
        <v>100033</v>
      </c>
      <c r="G362" s="202" t="str">
        <f>VLOOKUP(표9[[#This Row],[Project]],표2[],2,0)</f>
        <v>I100099999</v>
      </c>
      <c r="H362" s="209" t="s">
        <v>355</v>
      </c>
      <c r="I362" s="209" t="str">
        <f>VLOOKUP($H362,Azure!$A:$H,7,0)</f>
        <v>장은진</v>
      </c>
      <c r="J362" s="209" t="str">
        <f>VLOOKUP($H362,Azure!$A:$H,8,0)</f>
        <v>장은진</v>
      </c>
      <c r="K362" s="186"/>
      <c r="L362" s="210">
        <v>142797</v>
      </c>
      <c r="M362" s="211">
        <v>142696</v>
      </c>
      <c r="N362" s="212">
        <v>142797</v>
      </c>
      <c r="O362" s="212">
        <v>142797</v>
      </c>
      <c r="P362" s="212">
        <v>142696</v>
      </c>
      <c r="Q362" s="212">
        <v>148503.524</v>
      </c>
      <c r="R362" s="212">
        <v>148404</v>
      </c>
      <c r="S362" s="212">
        <v>148509</v>
      </c>
      <c r="T362" s="212">
        <v>148509</v>
      </c>
      <c r="U362" s="212">
        <v>148117</v>
      </c>
      <c r="V362" s="205">
        <v>148509</v>
      </c>
      <c r="W362" s="205">
        <f>ROUND(표9[[#This Row],[Apr 2026 (USD or KRW)]],0)</f>
        <v>0</v>
      </c>
      <c r="X362" s="224"/>
      <c r="Y362" s="206">
        <f>표9[[#This Row],[Apr 2027(KRW)]]-표9[[#This Row],[Mar 2026(KRW)]]</f>
        <v>-148509</v>
      </c>
      <c r="Z362" s="213">
        <f t="shared" si="5"/>
        <v>-1</v>
      </c>
      <c r="AA362" s="208">
        <f>VLOOKUP(표9[[#This Row],[Team]],표1[],3,0)</f>
        <v>1000</v>
      </c>
    </row>
    <row r="363" spans="1:27" ht="15">
      <c r="A363" s="209" t="str">
        <f>VLOOKUP($H363,Azure!$A:$H,2,0)</f>
        <v>Azure</v>
      </c>
      <c r="B363" s="209" t="s">
        <v>321</v>
      </c>
      <c r="C363" s="209" t="s">
        <v>321</v>
      </c>
      <c r="D363" s="209" t="str">
        <f>VLOOKUP($H363,Azure!$A:$H,5,0)</f>
        <v>Service DevOps Team</v>
      </c>
      <c r="E363" s="209" t="str">
        <f>VLOOKUP($H363,Azure!$A:$H,6,0)</f>
        <v>OVERHEAD/OTHERS</v>
      </c>
      <c r="F363" s="202">
        <f>VLOOKUP(표9[[#This Row],[Team]],표1[[내역]:[코스트 센터]],2,0)</f>
        <v>100033</v>
      </c>
      <c r="G363" s="202" t="str">
        <f>VLOOKUP(표9[[#This Row],[Project]],표2[],2,0)</f>
        <v>I100099999</v>
      </c>
      <c r="H363" s="209" t="s">
        <v>355</v>
      </c>
      <c r="I363" s="209" t="str">
        <f>VLOOKUP($H363,Azure!$A:$H,7,0)</f>
        <v>장은진</v>
      </c>
      <c r="J363" s="209" t="str">
        <f>VLOOKUP($H363,Azure!$A:$H,8,0)</f>
        <v>장은진</v>
      </c>
      <c r="K363" s="186"/>
      <c r="L363" s="210">
        <v>234093</v>
      </c>
      <c r="M363" s="211">
        <v>233928</v>
      </c>
      <c r="N363" s="212">
        <v>234093</v>
      </c>
      <c r="O363" s="212">
        <v>234093</v>
      </c>
      <c r="P363" s="212">
        <v>233928</v>
      </c>
      <c r="Q363" s="212">
        <v>234085</v>
      </c>
      <c r="R363" s="212">
        <v>233928</v>
      </c>
      <c r="S363" s="212">
        <v>234093</v>
      </c>
      <c r="T363" s="212">
        <v>234093</v>
      </c>
      <c r="U363" s="212">
        <v>233475</v>
      </c>
      <c r="V363" s="205">
        <v>234093</v>
      </c>
      <c r="W363" s="205">
        <f>ROUND(표9[[#This Row],[Apr 2026 (USD or KRW)]],0)</f>
        <v>0</v>
      </c>
      <c r="X363" s="212"/>
      <c r="Y363" s="206">
        <f>표9[[#This Row],[Apr 2027(KRW)]]-표9[[#This Row],[Mar 2026(KRW)]]</f>
        <v>-234093</v>
      </c>
      <c r="Z363" s="213">
        <f t="shared" si="5"/>
        <v>-1</v>
      </c>
      <c r="AA363" s="208">
        <f>VLOOKUP(표9[[#This Row],[Team]],표1[],3,0)</f>
        <v>1000</v>
      </c>
    </row>
    <row r="364" spans="1:27" ht="15">
      <c r="A364" s="209" t="str">
        <f>VLOOKUP($H364,Azure!$A:$H,2,0)</f>
        <v>Azure</v>
      </c>
      <c r="B364" s="209" t="str">
        <f>VLOOKUP($H364,Azure!$A:$H,3,0)</f>
        <v>KRAFTON HQ</v>
      </c>
      <c r="C364" s="209" t="str">
        <f>VLOOKUP($H364,Azure!$A:$H,4,0)</f>
        <v>KRAFTON HQ</v>
      </c>
      <c r="D364" s="209" t="str">
        <f>VLOOKUP($H364,Azure!$A:$H,5,0)</f>
        <v>Publishing Tech PM Part</v>
      </c>
      <c r="E364" s="209" t="str">
        <f>VLOOKUP($H364,Azure!$A:$H,6,0)</f>
        <v>OVERHEAD/OTHERS</v>
      </c>
      <c r="F364" s="202">
        <f>VLOOKUP(표9[[#This Row],[Team]],표1[[내역]:[코스트 센터]],2,0)</f>
        <v>101269</v>
      </c>
      <c r="G364" s="202" t="str">
        <f>VLOOKUP(표9[[#This Row],[Project]],표2[],2,0)</f>
        <v>I100099999</v>
      </c>
      <c r="H364" s="209" t="s">
        <v>356</v>
      </c>
      <c r="I364" s="209" t="str">
        <f>VLOOKUP($H364,Azure!$A:$H,7,0)</f>
        <v>김정언</v>
      </c>
      <c r="J364" s="209" t="str">
        <f>VLOOKUP($H364,Azure!$A:$H,8,0)</f>
        <v>김정언</v>
      </c>
      <c r="K364" s="186" t="s">
        <v>29</v>
      </c>
      <c r="L364" s="210">
        <v>104600</v>
      </c>
      <c r="M364" s="211">
        <v>104600</v>
      </c>
      <c r="N364" s="212">
        <v>104600</v>
      </c>
      <c r="O364" s="212">
        <v>104600</v>
      </c>
      <c r="P364" s="212">
        <v>104600</v>
      </c>
      <c r="Q364" s="212">
        <v>108784.3744</v>
      </c>
      <c r="R364" s="212">
        <v>108784</v>
      </c>
      <c r="S364" s="212">
        <v>108784</v>
      </c>
      <c r="T364" s="212">
        <v>108784</v>
      </c>
      <c r="U364" s="212">
        <v>108784</v>
      </c>
      <c r="V364" s="205">
        <v>108784</v>
      </c>
      <c r="W364" s="205">
        <f>ROUND(표9[[#This Row],[Apr 2026 (USD or KRW)]],0)</f>
        <v>0</v>
      </c>
      <c r="X364" s="224"/>
      <c r="Y364" s="206">
        <f>표9[[#This Row],[Apr 2027(KRW)]]-표9[[#This Row],[Mar 2026(KRW)]]</f>
        <v>-108784</v>
      </c>
      <c r="Z364" s="213">
        <f t="shared" si="5"/>
        <v>-1</v>
      </c>
      <c r="AA364" s="208">
        <f>VLOOKUP(표9[[#This Row],[Team]],표1[],3,0)</f>
        <v>1000</v>
      </c>
    </row>
    <row r="365" spans="1:27" ht="15">
      <c r="A365" s="209" t="str">
        <f>VLOOKUP($H365,Azure!$A:$H,2,0)</f>
        <v>Azure</v>
      </c>
      <c r="B365" s="209" t="s">
        <v>321</v>
      </c>
      <c r="C365" s="209" t="s">
        <v>321</v>
      </c>
      <c r="D365" s="209" t="str">
        <f>VLOOKUP($H365,Azure!$A:$H,5,0)</f>
        <v>Publishing Tech PM Part</v>
      </c>
      <c r="E365" s="209" t="str">
        <f>VLOOKUP($H365,Azure!$A:$H,6,0)</f>
        <v>OVERHEAD/OTHERS</v>
      </c>
      <c r="F365" s="202">
        <f>VLOOKUP(표9[[#This Row],[Team]],표1[[내역]:[코스트 센터]],2,0)</f>
        <v>101269</v>
      </c>
      <c r="G365" s="202" t="str">
        <f>VLOOKUP(표9[[#This Row],[Project]],표2[],2,0)</f>
        <v>I100099999</v>
      </c>
      <c r="H365" s="209" t="s">
        <v>356</v>
      </c>
      <c r="I365" s="209" t="str">
        <f>VLOOKUP($H365,Azure!$A:$H,7,0)</f>
        <v>김정언</v>
      </c>
      <c r="J365" s="209" t="str">
        <f>VLOOKUP($H365,Azure!$A:$H,8,0)</f>
        <v>김정언</v>
      </c>
      <c r="K365" s="186" t="s">
        <v>29</v>
      </c>
      <c r="L365" s="210">
        <v>171475</v>
      </c>
      <c r="M365" s="211">
        <v>171476</v>
      </c>
      <c r="N365" s="212">
        <v>171476</v>
      </c>
      <c r="O365" s="212">
        <v>171476</v>
      </c>
      <c r="P365" s="212">
        <v>171476</v>
      </c>
      <c r="Q365" s="212">
        <v>171476</v>
      </c>
      <c r="R365" s="212">
        <v>171476</v>
      </c>
      <c r="S365" s="212">
        <v>171476</v>
      </c>
      <c r="T365" s="212">
        <v>171476</v>
      </c>
      <c r="U365" s="212">
        <v>171476</v>
      </c>
      <c r="V365" s="205">
        <v>171476</v>
      </c>
      <c r="W365" s="205">
        <f>ROUND(표9[[#This Row],[Apr 2026 (USD or KRW)]],0)</f>
        <v>0</v>
      </c>
      <c r="X365" s="212"/>
      <c r="Y365" s="206">
        <f>표9[[#This Row],[Apr 2027(KRW)]]-표9[[#This Row],[Mar 2026(KRW)]]</f>
        <v>-171476</v>
      </c>
      <c r="Z365" s="213">
        <f t="shared" si="5"/>
        <v>-1</v>
      </c>
      <c r="AA365" s="208">
        <f>VLOOKUP(표9[[#This Row],[Team]],표1[],3,0)</f>
        <v>1000</v>
      </c>
    </row>
    <row r="366" spans="1:27" ht="15">
      <c r="A366" s="209" t="str">
        <f>VLOOKUP($H366,Azure!$A:$H,2,0)</f>
        <v>Azure</v>
      </c>
      <c r="B366" s="209" t="str">
        <f>VLOOKUP($H366,Azure!$A:$H,3,0)</f>
        <v>KRAFTON EUROPE B.V.</v>
      </c>
      <c r="C366" s="209" t="str">
        <f>VLOOKUP($H366,Azure!$A:$H,4,0)</f>
        <v>KRAFTON EUROPE B.V.</v>
      </c>
      <c r="D366" s="209" t="str">
        <f>VLOOKUP($H366,Azure!$A:$H,5,0)</f>
        <v>EME IT Admin Part</v>
      </c>
      <c r="E366" s="209" t="str">
        <f>VLOOKUP($H366,Azure!$A:$H,6,0)</f>
        <v>BLACK BUDGET</v>
      </c>
      <c r="F366" s="202" t="e">
        <f>VLOOKUP(표9[[#This Row],[Team]],표1[[내역]:[코스트 센터]],2,0)</f>
        <v>#N/A</v>
      </c>
      <c r="G366" s="202" t="str">
        <f>VLOOKUP(표9[[#This Row],[Project]],표2[],2,0)</f>
        <v>P100010048</v>
      </c>
      <c r="H366" s="209" t="s">
        <v>357</v>
      </c>
      <c r="I366" s="209" t="str">
        <f>VLOOKUP($H366,Azure!$A:$H,7,0)</f>
        <v>Ben Moore</v>
      </c>
      <c r="J366" s="209" t="str">
        <f>VLOOKUP($H366,Azure!$A:$H,8,0)</f>
        <v>Ben Moore</v>
      </c>
      <c r="K366" s="186"/>
      <c r="L366" s="210">
        <v>1000815</v>
      </c>
      <c r="M366" s="211">
        <v>1000815</v>
      </c>
      <c r="N366" s="212">
        <v>1000815</v>
      </c>
      <c r="O366" s="212">
        <v>1000815</v>
      </c>
      <c r="P366" s="212">
        <v>1000815</v>
      </c>
      <c r="Q366" s="212">
        <v>1000814.8</v>
      </c>
      <c r="R366" s="212">
        <v>1000815</v>
      </c>
      <c r="S366" s="212">
        <v>1000815</v>
      </c>
      <c r="T366" s="212">
        <v>1000815</v>
      </c>
      <c r="U366" s="212">
        <v>1000815</v>
      </c>
      <c r="V366" s="205">
        <v>0</v>
      </c>
      <c r="W366" s="205">
        <f>ROUND(표9[[#This Row],[Apr 2026 (USD or KRW)]],0)</f>
        <v>0</v>
      </c>
      <c r="X366" s="224"/>
      <c r="Y366" s="206">
        <f>표9[[#This Row],[Apr 2027(KRW)]]-표9[[#This Row],[Mar 2026(KRW)]]</f>
        <v>0</v>
      </c>
      <c r="Z366" s="213" t="str">
        <f t="shared" si="5"/>
        <v/>
      </c>
      <c r="AA366" s="208" t="e">
        <f>VLOOKUP(표9[[#This Row],[Team]],표1[],3,0)</f>
        <v>#N/A</v>
      </c>
    </row>
    <row r="367" spans="1:27" ht="15">
      <c r="A367" s="209" t="str">
        <f>VLOOKUP($H367,Azure!$A:$H,2,0)</f>
        <v>Azure</v>
      </c>
      <c r="B367" s="209" t="s">
        <v>321</v>
      </c>
      <c r="C367" s="209" t="s">
        <v>321</v>
      </c>
      <c r="D367" s="209" t="str">
        <f>VLOOKUP($H367,Azure!$A:$H,5,0)</f>
        <v>EME IT Admin Part</v>
      </c>
      <c r="E367" s="209" t="str">
        <f>VLOOKUP($H367,Azure!$A:$H,6,0)</f>
        <v>BLACK BUDGET</v>
      </c>
      <c r="F367" s="202" t="e">
        <f>VLOOKUP(표9[[#This Row],[Team]],표1[[내역]:[코스트 센터]],2,0)</f>
        <v>#N/A</v>
      </c>
      <c r="G367" s="202" t="str">
        <f>VLOOKUP(표9[[#This Row],[Project]],표2[],2,0)</f>
        <v>P100010048</v>
      </c>
      <c r="H367" s="209" t="s">
        <v>357</v>
      </c>
      <c r="I367" s="209" t="str">
        <f>VLOOKUP($H367,Azure!$A:$H,7,0)</f>
        <v>Ben Moore</v>
      </c>
      <c r="J367" s="209" t="str">
        <f>VLOOKUP($H367,Azure!$A:$H,8,0)</f>
        <v>Ben Moore</v>
      </c>
      <c r="K367" s="186"/>
      <c r="L367" s="210"/>
      <c r="M367" s="211"/>
      <c r="N367" s="212">
        <v>1640680</v>
      </c>
      <c r="O367" s="212">
        <v>1640680</v>
      </c>
      <c r="P367" s="212">
        <v>1640680</v>
      </c>
      <c r="Q367" s="212">
        <v>1640680</v>
      </c>
      <c r="R367" s="212">
        <v>1640680</v>
      </c>
      <c r="S367" s="212">
        <v>1640680</v>
      </c>
      <c r="T367" s="212">
        <v>1640680</v>
      </c>
      <c r="U367" s="212">
        <v>1640680</v>
      </c>
      <c r="V367" s="205">
        <v>0</v>
      </c>
      <c r="W367" s="205">
        <f>ROUND(표9[[#This Row],[Apr 2026 (USD or KRW)]],0)</f>
        <v>0</v>
      </c>
      <c r="X367" s="212"/>
      <c r="Y367" s="206">
        <f>표9[[#This Row],[Apr 2027(KRW)]]-표9[[#This Row],[Mar 2026(KRW)]]</f>
        <v>0</v>
      </c>
      <c r="Z367" s="213" t="str">
        <f t="shared" si="5"/>
        <v/>
      </c>
      <c r="AA367" s="208" t="e">
        <f>VLOOKUP(표9[[#This Row],[Team]],표1[],3,0)</f>
        <v>#N/A</v>
      </c>
    </row>
    <row r="368" spans="1:27" ht="15">
      <c r="A368" s="209" t="str">
        <f>VLOOKUP($H368,Azure!$A:$H,2,0)</f>
        <v>Azure</v>
      </c>
      <c r="B368" s="209" t="str">
        <f>VLOOKUP($H368,Azure!$A:$H,3,0)</f>
        <v>KRAFTON HQ</v>
      </c>
      <c r="C368" s="209" t="str">
        <f>VLOOKUP($H368,Azure!$A:$H,4,0)</f>
        <v>KRAFTON HQ</v>
      </c>
      <c r="D368" s="209" t="str">
        <f>VLOOKUP($H368,Azure!$A:$H,5,0)</f>
        <v>IT Dept.</v>
      </c>
      <c r="E368" s="209" t="str">
        <f>VLOOKUP($H368,Azure!$A:$H,6,0)</f>
        <v>OVERHEAD/OTHERS</v>
      </c>
      <c r="F368" s="202">
        <f>VLOOKUP(표9[[#This Row],[Team]],표1[[내역]:[코스트 센터]],2,0)</f>
        <v>100036</v>
      </c>
      <c r="G368" s="202" t="str">
        <f>VLOOKUP(표9[[#This Row],[Project]],표2[],2,0)</f>
        <v>I100099999</v>
      </c>
      <c r="H368" s="209" t="s">
        <v>358</v>
      </c>
      <c r="I368" s="209" t="str">
        <f>VLOOKUP($H368,Azure!$A:$H,7,0)</f>
        <v>백용원</v>
      </c>
      <c r="J368" s="209" t="str">
        <f>VLOOKUP($H368,Azure!$A:$H,8,0)</f>
        <v>백용원</v>
      </c>
      <c r="K368" s="186" t="s">
        <v>29</v>
      </c>
      <c r="L368" s="210">
        <v>3097273</v>
      </c>
      <c r="M368" s="211">
        <v>20956469</v>
      </c>
      <c r="N368" s="212">
        <v>3031878</v>
      </c>
      <c r="O368" s="212">
        <v>2943603</v>
      </c>
      <c r="P368" s="212">
        <v>2968924</v>
      </c>
      <c r="Q368" s="212">
        <v>3311401.7872000001</v>
      </c>
      <c r="R368" s="212">
        <v>3570659</v>
      </c>
      <c r="S368" s="212">
        <v>3642868</v>
      </c>
      <c r="T368" s="212">
        <v>3769614</v>
      </c>
      <c r="U368" s="212">
        <v>3888371</v>
      </c>
      <c r="V368" s="205">
        <v>3975313</v>
      </c>
      <c r="W368" s="205">
        <f>ROUND(표9[[#This Row],[Apr 2026 (USD or KRW)]],0)</f>
        <v>0</v>
      </c>
      <c r="X368" s="224"/>
      <c r="Y368" s="206">
        <f>표9[[#This Row],[Apr 2027(KRW)]]-표9[[#This Row],[Mar 2026(KRW)]]</f>
        <v>-3975313</v>
      </c>
      <c r="Z368" s="213">
        <f t="shared" si="5"/>
        <v>-1</v>
      </c>
      <c r="AA368" s="208">
        <f>VLOOKUP(표9[[#This Row],[Team]],표1[],3,0)</f>
        <v>1000</v>
      </c>
    </row>
    <row r="369" spans="1:27" ht="15">
      <c r="A369" s="209" t="str">
        <f>VLOOKUP($H369,Azure!$A:$H,2,0)</f>
        <v>Azure</v>
      </c>
      <c r="B369" s="209" t="s">
        <v>321</v>
      </c>
      <c r="C369" s="209" t="s">
        <v>321</v>
      </c>
      <c r="D369" s="209" t="str">
        <f>VLOOKUP($H369,Azure!$A:$H,5,0)</f>
        <v>IT Dept.</v>
      </c>
      <c r="E369" s="209" t="str">
        <f>VLOOKUP($H369,Azure!$A:$H,6,0)</f>
        <v>OVERHEAD/OTHERS</v>
      </c>
      <c r="F369" s="202">
        <f>VLOOKUP(표9[[#This Row],[Team]],표1[[내역]:[코스트 센터]],2,0)</f>
        <v>100036</v>
      </c>
      <c r="G369" s="202" t="str">
        <f>VLOOKUP(표9[[#This Row],[Project]],표2[],2,0)</f>
        <v>I100099999</v>
      </c>
      <c r="H369" s="209" t="s">
        <v>358</v>
      </c>
      <c r="I369" s="209" t="str">
        <f>VLOOKUP($H369,Azure!$A:$H,7,0)</f>
        <v>백용원</v>
      </c>
      <c r="J369" s="209" t="str">
        <f>VLOOKUP($H369,Azure!$A:$H,8,0)</f>
        <v>백용원</v>
      </c>
      <c r="K369" s="186" t="s">
        <v>29</v>
      </c>
      <c r="L369" s="210">
        <v>5077496</v>
      </c>
      <c r="M369" s="211">
        <v>4846670</v>
      </c>
      <c r="N369" s="212">
        <v>4970292</v>
      </c>
      <c r="O369" s="212">
        <v>4825578</v>
      </c>
      <c r="P369" s="212">
        <v>4867089</v>
      </c>
      <c r="Q369" s="212">
        <v>5219738</v>
      </c>
      <c r="R369" s="212">
        <v>5628404</v>
      </c>
      <c r="S369" s="212">
        <v>5742684</v>
      </c>
      <c r="T369" s="212">
        <v>5942015</v>
      </c>
      <c r="U369" s="212">
        <v>6129211</v>
      </c>
      <c r="V369" s="205">
        <v>6266257</v>
      </c>
      <c r="W369" s="205">
        <f>ROUND(표9[[#This Row],[Apr 2026 (USD or KRW)]],0)</f>
        <v>0</v>
      </c>
      <c r="X369" s="212"/>
      <c r="Y369" s="206">
        <f>표9[[#This Row],[Apr 2027(KRW)]]-표9[[#This Row],[Mar 2026(KRW)]]</f>
        <v>-6266257</v>
      </c>
      <c r="Z369" s="213">
        <f t="shared" si="5"/>
        <v>-1</v>
      </c>
      <c r="AA369" s="208">
        <f>VLOOKUP(표9[[#This Row],[Team]],표1[],3,0)</f>
        <v>1000</v>
      </c>
    </row>
    <row r="370" spans="1:27" ht="15">
      <c r="A370" s="209" t="str">
        <f>VLOOKUP($H370,Azure!$A:$H,2,0)</f>
        <v>Azure</v>
      </c>
      <c r="B370" s="209" t="str">
        <f>VLOOKUP($H370,Azure!$A:$H,3,0)</f>
        <v>Flyway Games</v>
      </c>
      <c r="C370" s="209" t="str">
        <f>VLOOKUP($H370,Azure!$A:$H,4,0)</f>
        <v>Flyway Games</v>
      </c>
      <c r="D370" s="209" t="str">
        <f>VLOOKUP($H370,Azure!$A:$H,5,0)</f>
        <v>Flyway Games</v>
      </c>
      <c r="E370" s="209" t="str">
        <f>VLOOKUP($H370,Azure!$A:$H,6,0)</f>
        <v>Flyway Games</v>
      </c>
      <c r="F370" s="202">
        <f>VLOOKUP(표9[[#This Row],[Team]],표1[[내역]:[코스트 센터]],2,0)</f>
        <v>480001</v>
      </c>
      <c r="G370" s="202" t="e">
        <f>VLOOKUP(표9[[#This Row],[Project]],표2[],2,0)</f>
        <v>#N/A</v>
      </c>
      <c r="H370" s="209" t="s">
        <v>359</v>
      </c>
      <c r="I370" s="209" t="str">
        <f>VLOOKUP($H370,Azure!$A:$H,7,0)</f>
        <v>전민욱</v>
      </c>
      <c r="J370" s="209" t="str">
        <f>VLOOKUP($H370,Azure!$A:$H,8,0)</f>
        <v>전민욱</v>
      </c>
      <c r="K370" s="186"/>
      <c r="L370" s="210">
        <v>100081</v>
      </c>
      <c r="M370" s="211">
        <v>100081</v>
      </c>
      <c r="N370" s="212">
        <v>100081</v>
      </c>
      <c r="O370" s="212">
        <v>120260</v>
      </c>
      <c r="P370" s="212">
        <v>150122</v>
      </c>
      <c r="Q370" s="212">
        <v>186442.23</v>
      </c>
      <c r="R370" s="212">
        <v>225183</v>
      </c>
      <c r="S370" s="212">
        <v>250204</v>
      </c>
      <c r="T370" s="212">
        <v>250204</v>
      </c>
      <c r="U370" s="212">
        <v>250204</v>
      </c>
      <c r="V370" s="205">
        <v>0</v>
      </c>
      <c r="W370" s="205">
        <f>ROUND(표9[[#This Row],[Apr 2026 (USD or KRW)]],0)</f>
        <v>0</v>
      </c>
      <c r="X370" s="224"/>
      <c r="Y370" s="206">
        <f>표9[[#This Row],[Apr 2027(KRW)]]-표9[[#This Row],[Mar 2026(KRW)]]</f>
        <v>0</v>
      </c>
      <c r="Z370" s="213" t="str">
        <f t="shared" si="5"/>
        <v/>
      </c>
      <c r="AA370" s="208">
        <f>VLOOKUP(표9[[#This Row],[Team]],표1[],3,0)</f>
        <v>4800</v>
      </c>
    </row>
    <row r="371" spans="1:27" ht="15">
      <c r="A371" s="209" t="str">
        <f>VLOOKUP($H371,Azure!$A:$H,2,0)</f>
        <v>Azure</v>
      </c>
      <c r="B371" s="209" t="s">
        <v>321</v>
      </c>
      <c r="C371" s="209" t="s">
        <v>321</v>
      </c>
      <c r="D371" s="209" t="str">
        <f>VLOOKUP($H371,Azure!$A:$H,5,0)</f>
        <v>Flyway Games</v>
      </c>
      <c r="E371" s="209" t="str">
        <f>VLOOKUP($H371,Azure!$A:$H,6,0)</f>
        <v>Flyway Games</v>
      </c>
      <c r="F371" s="202">
        <f>VLOOKUP(표9[[#This Row],[Team]],표1[[내역]:[코스트 센터]],2,0)</f>
        <v>480001</v>
      </c>
      <c r="G371" s="202" t="e">
        <f>VLOOKUP(표9[[#This Row],[Project]],표2[],2,0)</f>
        <v>#N/A</v>
      </c>
      <c r="H371" s="209" t="s">
        <v>359</v>
      </c>
      <c r="I371" s="209" t="str">
        <f>VLOOKUP($H371,Azure!$A:$H,7,0)</f>
        <v>전민욱</v>
      </c>
      <c r="J371" s="209" t="str">
        <f>VLOOKUP($H371,Azure!$A:$H,8,0)</f>
        <v>전민욱</v>
      </c>
      <c r="K371" s="186"/>
      <c r="L371" s="210">
        <v>164068</v>
      </c>
      <c r="M371" s="211">
        <v>164068</v>
      </c>
      <c r="N371" s="212">
        <v>164068</v>
      </c>
      <c r="O371" s="212">
        <v>265949</v>
      </c>
      <c r="P371" s="212">
        <v>246102</v>
      </c>
      <c r="Q371" s="212">
        <v>305643</v>
      </c>
      <c r="R371" s="212">
        <v>369153</v>
      </c>
      <c r="S371" s="212">
        <v>410170</v>
      </c>
      <c r="T371" s="212">
        <v>410170</v>
      </c>
      <c r="U371" s="212">
        <v>410170</v>
      </c>
      <c r="V371" s="205">
        <v>0</v>
      </c>
      <c r="W371" s="205">
        <f>ROUND(표9[[#This Row],[Apr 2026 (USD or KRW)]],0)</f>
        <v>0</v>
      </c>
      <c r="X371" s="212"/>
      <c r="Y371" s="206">
        <f>표9[[#This Row],[Apr 2027(KRW)]]-표9[[#This Row],[Mar 2026(KRW)]]</f>
        <v>0</v>
      </c>
      <c r="Z371" s="213" t="str">
        <f t="shared" si="5"/>
        <v/>
      </c>
      <c r="AA371" s="208">
        <f>VLOOKUP(표9[[#This Row],[Team]],표1[],3,0)</f>
        <v>4800</v>
      </c>
    </row>
    <row r="372" spans="1:27" ht="15">
      <c r="A372" s="209" t="str">
        <f>VLOOKUP($H372,Azure!$A:$H,2,0)</f>
        <v>Azure</v>
      </c>
      <c r="B372" s="209" t="str">
        <f>VLOOKUP($H372,Azure!$A:$H,3,0)</f>
        <v>KRAFTON HQ</v>
      </c>
      <c r="C372" s="209" t="str">
        <f>VLOOKUP($H372,Azure!$A:$H,4,0)</f>
        <v>KRAFTON HQ</v>
      </c>
      <c r="D372" s="209" t="str">
        <f>VLOOKUP($H372,Azure!$A:$H,5,0)</f>
        <v>Service DevOps Team</v>
      </c>
      <c r="E372" s="209" t="str">
        <f>VLOOKUP($H372,Azure!$A:$H,6,0)</f>
        <v>OVERHEAD/OTHERS</v>
      </c>
      <c r="F372" s="202">
        <f>VLOOKUP(표9[[#This Row],[Team]],표1[[내역]:[코스트 센터]],2,0)</f>
        <v>100033</v>
      </c>
      <c r="G372" s="202" t="str">
        <f>VLOOKUP(표9[[#This Row],[Project]],표2[],2,0)</f>
        <v>I100099999</v>
      </c>
      <c r="H372" s="209" t="s">
        <v>360</v>
      </c>
      <c r="I372" s="209" t="str">
        <f>VLOOKUP($H372,Azure!$A:$H,7,0)</f>
        <v>엄기성</v>
      </c>
      <c r="J372" s="209" t="str">
        <f>VLOOKUP($H372,Azure!$A:$H,8,0)</f>
        <v>엄기성</v>
      </c>
      <c r="K372" s="186"/>
      <c r="L372" s="210">
        <v>0</v>
      </c>
      <c r="M372" s="211">
        <v>0</v>
      </c>
      <c r="N372" s="212"/>
      <c r="O372" s="212"/>
      <c r="P372" s="212"/>
      <c r="Q372" s="212"/>
      <c r="R372" s="212"/>
      <c r="S372" s="212">
        <v>0</v>
      </c>
      <c r="T372" s="212">
        <v>0</v>
      </c>
      <c r="U372" s="212">
        <v>0</v>
      </c>
      <c r="V372" s="205">
        <v>0</v>
      </c>
      <c r="W372" s="205">
        <f>ROUND(표9[[#This Row],[Apr 2026 (USD or KRW)]],0)</f>
        <v>0</v>
      </c>
      <c r="X372" s="224"/>
      <c r="Y372" s="206">
        <f>표9[[#This Row],[Apr 2027(KRW)]]-표9[[#This Row],[Mar 2026(KRW)]]</f>
        <v>0</v>
      </c>
      <c r="Z372" s="213" t="str">
        <f t="shared" si="5"/>
        <v/>
      </c>
      <c r="AA372" s="208">
        <f>VLOOKUP(표9[[#This Row],[Team]],표1[],3,0)</f>
        <v>1000</v>
      </c>
    </row>
    <row r="373" spans="1:27" ht="15">
      <c r="A373" s="209" t="str">
        <f>VLOOKUP($H373,Azure!$A:$H,2,0)</f>
        <v>Azure</v>
      </c>
      <c r="B373" s="209" t="s">
        <v>321</v>
      </c>
      <c r="C373" s="209" t="s">
        <v>321</v>
      </c>
      <c r="D373" s="209" t="str">
        <f>VLOOKUP($H373,Azure!$A:$H,5,0)</f>
        <v>Service DevOps Team</v>
      </c>
      <c r="E373" s="209" t="str">
        <f>VLOOKUP($H373,Azure!$A:$H,6,0)</f>
        <v>OVERHEAD/OTHERS</v>
      </c>
      <c r="F373" s="202">
        <f>VLOOKUP(표9[[#This Row],[Team]],표1[[내역]:[코스트 센터]],2,0)</f>
        <v>100033</v>
      </c>
      <c r="G373" s="202" t="str">
        <f>VLOOKUP(표9[[#This Row],[Project]],표2[],2,0)</f>
        <v>I100099999</v>
      </c>
      <c r="H373" s="209" t="s">
        <v>360</v>
      </c>
      <c r="I373" s="209" t="str">
        <f>VLOOKUP($H373,Azure!$A:$H,7,0)</f>
        <v>엄기성</v>
      </c>
      <c r="J373" s="209" t="str">
        <f>VLOOKUP($H373,Azure!$A:$H,8,0)</f>
        <v>엄기성</v>
      </c>
      <c r="K373" s="186"/>
      <c r="L373" s="210">
        <v>0</v>
      </c>
      <c r="M373" s="211">
        <v>0</v>
      </c>
      <c r="N373" s="212"/>
      <c r="O373" s="212"/>
      <c r="P373" s="212"/>
      <c r="Q373" s="212"/>
      <c r="R373" s="212"/>
      <c r="S373" s="212">
        <v>0</v>
      </c>
      <c r="T373" s="212">
        <v>0</v>
      </c>
      <c r="U373" s="212">
        <v>0</v>
      </c>
      <c r="V373" s="205">
        <v>0</v>
      </c>
      <c r="W373" s="205">
        <f>ROUND(표9[[#This Row],[Apr 2026 (USD or KRW)]],0)</f>
        <v>0</v>
      </c>
      <c r="X373" s="212"/>
      <c r="Y373" s="206">
        <f>표9[[#This Row],[Apr 2027(KRW)]]-표9[[#This Row],[Mar 2026(KRW)]]</f>
        <v>0</v>
      </c>
      <c r="Z373" s="213" t="str">
        <f t="shared" si="5"/>
        <v/>
      </c>
      <c r="AA373" s="208">
        <f>VLOOKUP(표9[[#This Row],[Team]],표1[],3,0)</f>
        <v>1000</v>
      </c>
    </row>
    <row r="374" spans="1:27" ht="15">
      <c r="A374" s="209" t="str">
        <f>VLOOKUP($H374,Azure!$A:$H,2,0)</f>
        <v>Azure</v>
      </c>
      <c r="B374" s="209" t="str">
        <f>VLOOKUP($H374,Azure!$A:$H,3,0)</f>
        <v>KRAFTON HQ</v>
      </c>
      <c r="C374" s="209" t="str">
        <f>VLOOKUP($H374,Azure!$A:$H,4,0)</f>
        <v>KRAFTON HQ</v>
      </c>
      <c r="D374" s="209" t="str">
        <f>VLOOKUP($H374,Azure!$A:$H,5,0)</f>
        <v>Service DevOps Team</v>
      </c>
      <c r="E374" s="209" t="str">
        <f>VLOOKUP($H374,Azure!$A:$H,6,0)</f>
        <v>OVERHEAD/OTHERS</v>
      </c>
      <c r="F374" s="202">
        <f>VLOOKUP(표9[[#This Row],[Team]],표1[[내역]:[코스트 센터]],2,0)</f>
        <v>100033</v>
      </c>
      <c r="G374" s="202" t="str">
        <f>VLOOKUP(표9[[#This Row],[Project]],표2[],2,0)</f>
        <v>I100099999</v>
      </c>
      <c r="H374" s="209" t="s">
        <v>361</v>
      </c>
      <c r="I374" s="209" t="str">
        <f>VLOOKUP($H374,Azure!$A:$H,7,0)</f>
        <v>엄기성</v>
      </c>
      <c r="J374" s="209" t="str">
        <f>VLOOKUP($H374,Azure!$A:$H,8,0)</f>
        <v>엄기성</v>
      </c>
      <c r="K374" s="186"/>
      <c r="L374" s="210">
        <v>240056</v>
      </c>
      <c r="M374" s="211">
        <v>221064</v>
      </c>
      <c r="N374" s="212">
        <v>222559</v>
      </c>
      <c r="O374" s="212">
        <v>214214</v>
      </c>
      <c r="P374" s="212">
        <v>199449</v>
      </c>
      <c r="Q374" s="212">
        <v>207198.212</v>
      </c>
      <c r="R374" s="212">
        <v>200526</v>
      </c>
      <c r="S374" s="212">
        <v>207295</v>
      </c>
      <c r="T374" s="212">
        <v>200727</v>
      </c>
      <c r="U374" s="212">
        <v>198608</v>
      </c>
      <c r="V374" s="205">
        <v>202264</v>
      </c>
      <c r="W374" s="205">
        <f>ROUND(표9[[#This Row],[Apr 2026 (USD or KRW)]],0)</f>
        <v>0</v>
      </c>
      <c r="X374" s="224"/>
      <c r="Y374" s="206">
        <f>표9[[#This Row],[Apr 2027(KRW)]]-표9[[#This Row],[Mar 2026(KRW)]]</f>
        <v>-202264</v>
      </c>
      <c r="Z374" s="213">
        <f t="shared" si="5"/>
        <v>-1</v>
      </c>
      <c r="AA374" s="208">
        <f>VLOOKUP(표9[[#This Row],[Team]],표1[],3,0)</f>
        <v>1000</v>
      </c>
    </row>
    <row r="375" spans="1:27" ht="15">
      <c r="A375" s="209" t="str">
        <f>VLOOKUP($H375,Azure!$A:$H,2,0)</f>
        <v>Azure</v>
      </c>
      <c r="B375" s="209" t="s">
        <v>321</v>
      </c>
      <c r="C375" s="209" t="s">
        <v>321</v>
      </c>
      <c r="D375" s="209" t="str">
        <f>VLOOKUP($H375,Azure!$A:$H,5,0)</f>
        <v>Service DevOps Team</v>
      </c>
      <c r="E375" s="209" t="str">
        <f>VLOOKUP($H375,Azure!$A:$H,6,0)</f>
        <v>OVERHEAD/OTHERS</v>
      </c>
      <c r="F375" s="202">
        <f>VLOOKUP(표9[[#This Row],[Team]],표1[[내역]:[코스트 센터]],2,0)</f>
        <v>100033</v>
      </c>
      <c r="G375" s="202" t="str">
        <f>VLOOKUP(표9[[#This Row],[Project]],표2[],2,0)</f>
        <v>I100099999</v>
      </c>
      <c r="H375" s="209" t="s">
        <v>361</v>
      </c>
      <c r="I375" s="209" t="str">
        <f>VLOOKUP($H375,Azure!$A:$H,7,0)</f>
        <v>엄기성</v>
      </c>
      <c r="J375" s="209" t="str">
        <f>VLOOKUP($H375,Azure!$A:$H,8,0)</f>
        <v>엄기성</v>
      </c>
      <c r="K375" s="186"/>
      <c r="L375" s="210">
        <v>393534</v>
      </c>
      <c r="M375" s="211">
        <v>362400</v>
      </c>
      <c r="N375" s="212">
        <v>364850</v>
      </c>
      <c r="O375" s="212">
        <v>351171</v>
      </c>
      <c r="P375" s="212">
        <v>326965</v>
      </c>
      <c r="Q375" s="212">
        <v>326605</v>
      </c>
      <c r="R375" s="212">
        <v>316088</v>
      </c>
      <c r="S375" s="212">
        <v>326758</v>
      </c>
      <c r="T375" s="212">
        <v>316405</v>
      </c>
      <c r="U375" s="212">
        <v>313064</v>
      </c>
      <c r="V375" s="205">
        <v>318828</v>
      </c>
      <c r="W375" s="205">
        <f>ROUND(표9[[#This Row],[Apr 2026 (USD or KRW)]],0)</f>
        <v>0</v>
      </c>
      <c r="X375" s="212"/>
      <c r="Y375" s="206">
        <f>표9[[#This Row],[Apr 2027(KRW)]]-표9[[#This Row],[Mar 2026(KRW)]]</f>
        <v>-318828</v>
      </c>
      <c r="Z375" s="213">
        <f t="shared" si="5"/>
        <v>-1</v>
      </c>
      <c r="AA375" s="208">
        <f>VLOOKUP(표9[[#This Row],[Team]],표1[],3,0)</f>
        <v>1000</v>
      </c>
    </row>
    <row r="376" spans="1:27" ht="15">
      <c r="A376" s="209" t="str">
        <f>VLOOKUP($H376,Azure!$A:$H,2,0)</f>
        <v>Azure</v>
      </c>
      <c r="B376" s="209" t="str">
        <f>VLOOKUP($H376,Azure!$A:$H,3,0)</f>
        <v>KRAFTON HQ</v>
      </c>
      <c r="C376" s="209" t="str">
        <f>VLOOKUP($H376,Azure!$A:$H,4,0)</f>
        <v>KRAFTON HQ</v>
      </c>
      <c r="D376" s="209" t="str">
        <f>VLOOKUP($H376,Azure!$A:$H,5,0)</f>
        <v>System Team</v>
      </c>
      <c r="E376" s="209" t="str">
        <f>VLOOKUP($H376,Azure!$A:$H,6,0)</f>
        <v>OVERHEAD/OTHERS</v>
      </c>
      <c r="F376" s="202">
        <f>VLOOKUP(표9[[#This Row],[Team]],표1[[내역]:[코스트 센터]],2,0)</f>
        <v>100037</v>
      </c>
      <c r="G376" s="202" t="str">
        <f>VLOOKUP(표9[[#This Row],[Project]],표2[],2,0)</f>
        <v>I100099999</v>
      </c>
      <c r="H376" s="209" t="s">
        <v>362</v>
      </c>
      <c r="I376" s="209" t="str">
        <f>VLOOKUP($H376,Azure!$A:$H,7,0)</f>
        <v>백용원</v>
      </c>
      <c r="J376" s="209" t="str">
        <f>VLOOKUP($H376,Azure!$A:$H,8,0)</f>
        <v>백용원</v>
      </c>
      <c r="K376" s="186" t="s">
        <v>29</v>
      </c>
      <c r="L376" s="210">
        <v>4285978</v>
      </c>
      <c r="M376" s="211">
        <v>4535689</v>
      </c>
      <c r="N376" s="212">
        <v>4700283</v>
      </c>
      <c r="O376" s="212">
        <v>4819475</v>
      </c>
      <c r="P376" s="212">
        <v>4998676</v>
      </c>
      <c r="Q376" s="212">
        <v>5333632.9903999995</v>
      </c>
      <c r="R376" s="212">
        <v>6047147</v>
      </c>
      <c r="S376" s="212">
        <v>6555691</v>
      </c>
      <c r="T376" s="212">
        <v>6958431</v>
      </c>
      <c r="U376" s="212">
        <v>7257705</v>
      </c>
      <c r="V376" s="205">
        <v>7379760</v>
      </c>
      <c r="W376" s="205">
        <f>ROUND(표9[[#This Row],[Apr 2026 (USD or KRW)]],0)</f>
        <v>0</v>
      </c>
      <c r="X376" s="224"/>
      <c r="Y376" s="206">
        <f>표9[[#This Row],[Apr 2027(KRW)]]-표9[[#This Row],[Mar 2026(KRW)]]</f>
        <v>-7379760</v>
      </c>
      <c r="Z376" s="213">
        <f t="shared" si="5"/>
        <v>-1</v>
      </c>
      <c r="AA376" s="208">
        <f>VLOOKUP(표9[[#This Row],[Team]],표1[],3,0)</f>
        <v>1000</v>
      </c>
    </row>
    <row r="377" spans="1:27" ht="15">
      <c r="A377" s="209" t="str">
        <f>VLOOKUP($H377,Azure!$A:$H,2,0)</f>
        <v>Azure</v>
      </c>
      <c r="B377" s="209" t="s">
        <v>321</v>
      </c>
      <c r="C377" s="209" t="s">
        <v>321</v>
      </c>
      <c r="D377" s="209" t="str">
        <f>VLOOKUP($H377,Azure!$A:$H,5,0)</f>
        <v>System Team</v>
      </c>
      <c r="E377" s="209" t="str">
        <f>VLOOKUP($H377,Azure!$A:$H,6,0)</f>
        <v>OVERHEAD/OTHERS</v>
      </c>
      <c r="F377" s="202">
        <f>VLOOKUP(표9[[#This Row],[Team]],표1[[내역]:[코스트 센터]],2,0)</f>
        <v>100037</v>
      </c>
      <c r="G377" s="202" t="str">
        <f>VLOOKUP(표9[[#This Row],[Project]],표2[],2,0)</f>
        <v>I100099999</v>
      </c>
      <c r="H377" s="209" t="s">
        <v>362</v>
      </c>
      <c r="I377" s="209" t="str">
        <f>VLOOKUP($H377,Azure!$A:$H,7,0)</f>
        <v>백용원</v>
      </c>
      <c r="J377" s="209" t="str">
        <f>VLOOKUP($H377,Azure!$A:$H,8,0)</f>
        <v>백용원</v>
      </c>
      <c r="K377" s="186" t="s">
        <v>29</v>
      </c>
      <c r="L377" s="210">
        <v>7026194</v>
      </c>
      <c r="M377" s="211">
        <v>7435555</v>
      </c>
      <c r="N377" s="212">
        <v>7705382</v>
      </c>
      <c r="O377" s="212">
        <v>7900779</v>
      </c>
      <c r="P377" s="212">
        <v>8194550</v>
      </c>
      <c r="Q377" s="212">
        <v>8407366</v>
      </c>
      <c r="R377" s="212">
        <v>9532073</v>
      </c>
      <c r="S377" s="212">
        <v>10333687</v>
      </c>
      <c r="T377" s="212">
        <v>10968523</v>
      </c>
      <c r="U377" s="212">
        <v>11440266</v>
      </c>
      <c r="V377" s="205">
        <v>11632661</v>
      </c>
      <c r="W377" s="205">
        <f>ROUND(표9[[#This Row],[Apr 2026 (USD or KRW)]],0)</f>
        <v>0</v>
      </c>
      <c r="X377" s="212"/>
      <c r="Y377" s="206">
        <f>표9[[#This Row],[Apr 2027(KRW)]]-표9[[#This Row],[Mar 2026(KRW)]]</f>
        <v>-11632661</v>
      </c>
      <c r="Z377" s="213">
        <f t="shared" si="5"/>
        <v>-1</v>
      </c>
      <c r="AA377" s="208">
        <f>VLOOKUP(표9[[#This Row],[Team]],표1[],3,0)</f>
        <v>1000</v>
      </c>
    </row>
    <row r="378" spans="1:27" ht="15">
      <c r="A378" s="209" t="str">
        <f>VLOOKUP($H378,Azure!$A:$H,2,0)</f>
        <v>Azure</v>
      </c>
      <c r="B378" s="209" t="str">
        <f>VLOOKUP($H378,Azure!$A:$H,3,0)</f>
        <v>KRAFTON HQ</v>
      </c>
      <c r="C378" s="209" t="str">
        <f>VLOOKUP($H378,Azure!$A:$H,4,0)</f>
        <v>KRAFTON HQ</v>
      </c>
      <c r="D378" s="209" t="str">
        <f>VLOOKUP($H378,Azure!$A:$H,5,0)</f>
        <v>Publishing Portfolio Management Team</v>
      </c>
      <c r="E378" s="209" t="str">
        <f>VLOOKUP($H378,Azure!$A:$H,6,0)</f>
        <v>OVERHEAD/OTHERS</v>
      </c>
      <c r="F378" s="202">
        <f>VLOOKUP(표9[[#This Row],[Team]],표1[[내역]:[코스트 센터]],2,0)</f>
        <v>102057</v>
      </c>
      <c r="G378" s="202" t="str">
        <f>VLOOKUP(표9[[#This Row],[Project]],표2[],2,0)</f>
        <v>I100099999</v>
      </c>
      <c r="H378" s="225" t="s">
        <v>363</v>
      </c>
      <c r="I378" s="226"/>
      <c r="J378" s="209" t="str">
        <f>VLOOKUP($H378,Azure!$A:$H,8,0)</f>
        <v>백상훈</v>
      </c>
      <c r="K378" s="243"/>
      <c r="L378" s="197"/>
      <c r="M378" s="199"/>
      <c r="N378" s="200"/>
      <c r="O378" s="200"/>
      <c r="P378" s="200"/>
      <c r="Q378" s="200"/>
      <c r="R378" s="200"/>
      <c r="S378" s="200"/>
      <c r="T378" s="200"/>
      <c r="U378" s="200"/>
      <c r="V378" s="205">
        <v>394</v>
      </c>
      <c r="W378" s="205">
        <f>ROUND(표9[[#This Row],[Apr 2026 (USD or KRW)]],0)</f>
        <v>0</v>
      </c>
      <c r="X378" s="224"/>
      <c r="Y378" s="206">
        <f>표9[[#This Row],[Apr 2027(KRW)]]-표9[[#This Row],[Mar 2026(KRW)]]</f>
        <v>-394</v>
      </c>
      <c r="Z378" s="213">
        <f t="shared" si="5"/>
        <v>-1</v>
      </c>
      <c r="AA378" s="208">
        <f>VLOOKUP(표9[[#This Row],[Team]],표1[],3,0)</f>
        <v>1000</v>
      </c>
    </row>
    <row r="379" spans="1:27" ht="15">
      <c r="A379" s="209" t="str">
        <f>VLOOKUP($H379,Azure!$A:$H,2,0)</f>
        <v>Azure</v>
      </c>
      <c r="B379" s="209" t="s">
        <v>321</v>
      </c>
      <c r="C379" s="209" t="s">
        <v>321</v>
      </c>
      <c r="D379" s="209" t="str">
        <f>VLOOKUP($H379,Azure!$A:$H,5,0)</f>
        <v>Publishing Portfolio Management Team</v>
      </c>
      <c r="E379" s="209" t="str">
        <f>VLOOKUP($H379,Azure!$A:$H,6,0)</f>
        <v>OVERHEAD/OTHERS</v>
      </c>
      <c r="F379" s="202">
        <f>VLOOKUP(표9[[#This Row],[Team]],표1[[내역]:[코스트 센터]],2,0)</f>
        <v>102057</v>
      </c>
      <c r="G379" s="202" t="str">
        <f>VLOOKUP(표9[[#This Row],[Project]],표2[],2,0)</f>
        <v>I100099999</v>
      </c>
      <c r="H379" s="225" t="s">
        <v>363</v>
      </c>
      <c r="I379" s="226"/>
      <c r="J379" s="209" t="str">
        <f>VLOOKUP($H379,Azure!$A:$H,8,0)</f>
        <v>백상훈</v>
      </c>
      <c r="K379" s="242"/>
      <c r="L379" s="197"/>
      <c r="M379" s="199"/>
      <c r="N379" s="200"/>
      <c r="O379" s="200"/>
      <c r="P379" s="200"/>
      <c r="Q379" s="200"/>
      <c r="R379" s="200"/>
      <c r="S379" s="200"/>
      <c r="T379" s="200"/>
      <c r="U379" s="200"/>
      <c r="V379" s="205">
        <v>621</v>
      </c>
      <c r="W379" s="205">
        <f>ROUND(표9[[#This Row],[Apr 2026 (USD or KRW)]],0)</f>
        <v>0</v>
      </c>
      <c r="X379" s="212"/>
      <c r="Y379" s="206">
        <f>표9[[#This Row],[Apr 2027(KRW)]]-표9[[#This Row],[Mar 2026(KRW)]]</f>
        <v>-621</v>
      </c>
      <c r="Z379" s="213">
        <f t="shared" si="5"/>
        <v>-1</v>
      </c>
      <c r="AA379" s="208">
        <f>VLOOKUP(표9[[#This Row],[Team]],표1[],3,0)</f>
        <v>1000</v>
      </c>
    </row>
    <row r="380" spans="1:27" ht="15">
      <c r="A380" s="209" t="str">
        <f>VLOOKUP($H380,Azure!$A:$H,2,0)</f>
        <v>Azure</v>
      </c>
      <c r="B380" s="209" t="str">
        <f>VLOOKUP($H380,Azure!$A:$H,3,0)</f>
        <v>KRAFTON HQ</v>
      </c>
      <c r="C380" s="209" t="str">
        <f>VLOOKUP($H380,Azure!$A:$H,4,0)</f>
        <v>KRAFTON Montreal</v>
      </c>
      <c r="D380" s="209"/>
      <c r="E380" s="209" t="str">
        <f>VLOOKUP($H380,Azure!$A:$H,6,0)</f>
        <v>OVERHEAD/OTHERS</v>
      </c>
      <c r="F380" s="202" t="e">
        <f>VLOOKUP(표9[[#This Row],[Team]],표1[[내역]:[코스트 센터]],2,0)</f>
        <v>#N/A</v>
      </c>
      <c r="G380" s="202" t="str">
        <f>VLOOKUP(표9[[#This Row],[Project]],표2[],2,0)</f>
        <v>I100099999</v>
      </c>
      <c r="H380" s="209" t="s">
        <v>364</v>
      </c>
      <c r="I380" s="209"/>
      <c r="J380" s="209"/>
      <c r="K380" s="186"/>
      <c r="L380" s="210"/>
      <c r="M380" s="211"/>
      <c r="N380" s="212"/>
      <c r="O380" s="212"/>
      <c r="P380" s="212"/>
      <c r="Q380" s="212"/>
      <c r="R380" s="212"/>
      <c r="S380" s="212">
        <v>7065</v>
      </c>
      <c r="T380" s="212">
        <v>18151</v>
      </c>
      <c r="U380" s="212">
        <v>20331</v>
      </c>
      <c r="V380" s="205">
        <v>22161</v>
      </c>
      <c r="W380" s="205">
        <f>ROUND(표9[[#This Row],[Apr 2026 (USD or KRW)]],0)</f>
        <v>0</v>
      </c>
      <c r="X380" s="224"/>
      <c r="Y380" s="206">
        <f>표9[[#This Row],[Apr 2027(KRW)]]-표9[[#This Row],[Mar 2026(KRW)]]</f>
        <v>-22161</v>
      </c>
      <c r="Z380" s="213">
        <f t="shared" si="5"/>
        <v>-1</v>
      </c>
      <c r="AA380" s="208" t="e">
        <f>VLOOKUP(표9[[#This Row],[Team]],표1[],3,0)</f>
        <v>#N/A</v>
      </c>
    </row>
    <row r="381" spans="1:27" ht="15">
      <c r="A381" s="209" t="str">
        <f>VLOOKUP($H381,Azure!$A:$H,2,0)</f>
        <v>Azure</v>
      </c>
      <c r="B381" s="209" t="s">
        <v>321</v>
      </c>
      <c r="C381" s="209" t="s">
        <v>321</v>
      </c>
      <c r="D381" s="209"/>
      <c r="E381" s="209" t="str">
        <f>VLOOKUP($H381,Azure!$A:$H,6,0)</f>
        <v>OVERHEAD/OTHERS</v>
      </c>
      <c r="F381" s="202" t="e">
        <f>VLOOKUP(표9[[#This Row],[Team]],표1[[내역]:[코스트 센터]],2,0)</f>
        <v>#N/A</v>
      </c>
      <c r="G381" s="202" t="str">
        <f>VLOOKUP(표9[[#This Row],[Project]],표2[],2,0)</f>
        <v>I100099999</v>
      </c>
      <c r="H381" s="209" t="s">
        <v>364</v>
      </c>
      <c r="I381" s="209"/>
      <c r="J381" s="209"/>
      <c r="K381" s="186"/>
      <c r="L381" s="210"/>
      <c r="M381" s="211"/>
      <c r="N381" s="212"/>
      <c r="O381" s="212"/>
      <c r="P381" s="212"/>
      <c r="Q381" s="212"/>
      <c r="R381" s="212"/>
      <c r="S381" s="212"/>
      <c r="T381" s="212">
        <v>28611</v>
      </c>
      <c r="U381" s="212">
        <v>32047</v>
      </c>
      <c r="V381" s="205">
        <v>34933</v>
      </c>
      <c r="W381" s="205">
        <f>ROUND(표9[[#This Row],[Apr 2026 (USD or KRW)]],0)</f>
        <v>0</v>
      </c>
      <c r="X381" s="212"/>
      <c r="Y381" s="206">
        <f>표9[[#This Row],[Apr 2027(KRW)]]-표9[[#This Row],[Mar 2026(KRW)]]</f>
        <v>-34933</v>
      </c>
      <c r="Z381" s="213">
        <f t="shared" si="5"/>
        <v>-1</v>
      </c>
      <c r="AA381" s="208" t="e">
        <f>VLOOKUP(표9[[#This Row],[Team]],표1[],3,0)</f>
        <v>#N/A</v>
      </c>
    </row>
    <row r="382" spans="1:27" ht="15">
      <c r="A382" s="209" t="str">
        <f>VLOOKUP($H382,Azure!$A:$H,2,0)</f>
        <v>Azure</v>
      </c>
      <c r="B382" s="209" t="str">
        <f>VLOOKUP($H382,Azure!$A:$H,3,0)</f>
        <v>KRAFTON HQ</v>
      </c>
      <c r="C382" s="209" t="str">
        <f>VLOOKUP($H382,Azure!$A:$H,4,0)</f>
        <v>KRAFTON HQ</v>
      </c>
      <c r="D382" s="209" t="str">
        <f>VLOOKUP($H382,Azure!$A:$H,5,0)</f>
        <v>L10N Team</v>
      </c>
      <c r="E382" s="209" t="str">
        <f>VLOOKUP($H382,Azure!$A:$H,6,0)</f>
        <v>OVERHEAD/OTHERS</v>
      </c>
      <c r="F382" s="202">
        <f>VLOOKUP(표9[[#This Row],[Team]],표1[[내역]:[코스트 센터]],2,0)</f>
        <v>100092</v>
      </c>
      <c r="G382" s="202" t="str">
        <f>VLOOKUP(표9[[#This Row],[Project]],표2[],2,0)</f>
        <v>I100099999</v>
      </c>
      <c r="H382" s="209" t="s">
        <v>365</v>
      </c>
      <c r="I382" s="209" t="str">
        <f>VLOOKUP($H382,Azure!$A:$H,7,0)</f>
        <v>김재헌</v>
      </c>
      <c r="J382" s="209" t="str">
        <f>VLOOKUP($H382,Azure!$A:$H,8,0)</f>
        <v>전평준</v>
      </c>
      <c r="K382" s="186" t="s">
        <v>29</v>
      </c>
      <c r="L382" s="210">
        <v>3729345</v>
      </c>
      <c r="M382" s="211">
        <v>4503851</v>
      </c>
      <c r="N382" s="212">
        <v>4752644</v>
      </c>
      <c r="O382" s="212">
        <v>4729282</v>
      </c>
      <c r="P382" s="212">
        <v>4570596</v>
      </c>
      <c r="Q382" s="212">
        <v>4875433.784</v>
      </c>
      <c r="R382" s="212">
        <v>6098403</v>
      </c>
      <c r="S382" s="212">
        <v>5160618</v>
      </c>
      <c r="T382" s="212">
        <v>4907736</v>
      </c>
      <c r="U382" s="212">
        <v>4627068</v>
      </c>
      <c r="V382" s="205">
        <v>5020605</v>
      </c>
      <c r="W382" s="205">
        <f>ROUND(표9[[#This Row],[Apr 2026 (USD or KRW)]],0)</f>
        <v>0</v>
      </c>
      <c r="X382" s="224"/>
      <c r="Y382" s="206">
        <f>표9[[#This Row],[Apr 2027(KRW)]]-표9[[#This Row],[Mar 2026(KRW)]]</f>
        <v>-5020605</v>
      </c>
      <c r="Z382" s="213">
        <f t="shared" si="5"/>
        <v>-1</v>
      </c>
      <c r="AA382" s="208">
        <f>VLOOKUP(표9[[#This Row],[Team]],표1[],3,0)</f>
        <v>1000</v>
      </c>
    </row>
    <row r="383" spans="1:27" ht="15">
      <c r="A383" s="209" t="str">
        <f>VLOOKUP($H383,Azure!$A:$H,2,0)</f>
        <v>Azure</v>
      </c>
      <c r="B383" s="209" t="s">
        <v>321</v>
      </c>
      <c r="C383" s="209" t="s">
        <v>321</v>
      </c>
      <c r="D383" s="209" t="str">
        <f>VLOOKUP($H383,Azure!$A:$H,5,0)</f>
        <v>L10N Team</v>
      </c>
      <c r="E383" s="209" t="str">
        <f>VLOOKUP($H383,Azure!$A:$H,6,0)</f>
        <v>OVERHEAD/OTHERS</v>
      </c>
      <c r="F383" s="202">
        <f>VLOOKUP(표9[[#This Row],[Team]],표1[[내역]:[코스트 센터]],2,0)</f>
        <v>100092</v>
      </c>
      <c r="G383" s="202" t="str">
        <f>VLOOKUP(표9[[#This Row],[Project]],표2[],2,0)</f>
        <v>I100099999</v>
      </c>
      <c r="H383" s="209" t="s">
        <v>365</v>
      </c>
      <c r="I383" s="209" t="str">
        <f>VLOOKUP($H383,Azure!$A:$H,7,0)</f>
        <v>김재헌</v>
      </c>
      <c r="J383" s="209" t="str">
        <f>VLOOKUP($H383,Azure!$A:$H,8,0)</f>
        <v>전평준</v>
      </c>
      <c r="K383" s="186"/>
      <c r="L383" s="210">
        <v>6113680</v>
      </c>
      <c r="M383" s="211">
        <v>7383363</v>
      </c>
      <c r="N383" s="212">
        <v>7791220</v>
      </c>
      <c r="O383" s="212">
        <v>7752921</v>
      </c>
      <c r="P383" s="212">
        <v>7492781</v>
      </c>
      <c r="Q383" s="212">
        <v>7685110</v>
      </c>
      <c r="R383" s="212">
        <v>9612868</v>
      </c>
      <c r="S383" s="212">
        <v>8134643</v>
      </c>
      <c r="T383" s="212">
        <v>7736028</v>
      </c>
      <c r="U383" s="212">
        <v>7293613</v>
      </c>
      <c r="V383" s="205">
        <v>7913943</v>
      </c>
      <c r="W383" s="205">
        <f>ROUND(표9[[#This Row],[Apr 2026 (USD or KRW)]],0)</f>
        <v>0</v>
      </c>
      <c r="X383" s="212"/>
      <c r="Y383" s="206">
        <f>표9[[#This Row],[Apr 2027(KRW)]]-표9[[#This Row],[Mar 2026(KRW)]]</f>
        <v>-7913943</v>
      </c>
      <c r="Z383" s="213">
        <f t="shared" si="5"/>
        <v>-1</v>
      </c>
      <c r="AA383" s="208">
        <f>VLOOKUP(표9[[#This Row],[Team]],표1[],3,0)</f>
        <v>1000</v>
      </c>
    </row>
    <row r="384" spans="1:27" ht="15">
      <c r="A384" s="209" t="str">
        <f>VLOOKUP($H384,Azure!$A:$H,2,0)</f>
        <v>Azure</v>
      </c>
      <c r="B384" s="209" t="str">
        <f>VLOOKUP($H384,Azure!$A:$H,3,0)</f>
        <v>KRAFTON HQ</v>
      </c>
      <c r="C384" s="209" t="str">
        <f>VLOOKUP($H384,Azure!$A:$H,4,0)</f>
        <v>PUBG STUDIO</v>
      </c>
      <c r="D384" s="209" t="str">
        <f>VLOOKUP($H384,Azure!$A:$H,5,0)</f>
        <v>MS DevOps Team</v>
      </c>
      <c r="E384" s="209" t="str">
        <f>VLOOKUP($H384,Azure!$A:$H,6,0)</f>
        <v>OVERHEAD/OTHERS</v>
      </c>
      <c r="F384" s="202">
        <f>VLOOKUP(표9[[#This Row],[Team]],표1[[내역]:[코스트 센터]],2,0)</f>
        <v>100774</v>
      </c>
      <c r="G384" s="202" t="str">
        <f>VLOOKUP(표9[[#This Row],[Project]],표2[],2,0)</f>
        <v>I100099999</v>
      </c>
      <c r="H384" s="209" t="s">
        <v>366</v>
      </c>
      <c r="I384" s="209" t="str">
        <f>VLOOKUP($H384,Azure!$A:$H,7,0)</f>
        <v>천궁원</v>
      </c>
      <c r="J384" s="209" t="str">
        <f>VLOOKUP($H384,Azure!$A:$H,8,0)</f>
        <v>엄희영</v>
      </c>
      <c r="K384" s="186" t="s">
        <v>29</v>
      </c>
      <c r="L384" s="210">
        <v>0</v>
      </c>
      <c r="M384" s="211">
        <v>0</v>
      </c>
      <c r="N384" s="212">
        <v>0</v>
      </c>
      <c r="O384" s="212">
        <v>0</v>
      </c>
      <c r="P384" s="212">
        <v>0</v>
      </c>
      <c r="Q384" s="212">
        <v>41443.687248793998</v>
      </c>
      <c r="R384" s="212">
        <v>2547814</v>
      </c>
      <c r="S384" s="212">
        <v>2749611</v>
      </c>
      <c r="T384" s="212">
        <v>2818120</v>
      </c>
      <c r="U384" s="212">
        <v>2285967</v>
      </c>
      <c r="V384" s="205">
        <v>2189229</v>
      </c>
      <c r="W384" s="205">
        <f>ROUND(표9[[#This Row],[Apr 2026 (USD or KRW)]],0)</f>
        <v>0</v>
      </c>
      <c r="X384" s="224"/>
      <c r="Y384" s="206">
        <f>표9[[#This Row],[Apr 2027(KRW)]]-표9[[#This Row],[Mar 2026(KRW)]]</f>
        <v>-2189229</v>
      </c>
      <c r="Z384" s="213">
        <f t="shared" si="5"/>
        <v>-1</v>
      </c>
      <c r="AA384" s="208">
        <f>VLOOKUP(표9[[#This Row],[Team]],표1[],3,0)</f>
        <v>1000</v>
      </c>
    </row>
    <row r="385" spans="1:27" ht="15">
      <c r="A385" s="209" t="str">
        <f>VLOOKUP($H385,Azure!$A:$H,2,0)</f>
        <v>Azure</v>
      </c>
      <c r="B385" s="209" t="s">
        <v>321</v>
      </c>
      <c r="C385" s="209" t="s">
        <v>321</v>
      </c>
      <c r="D385" s="209" t="str">
        <f>VLOOKUP($H385,Azure!$A:$H,5,0)</f>
        <v>MS DevOps Team</v>
      </c>
      <c r="E385" s="209" t="str">
        <f>VLOOKUP($H385,Azure!$A:$H,6,0)</f>
        <v>OVERHEAD/OTHERS</v>
      </c>
      <c r="F385" s="202">
        <f>VLOOKUP(표9[[#This Row],[Team]],표1[[내역]:[코스트 센터]],2,0)</f>
        <v>100774</v>
      </c>
      <c r="G385" s="202" t="str">
        <f>VLOOKUP(표9[[#This Row],[Project]],표2[],2,0)</f>
        <v>I100099999</v>
      </c>
      <c r="H385" s="209" t="s">
        <v>367</v>
      </c>
      <c r="I385" s="209" t="str">
        <f>VLOOKUP($H385,Azure!$A:$H,7,0)</f>
        <v>천궁원</v>
      </c>
      <c r="J385" s="209" t="str">
        <f>VLOOKUP($H385,Azure!$A:$H,8,0)</f>
        <v>엄희영</v>
      </c>
      <c r="K385" s="186" t="s">
        <v>29</v>
      </c>
      <c r="L385" s="210">
        <v>3546603</v>
      </c>
      <c r="M385" s="211">
        <v>0</v>
      </c>
      <c r="N385" s="212">
        <v>3850441</v>
      </c>
      <c r="O385" s="212">
        <v>3103765</v>
      </c>
      <c r="P385" s="212">
        <v>4380720</v>
      </c>
      <c r="Q385" s="212">
        <v>4221852</v>
      </c>
      <c r="R385" s="212">
        <v>4016100</v>
      </c>
      <c r="S385" s="212">
        <v>4334192</v>
      </c>
      <c r="T385" s="212">
        <v>4442182</v>
      </c>
      <c r="U385" s="212">
        <v>3603352</v>
      </c>
      <c r="V385" s="205">
        <v>3450865</v>
      </c>
      <c r="W385" s="205">
        <f>ROUND(표9[[#This Row],[Apr 2026 (USD or KRW)]],0)</f>
        <v>0</v>
      </c>
      <c r="X385" s="212"/>
      <c r="Y385" s="206">
        <f>표9[[#This Row],[Apr 2027(KRW)]]-표9[[#This Row],[Mar 2026(KRW)]]</f>
        <v>-3450865</v>
      </c>
      <c r="Z385" s="213">
        <f t="shared" si="5"/>
        <v>-1</v>
      </c>
      <c r="AA385" s="208">
        <f>VLOOKUP(표9[[#This Row],[Team]],표1[],3,0)</f>
        <v>1000</v>
      </c>
    </row>
    <row r="386" spans="1:27" ht="15">
      <c r="A386" s="209" t="str">
        <f>VLOOKUP($H386,Azure!$A:$H,2,0)</f>
        <v>Azure</v>
      </c>
      <c r="B386" s="209" t="str">
        <f>VLOOKUP($H386,Azure!$A:$H,3,0)</f>
        <v>KRAFTON HQ</v>
      </c>
      <c r="C386" s="209" t="str">
        <f>VLOOKUP($H386,Azure!$A:$H,4,0)</f>
        <v>KRAFTON HQ</v>
      </c>
      <c r="D386" s="209" t="str">
        <f>VLOOKUP($H386,Azure!$A:$H,5,0)</f>
        <v>IN Platform Business Dept._HQ</v>
      </c>
      <c r="E386" s="209" t="str">
        <f>VLOOKUP($H386,Azure!$A:$H,6,0)</f>
        <v>OVERHEAD/OTHERS</v>
      </c>
      <c r="F386" s="202">
        <f>VLOOKUP(표9[[#This Row],[Team]],표1[[내역]:[코스트 센터]],2,0)</f>
        <v>101835</v>
      </c>
      <c r="G386" s="202" t="str">
        <f>VLOOKUP(표9[[#This Row],[Project]],표2[],2,0)</f>
        <v>I100099999</v>
      </c>
      <c r="H386" s="209" t="s">
        <v>368</v>
      </c>
      <c r="I386" s="209" t="str">
        <f>VLOOKUP($H386,Azure!$A:$H,7,0)</f>
        <v>이승우</v>
      </c>
      <c r="J386" s="209" t="str">
        <f>VLOOKUP($H386,Azure!$A:$H,8,0)</f>
        <v>이승우</v>
      </c>
      <c r="K386" s="186"/>
      <c r="L386" s="210"/>
      <c r="M386" s="211"/>
      <c r="N386" s="212"/>
      <c r="O386" s="212"/>
      <c r="P386" s="212"/>
      <c r="Q386" s="212"/>
      <c r="R386" s="212"/>
      <c r="S386" s="212"/>
      <c r="T386" s="212">
        <v>9406566</v>
      </c>
      <c r="U386" s="212">
        <v>0</v>
      </c>
      <c r="V386" s="205">
        <v>0</v>
      </c>
      <c r="W386" s="205">
        <f>ROUND(표9[[#This Row],[Apr 2026 (USD or KRW)]],0)</f>
        <v>0</v>
      </c>
      <c r="X386" s="224"/>
      <c r="Y386" s="206">
        <f>표9[[#This Row],[Apr 2027(KRW)]]-표9[[#This Row],[Mar 2026(KRW)]]</f>
        <v>0</v>
      </c>
      <c r="Z386" s="213" t="str">
        <f t="shared" si="5"/>
        <v/>
      </c>
      <c r="AA386" s="208">
        <f>VLOOKUP(표9[[#This Row],[Team]],표1[],3,0)</f>
        <v>1000</v>
      </c>
    </row>
    <row r="387" spans="1:27" ht="15">
      <c r="A387" s="209" t="s">
        <v>369</v>
      </c>
      <c r="B387" s="209" t="s">
        <v>321</v>
      </c>
      <c r="C387" s="209" t="s">
        <v>321</v>
      </c>
      <c r="D387" s="209" t="str">
        <f>VLOOKUP($H387,Azure!$A:$H,5,0)</f>
        <v>IN Platform Business Dept._HQ</v>
      </c>
      <c r="E387" s="209" t="s">
        <v>370</v>
      </c>
      <c r="F387" s="202">
        <f>VLOOKUP(표9[[#This Row],[Team]],표1[[내역]:[코스트 센터]],2,0)</f>
        <v>101835</v>
      </c>
      <c r="G387" s="202" t="str">
        <f>VLOOKUP(표9[[#This Row],[Project]],표2[],2,0)</f>
        <v>I100099999</v>
      </c>
      <c r="H387" s="209" t="s">
        <v>368</v>
      </c>
      <c r="I387" s="209" t="str">
        <f>VLOOKUP($H387,Azure!$A:$H,7,0)</f>
        <v>이승우</v>
      </c>
      <c r="J387" s="209" t="str">
        <f>VLOOKUP($H387,Azure!$A:$H,8,0)</f>
        <v>이승우</v>
      </c>
      <c r="K387" s="186"/>
      <c r="L387" s="210"/>
      <c r="M387" s="211"/>
      <c r="N387" s="212"/>
      <c r="O387" s="212"/>
      <c r="P387" s="212"/>
      <c r="Q387" s="212"/>
      <c r="R387" s="212"/>
      <c r="S387" s="212"/>
      <c r="T387" s="212">
        <v>0</v>
      </c>
      <c r="U387" s="212">
        <v>0</v>
      </c>
      <c r="V387" s="205">
        <v>0</v>
      </c>
      <c r="W387" s="205">
        <f>ROUND(표9[[#This Row],[Apr 2026 (USD or KRW)]],0)</f>
        <v>0</v>
      </c>
      <c r="X387" s="212"/>
      <c r="Y387" s="206">
        <f>표9[[#This Row],[Apr 2027(KRW)]]-표9[[#This Row],[Mar 2026(KRW)]]</f>
        <v>0</v>
      </c>
      <c r="Z387" s="213" t="str">
        <f t="shared" si="5"/>
        <v/>
      </c>
      <c r="AA387" s="208">
        <f>VLOOKUP(표9[[#This Row],[Team]],표1[],3,0)</f>
        <v>1000</v>
      </c>
    </row>
    <row r="388" spans="1:27" ht="15">
      <c r="A388" s="209" t="str">
        <f>VLOOKUP($H388,Azure!$A:$H,2,0)</f>
        <v>Azure</v>
      </c>
      <c r="B388" s="209" t="str">
        <f>VLOOKUP($H388,Azure!$A:$H,3,0)</f>
        <v>KRAFTON HQ</v>
      </c>
      <c r="C388" s="209" t="str">
        <f>VLOOKUP($H388,Azure!$A:$H,4,0)</f>
        <v>KRAFTON HQ</v>
      </c>
      <c r="D388" s="209" t="str">
        <f>VLOOKUP($H388,Azure!$A:$H,5,0)</f>
        <v>Milestone Review Support Office</v>
      </c>
      <c r="E388" s="209" t="str">
        <f>VLOOKUP($H388,Azure!$A:$H,6,0)</f>
        <v>OVERHEAD/OTHERS</v>
      </c>
      <c r="F388" s="202">
        <f>VLOOKUP(표9[[#This Row],[Team]],표1[[내역]:[코스트 센터]],2,0)</f>
        <v>100090</v>
      </c>
      <c r="G388" s="202" t="str">
        <f>VLOOKUP(표9[[#This Row],[Project]],표2[],2,0)</f>
        <v>I100099999</v>
      </c>
      <c r="H388" s="209" t="s">
        <v>371</v>
      </c>
      <c r="I388" s="209" t="str">
        <f>VLOOKUP($H388,Azure!$A:$H,7,0)</f>
        <v>송진나</v>
      </c>
      <c r="J388" s="209" t="str">
        <f>VLOOKUP($H388,Azure!$A:$H,8,0)</f>
        <v>송진나</v>
      </c>
      <c r="K388" s="186" t="s">
        <v>29</v>
      </c>
      <c r="L388" s="210"/>
      <c r="M388" s="211"/>
      <c r="N388" s="212"/>
      <c r="O388" s="212"/>
      <c r="P388" s="212"/>
      <c r="Q388" s="212"/>
      <c r="R388" s="212"/>
      <c r="S388" s="212"/>
      <c r="T388" s="212">
        <v>17552</v>
      </c>
      <c r="U388" s="212">
        <v>6021</v>
      </c>
      <c r="V388" s="205">
        <v>39863</v>
      </c>
      <c r="W388" s="205">
        <f>ROUND(표9[[#This Row],[Apr 2026 (USD or KRW)]],0)</f>
        <v>0</v>
      </c>
      <c r="X388" s="224"/>
      <c r="Y388" s="206">
        <f>표9[[#This Row],[Apr 2027(KRW)]]-표9[[#This Row],[Mar 2026(KRW)]]</f>
        <v>-39863</v>
      </c>
      <c r="Z388" s="213">
        <f t="shared" si="5"/>
        <v>-1</v>
      </c>
      <c r="AA388" s="208">
        <f>VLOOKUP(표9[[#This Row],[Team]],표1[],3,0)</f>
        <v>1000</v>
      </c>
    </row>
    <row r="389" spans="1:27" ht="15">
      <c r="A389" s="209" t="s">
        <v>369</v>
      </c>
      <c r="B389" s="209" t="s">
        <v>321</v>
      </c>
      <c r="C389" s="209" t="s">
        <v>321</v>
      </c>
      <c r="D389" s="209" t="str">
        <f>VLOOKUP($H389,Azure!$A:$H,5,0)</f>
        <v>Milestone Review Support Office</v>
      </c>
      <c r="E389" s="209" t="s">
        <v>370</v>
      </c>
      <c r="F389" s="202">
        <f>VLOOKUP(표9[[#This Row],[Team]],표1[[내역]:[코스트 센터]],2,0)</f>
        <v>100090</v>
      </c>
      <c r="G389" s="202" t="str">
        <f>VLOOKUP(표9[[#This Row],[Project]],표2[],2,0)</f>
        <v>I100099999</v>
      </c>
      <c r="H389" s="209" t="s">
        <v>371</v>
      </c>
      <c r="I389" s="209" t="str">
        <f>VLOOKUP($H389,Azure!$A:$H,7,0)</f>
        <v>송진나</v>
      </c>
      <c r="J389" s="209" t="str">
        <f>VLOOKUP($H389,Azure!$A:$H,8,0)</f>
        <v>송진나</v>
      </c>
      <c r="K389" s="186" t="s">
        <v>29</v>
      </c>
      <c r="L389" s="210"/>
      <c r="M389" s="211"/>
      <c r="N389" s="212"/>
      <c r="O389" s="212"/>
      <c r="P389" s="212"/>
      <c r="Q389" s="212"/>
      <c r="R389" s="212"/>
      <c r="S389" s="212"/>
      <c r="T389" s="212">
        <v>0</v>
      </c>
      <c r="U389" s="212">
        <v>9491</v>
      </c>
      <c r="V389" s="205">
        <v>62836</v>
      </c>
      <c r="W389" s="205">
        <f>ROUND(표9[[#This Row],[Apr 2026 (USD or KRW)]],0)</f>
        <v>0</v>
      </c>
      <c r="X389" s="212"/>
      <c r="Y389" s="206">
        <f>표9[[#This Row],[Apr 2027(KRW)]]-표9[[#This Row],[Mar 2026(KRW)]]</f>
        <v>-62836</v>
      </c>
      <c r="Z389" s="213">
        <f t="shared" si="5"/>
        <v>-1</v>
      </c>
      <c r="AA389" s="208">
        <f>VLOOKUP(표9[[#This Row],[Team]],표1[],3,0)</f>
        <v>1000</v>
      </c>
    </row>
    <row r="390" spans="1:27" ht="15">
      <c r="A390" s="209" t="str">
        <f>VLOOKUP($H390,Azure!$A:$H,2,0)</f>
        <v>Azure</v>
      </c>
      <c r="B390" s="209" t="str">
        <f>VLOOKUP($H390,Azure!$A:$H,3,0)</f>
        <v>KRAFTON HQ</v>
      </c>
      <c r="C390" s="209" t="str">
        <f>VLOOKUP($H390,Azure!$A:$H,4,0)</f>
        <v>KRAFTON HQ</v>
      </c>
      <c r="D390" s="209" t="str">
        <f>VLOOKUP($H390,Azure!$A:$H,5,0)</f>
        <v>Milestone Review Support Office</v>
      </c>
      <c r="E390" s="209" t="str">
        <f>VLOOKUP($H390,Azure!$A:$H,6,0)</f>
        <v>OVERHEAD/OTHERS</v>
      </c>
      <c r="F390" s="202">
        <f>VLOOKUP(표9[[#This Row],[Team]],표1[[내역]:[코스트 센터]],2,0)</f>
        <v>100090</v>
      </c>
      <c r="G390" s="202" t="str">
        <f>VLOOKUP(표9[[#This Row],[Project]],표2[],2,0)</f>
        <v>I100099999</v>
      </c>
      <c r="H390" s="209" t="s">
        <v>372</v>
      </c>
      <c r="I390" s="209" t="str">
        <f>VLOOKUP($H390,Azure!$A:$H,7,0)</f>
        <v>송진나</v>
      </c>
      <c r="J390" s="209" t="str">
        <f>VLOOKUP($H390,Azure!$A:$H,8,0)</f>
        <v>송진나</v>
      </c>
      <c r="K390" s="186" t="s">
        <v>29</v>
      </c>
      <c r="L390" s="210"/>
      <c r="M390" s="211"/>
      <c r="N390" s="212"/>
      <c r="O390" s="212"/>
      <c r="P390" s="212"/>
      <c r="Q390" s="212"/>
      <c r="R390" s="212"/>
      <c r="S390" s="212"/>
      <c r="T390" s="212"/>
      <c r="U390" s="212">
        <v>68850</v>
      </c>
      <c r="V390" s="205">
        <v>0</v>
      </c>
      <c r="W390" s="205">
        <f>ROUND(표9[[#This Row],[Apr 2026 (USD or KRW)]],0)</f>
        <v>0</v>
      </c>
      <c r="X390" s="224"/>
      <c r="Y390" s="206">
        <f>표9[[#This Row],[Apr 2027(KRW)]]-표9[[#This Row],[Mar 2026(KRW)]]</f>
        <v>0</v>
      </c>
      <c r="Z390" s="213" t="str">
        <f t="shared" si="5"/>
        <v/>
      </c>
      <c r="AA390" s="208">
        <f>VLOOKUP(표9[[#This Row],[Team]],표1[],3,0)</f>
        <v>1000</v>
      </c>
    </row>
    <row r="391" spans="1:27" ht="15">
      <c r="A391" s="209" t="str">
        <f>VLOOKUP($H391,Azure!$A:$H,2,0)</f>
        <v>Azure</v>
      </c>
      <c r="B391" s="209" t="str">
        <f>VLOOKUP($H391,Azure!$A:$H,3,0)</f>
        <v>Nautilus</v>
      </c>
      <c r="C391" s="209" t="str">
        <f>VLOOKUP($H391,Azure!$A:$H,4,0)</f>
        <v>Nautilus</v>
      </c>
      <c r="D391" s="209" t="str">
        <f>VLOOKUP($H391,Azure!$A:$H,5,0)</f>
        <v>Nautilus</v>
      </c>
      <c r="E391" s="209" t="str">
        <f>VLOOKUP($H391,Azure!$A:$H,6,0)</f>
        <v>Nautilus</v>
      </c>
      <c r="F391" s="202" t="e">
        <f>VLOOKUP(표9[[#This Row],[Team]],표1[[내역]:[코스트 센터]],2,0)</f>
        <v>#N/A</v>
      </c>
      <c r="G391" s="202" t="e">
        <f>VLOOKUP(표9[[#This Row],[Project]],표2[],2,0)</f>
        <v>#N/A</v>
      </c>
      <c r="H391" s="209" t="s">
        <v>373</v>
      </c>
      <c r="I391" s="209" t="str">
        <f>VLOOKUP($H391,Azure!$A:$H,7,0)</f>
        <v>Mithil Bhatia</v>
      </c>
      <c r="J391" s="209" t="str">
        <f>VLOOKUP($H391,Azure!$A:$H,8,0)</f>
        <v>Mithil Bhatia</v>
      </c>
      <c r="K391" s="186" t="s">
        <v>29</v>
      </c>
      <c r="L391" s="210"/>
      <c r="M391" s="211"/>
      <c r="N391" s="212"/>
      <c r="O391" s="212">
        <v>0</v>
      </c>
      <c r="P391" s="212">
        <v>9427554</v>
      </c>
      <c r="Q391" s="212">
        <v>605447.25280000002</v>
      </c>
      <c r="R391" s="212">
        <v>18349095</v>
      </c>
      <c r="S391" s="212">
        <v>24970152</v>
      </c>
      <c r="T391" s="212">
        <v>26039966</v>
      </c>
      <c r="U391" s="212">
        <v>26065314</v>
      </c>
      <c r="V391" s="205">
        <v>29799779</v>
      </c>
      <c r="W391" s="205">
        <f>ROUND(표9[[#This Row],[Apr 2026 (USD or KRW)]],0)</f>
        <v>0</v>
      </c>
      <c r="X391" s="224"/>
      <c r="Y391" s="206">
        <f>표9[[#This Row],[Apr 2027(KRW)]]-표9[[#This Row],[Mar 2026(KRW)]]</f>
        <v>-29799779</v>
      </c>
      <c r="Z391" s="213">
        <f t="shared" si="5"/>
        <v>-1</v>
      </c>
      <c r="AA391" s="208" t="e">
        <f>VLOOKUP(표9[[#This Row],[Team]],표1[],3,0)</f>
        <v>#N/A</v>
      </c>
    </row>
    <row r="392" spans="1:27" ht="15">
      <c r="A392" s="209" t="str">
        <f>VLOOKUP($H392,Azure!$A:$H,2,0)</f>
        <v>Azure</v>
      </c>
      <c r="B392" s="209" t="s">
        <v>321</v>
      </c>
      <c r="C392" s="209" t="s">
        <v>321</v>
      </c>
      <c r="D392" s="209" t="str">
        <f>VLOOKUP($H392,Azure!$A:$H,5,0)</f>
        <v>Nautilus</v>
      </c>
      <c r="E392" s="209" t="str">
        <f>VLOOKUP($H392,Azure!$A:$H,6,0)</f>
        <v>Nautilus</v>
      </c>
      <c r="F392" s="202" t="e">
        <f>VLOOKUP(표9[[#This Row],[Team]],표1[[내역]:[코스트 센터]],2,0)</f>
        <v>#N/A</v>
      </c>
      <c r="G392" s="202" t="e">
        <f>VLOOKUP(표9[[#This Row],[Project]],표2[],2,0)</f>
        <v>#N/A</v>
      </c>
      <c r="H392" s="209" t="s">
        <v>373</v>
      </c>
      <c r="I392" s="209"/>
      <c r="J392" s="209"/>
      <c r="K392" s="186"/>
      <c r="L392" s="210"/>
      <c r="M392" s="211"/>
      <c r="N392" s="212">
        <v>4488659</v>
      </c>
      <c r="O392" s="212">
        <v>22485885</v>
      </c>
      <c r="P392" s="212">
        <v>20099067</v>
      </c>
      <c r="Q392" s="212">
        <v>27584638</v>
      </c>
      <c r="R392" s="212">
        <v>29425293</v>
      </c>
      <c r="S392" s="212">
        <v>39360265</v>
      </c>
      <c r="T392" s="212">
        <v>41046604</v>
      </c>
      <c r="U392" s="212">
        <v>41086560</v>
      </c>
      <c r="V392" s="205">
        <v>46973170</v>
      </c>
      <c r="W392" s="205">
        <f>ROUND(표9[[#This Row],[Apr 2026 (USD or KRW)]],0)</f>
        <v>0</v>
      </c>
      <c r="X392" s="212"/>
      <c r="Y392" s="206">
        <f>표9[[#This Row],[Apr 2027(KRW)]]-표9[[#This Row],[Mar 2026(KRW)]]</f>
        <v>-46973170</v>
      </c>
      <c r="Z392" s="213">
        <f t="shared" si="5"/>
        <v>-1</v>
      </c>
      <c r="AA392" s="208" t="e">
        <f>VLOOKUP(표9[[#This Row],[Team]],표1[],3,0)</f>
        <v>#N/A</v>
      </c>
    </row>
    <row r="393" spans="1:27" ht="15">
      <c r="A393" s="209" t="str">
        <f>VLOOKUP($H393,Azure!$A:$H,2,0)</f>
        <v>Azure</v>
      </c>
      <c r="B393" s="209" t="str">
        <f>VLOOKUP($H393,Azure!$A:$H,3,0)</f>
        <v>OVERDARE</v>
      </c>
      <c r="C393" s="209" t="str">
        <f>VLOOKUP($H393,Azure!$A:$H,4,0)</f>
        <v>OVERDARE</v>
      </c>
      <c r="D393" s="209" t="str">
        <f>VLOOKUP($H393,Azure!$A:$H,5,0)</f>
        <v>OVDR People Team</v>
      </c>
      <c r="E393" s="209" t="str">
        <f>VLOOKUP($H393,Azure!$A:$H,6,0)</f>
        <v>OVERHEAD/OTHERS</v>
      </c>
      <c r="F393" s="202">
        <f>VLOOKUP(표9[[#This Row],[Team]],표1[[내역]:[코스트 센터]],2,0)</f>
        <v>460013</v>
      </c>
      <c r="G393" s="202" t="str">
        <f>VLOOKUP(표9[[#This Row],[Project]],표2[],2,0)</f>
        <v>I100099999</v>
      </c>
      <c r="H393" s="209" t="s">
        <v>374</v>
      </c>
      <c r="I393" s="209" t="str">
        <f>VLOOKUP($H393,Azure!$A:$H,7,0)</f>
        <v>나윤호</v>
      </c>
      <c r="J393" s="209" t="str">
        <f>VLOOKUP($H393,Azure!$A:$H,8,0)</f>
        <v>나윤호</v>
      </c>
      <c r="K393" s="186"/>
      <c r="L393" s="210">
        <v>650530</v>
      </c>
      <c r="M393" s="211">
        <v>650530</v>
      </c>
      <c r="N393" s="212">
        <v>639230</v>
      </c>
      <c r="O393" s="212">
        <v>650530</v>
      </c>
      <c r="P393" s="212">
        <v>650530</v>
      </c>
      <c r="Q393" s="212">
        <v>625509.25</v>
      </c>
      <c r="R393" s="212">
        <v>625509</v>
      </c>
      <c r="S393" s="212">
        <v>625509</v>
      </c>
      <c r="T393" s="212">
        <v>625509</v>
      </c>
      <c r="U393" s="212">
        <v>625509</v>
      </c>
      <c r="V393" s="205">
        <v>0</v>
      </c>
      <c r="W393" s="205">
        <f>ROUND(표9[[#This Row],[Apr 2026 (USD or KRW)]],0)</f>
        <v>0</v>
      </c>
      <c r="X393" s="224"/>
      <c r="Y393" s="206">
        <f>표9[[#This Row],[Apr 2027(KRW)]]-표9[[#This Row],[Mar 2026(KRW)]]</f>
        <v>0</v>
      </c>
      <c r="Z393" s="213" t="str">
        <f t="shared" si="5"/>
        <v/>
      </c>
      <c r="AA393" s="208">
        <f>VLOOKUP(표9[[#This Row],[Team]],표1[],3,0)</f>
        <v>4600</v>
      </c>
    </row>
    <row r="394" spans="1:27" ht="15">
      <c r="A394" s="209" t="str">
        <f>VLOOKUP($H394,Azure!$A:$H,2,0)</f>
        <v>Azure</v>
      </c>
      <c r="B394" s="209" t="s">
        <v>321</v>
      </c>
      <c r="C394" s="209" t="s">
        <v>321</v>
      </c>
      <c r="D394" s="209" t="str">
        <f>VLOOKUP($H394,Azure!$A:$H,5,0)</f>
        <v>OVDR People Team</v>
      </c>
      <c r="E394" s="209" t="str">
        <f>VLOOKUP($H394,Azure!$A:$H,6,0)</f>
        <v>OVERHEAD/OTHERS</v>
      </c>
      <c r="F394" s="202">
        <f>VLOOKUP(표9[[#This Row],[Team]],표1[[내역]:[코스트 센터]],2,0)</f>
        <v>460013</v>
      </c>
      <c r="G394" s="202" t="str">
        <f>VLOOKUP(표9[[#This Row],[Project]],표2[],2,0)</f>
        <v>I100099999</v>
      </c>
      <c r="H394" s="209" t="s">
        <v>374</v>
      </c>
      <c r="I394" s="209" t="str">
        <f>VLOOKUP($H394,Azure!$A:$H,7,0)</f>
        <v>나윤호</v>
      </c>
      <c r="J394" s="209" t="str">
        <f>VLOOKUP($H394,Azure!$A:$H,8,0)</f>
        <v>나윤호</v>
      </c>
      <c r="K394" s="186"/>
      <c r="L394" s="210">
        <v>1066442</v>
      </c>
      <c r="M394" s="211">
        <v>1066442</v>
      </c>
      <c r="N394" s="212">
        <v>1047918</v>
      </c>
      <c r="O394" s="212">
        <v>1066442</v>
      </c>
      <c r="P394" s="212">
        <v>1066442</v>
      </c>
      <c r="Q394" s="212">
        <v>1025425</v>
      </c>
      <c r="R394" s="212">
        <v>1025425</v>
      </c>
      <c r="S394" s="212">
        <v>1025425</v>
      </c>
      <c r="T394" s="212">
        <v>1025425</v>
      </c>
      <c r="U394" s="212">
        <v>1025425</v>
      </c>
      <c r="V394" s="205">
        <v>0</v>
      </c>
      <c r="W394" s="205">
        <f>ROUND(표9[[#This Row],[Apr 2026 (USD or KRW)]],0)</f>
        <v>0</v>
      </c>
      <c r="X394" s="212"/>
      <c r="Y394" s="206">
        <f>표9[[#This Row],[Apr 2027(KRW)]]-표9[[#This Row],[Mar 2026(KRW)]]</f>
        <v>0</v>
      </c>
      <c r="Z394" s="213" t="str">
        <f t="shared" si="5"/>
        <v/>
      </c>
      <c r="AA394" s="208">
        <f>VLOOKUP(표9[[#This Row],[Team]],표1[],3,0)</f>
        <v>4600</v>
      </c>
    </row>
    <row r="395" spans="1:27" ht="15">
      <c r="A395" s="209" t="str">
        <f>VLOOKUP($H395,Azure!$A:$H,2,0)</f>
        <v>Azure</v>
      </c>
      <c r="B395" s="209" t="str">
        <f>VLOOKUP($H395,Azure!$A:$H,3,0)</f>
        <v>KRAFTON HQ</v>
      </c>
      <c r="C395" s="209" t="str">
        <f>VLOOKUP($H395,Azure!$A:$H,4,0)</f>
        <v>PUBG STUDIO</v>
      </c>
      <c r="D395" s="209" t="str">
        <f>VLOOKUP($H395,Azure!$A:$H,5,0)</f>
        <v>Black Budget Div.</v>
      </c>
      <c r="E395" s="209" t="str">
        <f>VLOOKUP($H395,Azure!$A:$H,6,0)</f>
        <v>BLACK BUDGET</v>
      </c>
      <c r="F395" s="202">
        <f>VLOOKUP(표9[[#This Row],[Team]],표1[[내역]:[코스트 센터]],2,0)</f>
        <v>100829</v>
      </c>
      <c r="G395" s="202" t="str">
        <f>VLOOKUP(표9[[#This Row],[Project]],표2[],2,0)</f>
        <v>P100010048</v>
      </c>
      <c r="H395" s="209" t="s">
        <v>375</v>
      </c>
      <c r="I395" s="209" t="str">
        <f>VLOOKUP($H395,Azure!$A:$H,7,0)</f>
        <v>조원빈</v>
      </c>
      <c r="J395" s="209" t="str">
        <f>VLOOKUP($H395,Azure!$A:$H,8,0)</f>
        <v>조원빈</v>
      </c>
      <c r="K395" s="186"/>
      <c r="L395" s="210">
        <v>64923422</v>
      </c>
      <c r="M395" s="211">
        <v>32400079</v>
      </c>
      <c r="N395" s="212">
        <v>67015755</v>
      </c>
      <c r="O395" s="212">
        <v>93084079</v>
      </c>
      <c r="P395" s="212">
        <v>86855377</v>
      </c>
      <c r="Q395" s="212">
        <v>98894909.464000002</v>
      </c>
      <c r="R395" s="212">
        <v>86537325</v>
      </c>
      <c r="S395" s="212">
        <v>193495469</v>
      </c>
      <c r="T395" s="212">
        <v>100301273</v>
      </c>
      <c r="U395" s="212">
        <v>99110413</v>
      </c>
      <c r="V395" s="205">
        <v>107833504</v>
      </c>
      <c r="W395" s="205">
        <f>ROUND(표9[[#This Row],[Apr 2026 (USD or KRW)]],0)</f>
        <v>0</v>
      </c>
      <c r="X395" s="224"/>
      <c r="Y395" s="206">
        <f>표9[[#This Row],[Apr 2027(KRW)]]-표9[[#This Row],[Mar 2026(KRW)]]</f>
        <v>-107833504</v>
      </c>
      <c r="Z395" s="213">
        <f t="shared" si="5"/>
        <v>-1</v>
      </c>
      <c r="AA395" s="208">
        <f>VLOOKUP(표9[[#This Row],[Team]],표1[],3,0)</f>
        <v>1000</v>
      </c>
    </row>
    <row r="396" spans="1:27" ht="15">
      <c r="A396" s="209" t="str">
        <f>VLOOKUP($H396,Azure!$A:$H,2,0)</f>
        <v>Azure</v>
      </c>
      <c r="B396" s="209" t="s">
        <v>321</v>
      </c>
      <c r="C396" s="209" t="s">
        <v>321</v>
      </c>
      <c r="D396" s="209" t="str">
        <f>VLOOKUP($H396,Azure!$A:$H,5,0)</f>
        <v>Black Budget Div.</v>
      </c>
      <c r="E396" s="209" t="str">
        <f>VLOOKUP($H396,Azure!$A:$H,6,0)</f>
        <v>BLACK BUDGET</v>
      </c>
      <c r="F396" s="202">
        <f>VLOOKUP(표9[[#This Row],[Team]],표1[[내역]:[코스트 센터]],2,0)</f>
        <v>100829</v>
      </c>
      <c r="G396" s="202" t="str">
        <f>VLOOKUP(표9[[#This Row],[Project]],표2[],2,0)</f>
        <v>P100010048</v>
      </c>
      <c r="H396" s="209" t="s">
        <v>376</v>
      </c>
      <c r="I396" s="209" t="str">
        <f>VLOOKUP($H396,Azure!$A:$H,7,0)</f>
        <v>조원빈</v>
      </c>
      <c r="J396" s="209" t="str">
        <f>VLOOKUP($H396,Azure!$A:$H,8,0)</f>
        <v>조원빈</v>
      </c>
      <c r="K396" s="186"/>
      <c r="L396" s="210">
        <v>106431840</v>
      </c>
      <c r="M396" s="211">
        <v>53114884</v>
      </c>
      <c r="N396" s="212">
        <v>109861894</v>
      </c>
      <c r="O396" s="212">
        <v>152596850</v>
      </c>
      <c r="P396" s="212">
        <v>142385864</v>
      </c>
      <c r="Q396" s="212">
        <v>155887310</v>
      </c>
      <c r="R396" s="212">
        <v>136408141</v>
      </c>
      <c r="S396" s="212">
        <v>305005468</v>
      </c>
      <c r="T396" s="212">
        <v>158104150</v>
      </c>
      <c r="U396" s="212">
        <v>156227007</v>
      </c>
      <c r="V396" s="205">
        <v>169977150</v>
      </c>
      <c r="W396" s="205">
        <f>ROUND(표9[[#This Row],[Apr 2026 (USD or KRW)]],0)</f>
        <v>0</v>
      </c>
      <c r="X396" s="212"/>
      <c r="Y396" s="206">
        <f>표9[[#This Row],[Apr 2027(KRW)]]-표9[[#This Row],[Mar 2026(KRW)]]</f>
        <v>-169977150</v>
      </c>
      <c r="Z396" s="213">
        <f t="shared" si="5"/>
        <v>-1</v>
      </c>
      <c r="AA396" s="208">
        <f>VLOOKUP(표9[[#This Row],[Team]],표1[],3,0)</f>
        <v>1000</v>
      </c>
    </row>
    <row r="397" spans="1:27" ht="15">
      <c r="A397" s="209" t="str">
        <f>VLOOKUP($H397,Azure!$A:$H,2,0)</f>
        <v>Azure</v>
      </c>
      <c r="B397" s="209" t="str">
        <f>VLOOKUP($H397,Azure!$A:$H,3,0)</f>
        <v>KRAFTON HQ</v>
      </c>
      <c r="C397" s="209" t="str">
        <f>VLOOKUP($H397,Azure!$A:$H,4,0)</f>
        <v>KRAFTON HQ</v>
      </c>
      <c r="D397" s="209" t="str">
        <f>VLOOKUP($H397,Azure!$A:$H,5,0)</f>
        <v>KOS Engineering Dept.</v>
      </c>
      <c r="E397" s="209" t="str">
        <f>VLOOKUP($H397,Azure!$A:$H,6,0)</f>
        <v>OVERHEAD/OTHERS</v>
      </c>
      <c r="F397" s="202">
        <f>VLOOKUP(표9[[#This Row],[Team]],표1[[내역]:[코스트 센터]],2,0)</f>
        <v>100025</v>
      </c>
      <c r="G397" s="202" t="str">
        <f>VLOOKUP(표9[[#This Row],[Project]],표2[],2,0)</f>
        <v>I100099999</v>
      </c>
      <c r="H397" s="209" t="s">
        <v>377</v>
      </c>
      <c r="I397" s="209" t="str">
        <f>VLOOKUP($H397,Azure!$A:$H,7,0)</f>
        <v>조국환</v>
      </c>
      <c r="J397" s="209" t="str">
        <f>VLOOKUP($H397,Azure!$A:$H,8,0)</f>
        <v>신근우</v>
      </c>
      <c r="K397" s="186"/>
      <c r="L397" s="210">
        <v>27264</v>
      </c>
      <c r="M397" s="211">
        <v>153677</v>
      </c>
      <c r="N397" s="212">
        <v>155119</v>
      </c>
      <c r="O397" s="212">
        <v>148833</v>
      </c>
      <c r="P397" s="212">
        <v>89015</v>
      </c>
      <c r="Q397" s="212">
        <v>88956.202399999995</v>
      </c>
      <c r="R397" s="212">
        <v>86061</v>
      </c>
      <c r="S397" s="212">
        <v>88809</v>
      </c>
      <c r="T397" s="212">
        <v>86604</v>
      </c>
      <c r="U397" s="212">
        <v>84916</v>
      </c>
      <c r="V397" s="205">
        <v>86931</v>
      </c>
      <c r="W397" s="205">
        <f>ROUND(표9[[#This Row],[Apr 2026 (USD or KRW)]],0)</f>
        <v>0</v>
      </c>
      <c r="X397" s="224"/>
      <c r="Y397" s="206">
        <f>표9[[#This Row],[Apr 2027(KRW)]]-표9[[#This Row],[Mar 2026(KRW)]]</f>
        <v>-86931</v>
      </c>
      <c r="Z397" s="213">
        <f t="shared" si="5"/>
        <v>-1</v>
      </c>
      <c r="AA397" s="208">
        <f>VLOOKUP(표9[[#This Row],[Team]],표1[],3,0)</f>
        <v>1000</v>
      </c>
    </row>
    <row r="398" spans="1:27" ht="15">
      <c r="A398" s="209" t="str">
        <f>VLOOKUP($H398,Azure!$A:$H,2,0)</f>
        <v>Azure</v>
      </c>
      <c r="B398" s="209" t="s">
        <v>321</v>
      </c>
      <c r="C398" s="209" t="s">
        <v>321</v>
      </c>
      <c r="D398" s="209" t="str">
        <f>VLOOKUP($H398,Azure!$A:$H,5,0)</f>
        <v>KOS Engineering Dept.</v>
      </c>
      <c r="E398" s="209" t="str">
        <f>VLOOKUP($H398,Azure!$A:$H,6,0)</f>
        <v>OVERHEAD/OTHERS</v>
      </c>
      <c r="F398" s="202">
        <f>VLOOKUP(표9[[#This Row],[Team]],표1[[내역]:[코스트 센터]],2,0)</f>
        <v>100025</v>
      </c>
      <c r="G398" s="202" t="str">
        <f>VLOOKUP(표9[[#This Row],[Project]],표2[],2,0)</f>
        <v>I100099999</v>
      </c>
      <c r="H398" s="209" t="s">
        <v>377</v>
      </c>
      <c r="I398" s="209" t="str">
        <f>VLOOKUP($H398,Azure!$A:$H,7,0)</f>
        <v>조국환</v>
      </c>
      <c r="J398" s="209" t="str">
        <f>VLOOKUP($H398,Azure!$A:$H,8,0)</f>
        <v>신근우</v>
      </c>
      <c r="K398" s="186"/>
      <c r="L398" s="210">
        <v>44695</v>
      </c>
      <c r="M398" s="211">
        <v>251929</v>
      </c>
      <c r="N398" s="212">
        <v>254294</v>
      </c>
      <c r="O398" s="212">
        <v>243989</v>
      </c>
      <c r="P398" s="212">
        <v>145927</v>
      </c>
      <c r="Q398" s="212">
        <v>140221</v>
      </c>
      <c r="R398" s="212">
        <v>135657</v>
      </c>
      <c r="S398" s="212">
        <v>139989</v>
      </c>
      <c r="T398" s="212">
        <v>136513</v>
      </c>
      <c r="U398" s="212">
        <v>133853</v>
      </c>
      <c r="V398" s="205">
        <v>137028</v>
      </c>
      <c r="W398" s="205">
        <f>ROUND(표9[[#This Row],[Apr 2026 (USD or KRW)]],0)</f>
        <v>0</v>
      </c>
      <c r="X398" s="212"/>
      <c r="Y398" s="206">
        <f>표9[[#This Row],[Apr 2027(KRW)]]-표9[[#This Row],[Mar 2026(KRW)]]</f>
        <v>-137028</v>
      </c>
      <c r="Z398" s="213">
        <f t="shared" si="5"/>
        <v>-1</v>
      </c>
      <c r="AA398" s="208">
        <f>VLOOKUP(표9[[#This Row],[Team]],표1[],3,0)</f>
        <v>1000</v>
      </c>
    </row>
    <row r="399" spans="1:27" ht="15">
      <c r="A399" s="209" t="str">
        <f>VLOOKUP($H399,Azure!$A:$H,2,0)</f>
        <v>Azure</v>
      </c>
      <c r="B399" s="209" t="str">
        <f>VLOOKUP($H399,Azure!$A:$H,3,0)</f>
        <v>Flyway Games</v>
      </c>
      <c r="C399" s="209" t="str">
        <f>VLOOKUP($H399,Azure!$A:$H,4,0)</f>
        <v>Flyway Games</v>
      </c>
      <c r="D399" s="209" t="str">
        <f>VLOOKUP($H399,Azure!$A:$H,5,0)</f>
        <v>Service DevOps Team</v>
      </c>
      <c r="E399" s="209" t="str">
        <f>VLOOKUP($H399,Azure!$A:$H,6,0)</f>
        <v>Project MC</v>
      </c>
      <c r="F399" s="202">
        <f>VLOOKUP(표9[[#This Row],[Team]],표1[[내역]:[코스트 센터]],2,0)</f>
        <v>100033</v>
      </c>
      <c r="G399" s="202" t="e">
        <f>VLOOKUP(표9[[#This Row],[Project]],표2[],2,0)</f>
        <v>#N/A</v>
      </c>
      <c r="H399" s="209" t="s">
        <v>378</v>
      </c>
      <c r="I399" s="209" t="str">
        <f>VLOOKUP($H399,Azure!$A:$H,7,0)</f>
        <v>엄기성</v>
      </c>
      <c r="J399" s="209" t="str">
        <f>VLOOKUP($H399,Azure!$A:$H,8,0)</f>
        <v>엄기성</v>
      </c>
      <c r="K399" s="186"/>
      <c r="L399" s="210">
        <v>0</v>
      </c>
      <c r="M399" s="211"/>
      <c r="N399" s="212"/>
      <c r="O399" s="212"/>
      <c r="P399" s="212"/>
      <c r="Q399" s="212"/>
      <c r="R399" s="212"/>
      <c r="S399" s="212">
        <v>0</v>
      </c>
      <c r="T399" s="212">
        <v>0</v>
      </c>
      <c r="U399" s="212">
        <v>0</v>
      </c>
      <c r="V399" s="205">
        <v>0</v>
      </c>
      <c r="W399" s="205">
        <f>ROUND(표9[[#This Row],[Apr 2026 (USD or KRW)]],0)</f>
        <v>0</v>
      </c>
      <c r="X399" s="224"/>
      <c r="Y399" s="206">
        <f>표9[[#This Row],[Apr 2027(KRW)]]-표9[[#This Row],[Mar 2026(KRW)]]</f>
        <v>0</v>
      </c>
      <c r="Z399" s="213" t="str">
        <f t="shared" si="5"/>
        <v/>
      </c>
      <c r="AA399" s="208">
        <f>VLOOKUP(표9[[#This Row],[Team]],표1[],3,0)</f>
        <v>1000</v>
      </c>
    </row>
    <row r="400" spans="1:27" ht="15">
      <c r="A400" s="209" t="str">
        <f>VLOOKUP($H400,Azure!$A:$H,2,0)</f>
        <v>Azure</v>
      </c>
      <c r="B400" s="209" t="s">
        <v>321</v>
      </c>
      <c r="C400" s="209" t="s">
        <v>321</v>
      </c>
      <c r="D400" s="209" t="str">
        <f>VLOOKUP($H400,Azure!$A:$H,5,0)</f>
        <v>Service DevOps Team</v>
      </c>
      <c r="E400" s="209" t="str">
        <f>VLOOKUP($H400,Azure!$A:$H,6,0)</f>
        <v>Project MC</v>
      </c>
      <c r="F400" s="202">
        <f>VLOOKUP(표9[[#This Row],[Team]],표1[[내역]:[코스트 센터]],2,0)</f>
        <v>100033</v>
      </c>
      <c r="G400" s="202" t="e">
        <f>VLOOKUP(표9[[#This Row],[Project]],표2[],2,0)</f>
        <v>#N/A</v>
      </c>
      <c r="H400" s="209" t="s">
        <v>378</v>
      </c>
      <c r="I400" s="209" t="str">
        <f>VLOOKUP($H400,Azure!$A:$H,7,0)</f>
        <v>엄기성</v>
      </c>
      <c r="J400" s="209" t="str">
        <f>VLOOKUP($H400,Azure!$A:$H,8,0)</f>
        <v>엄기성</v>
      </c>
      <c r="K400" s="186"/>
      <c r="L400" s="210">
        <v>0</v>
      </c>
      <c r="M400" s="211">
        <v>0</v>
      </c>
      <c r="N400" s="212"/>
      <c r="O400" s="212"/>
      <c r="P400" s="212"/>
      <c r="Q400" s="212"/>
      <c r="R400" s="212"/>
      <c r="S400" s="212">
        <v>0</v>
      </c>
      <c r="T400" s="212">
        <v>0</v>
      </c>
      <c r="U400" s="212">
        <v>0</v>
      </c>
      <c r="V400" s="205">
        <v>0</v>
      </c>
      <c r="W400" s="205">
        <f>ROUND(표9[[#This Row],[Apr 2026 (USD or KRW)]],0)</f>
        <v>0</v>
      </c>
      <c r="X400" s="212"/>
      <c r="Y400" s="206">
        <f>표9[[#This Row],[Apr 2027(KRW)]]-표9[[#This Row],[Mar 2026(KRW)]]</f>
        <v>0</v>
      </c>
      <c r="Z400" s="213" t="str">
        <f t="shared" si="5"/>
        <v/>
      </c>
      <c r="AA400" s="208">
        <f>VLOOKUP(표9[[#This Row],[Team]],표1[],3,0)</f>
        <v>1000</v>
      </c>
    </row>
    <row r="401" spans="1:27" ht="15">
      <c r="A401" s="209" t="str">
        <f>VLOOKUP($H401,Azure!$A:$H,2,0)</f>
        <v>Azure</v>
      </c>
      <c r="B401" s="209" t="str">
        <f>VLOOKUP($H401,Azure!$A:$H,3,0)</f>
        <v>KRAFTON HQ</v>
      </c>
      <c r="C401" s="209" t="str">
        <f>VLOOKUP($H401,Azure!$A:$H,4,0)</f>
        <v>PUBG STUDIO</v>
      </c>
      <c r="D401" s="209" t="str">
        <f>VLOOKUP($H401,Azure!$A:$H,5,0)</f>
        <v>PUBG PC&amp;Console Dev Div.</v>
      </c>
      <c r="E401" s="209" t="str">
        <f>VLOOKUP($H401,Azure!$A:$H,6,0)</f>
        <v>BATTLEGROUNDS_PC/CONSOLE</v>
      </c>
      <c r="F401" s="202">
        <f>VLOOKUP(표9[[#This Row],[Team]],표1[[내역]:[코스트 센터]],2,0)</f>
        <v>100414</v>
      </c>
      <c r="G401" s="202" t="str">
        <f>VLOOKUP(표9[[#This Row],[Project]],표2[],2,0)</f>
        <v>P100010012</v>
      </c>
      <c r="H401" s="209" t="s">
        <v>379</v>
      </c>
      <c r="I401" s="209" t="str">
        <f>VLOOKUP($H401,Azure!$A:$H,7,0)</f>
        <v>김정헌</v>
      </c>
      <c r="J401" s="209" t="str">
        <f>VLOOKUP($H401,Azure!$A:$H,8,0)</f>
        <v>최준석</v>
      </c>
      <c r="K401" s="186" t="s">
        <v>29</v>
      </c>
      <c r="L401" s="210">
        <v>43349022</v>
      </c>
      <c r="M401" s="211">
        <v>40223578</v>
      </c>
      <c r="N401" s="212">
        <v>34438652</v>
      </c>
      <c r="O401" s="212">
        <v>29686673</v>
      </c>
      <c r="P401" s="212">
        <v>28623552</v>
      </c>
      <c r="Q401" s="212">
        <v>29541266.757599998</v>
      </c>
      <c r="R401" s="212">
        <v>40130689</v>
      </c>
      <c r="S401" s="212">
        <v>55695481</v>
      </c>
      <c r="T401" s="212">
        <v>57950978</v>
      </c>
      <c r="U401" s="212">
        <v>65344334</v>
      </c>
      <c r="V401" s="205">
        <v>62481829</v>
      </c>
      <c r="W401" s="205">
        <f>ROUND(표9[[#This Row],[Apr 2026 (USD or KRW)]],0)</f>
        <v>0</v>
      </c>
      <c r="X401" s="224"/>
      <c r="Y401" s="206">
        <f>표9[[#This Row],[Apr 2027(KRW)]]-표9[[#This Row],[Mar 2026(KRW)]]</f>
        <v>-62481829</v>
      </c>
      <c r="Z401" s="213">
        <f t="shared" si="5"/>
        <v>-1</v>
      </c>
      <c r="AA401" s="208">
        <f>VLOOKUP(표9[[#This Row],[Team]],표1[],3,0)</f>
        <v>1000</v>
      </c>
    </row>
    <row r="402" spans="1:27" ht="15">
      <c r="A402" s="209" t="str">
        <f>VLOOKUP($H402,Azure!$A:$H,2,0)</f>
        <v>Azure</v>
      </c>
      <c r="B402" s="209" t="s">
        <v>321</v>
      </c>
      <c r="C402" s="209" t="s">
        <v>321</v>
      </c>
      <c r="D402" s="209" t="str">
        <f>VLOOKUP($H402,Azure!$A:$H,5,0)</f>
        <v>PUBG PC&amp;Console Dev Div.</v>
      </c>
      <c r="E402" s="209" t="str">
        <f>VLOOKUP($H402,Azure!$A:$H,6,0)</f>
        <v>BATTLEGROUNDS_PC/CONSOLE</v>
      </c>
      <c r="F402" s="202">
        <f>VLOOKUP(표9[[#This Row],[Team]],표1[[내역]:[코스트 센터]],2,0)</f>
        <v>100414</v>
      </c>
      <c r="G402" s="202" t="str">
        <f>VLOOKUP(표9[[#This Row],[Project]],표2[],2,0)</f>
        <v>P100010012</v>
      </c>
      <c r="H402" s="209" t="s">
        <v>379</v>
      </c>
      <c r="I402" s="209" t="str">
        <f>VLOOKUP($H402,Azure!$A:$H,7,0)</f>
        <v>김정헌</v>
      </c>
      <c r="J402" s="209" t="str">
        <f>VLOOKUP($H402,Azure!$A:$H,8,0)</f>
        <v>최준석</v>
      </c>
      <c r="K402" s="186" t="s">
        <v>29</v>
      </c>
      <c r="L402" s="210">
        <v>71063971</v>
      </c>
      <c r="M402" s="211">
        <v>65940291</v>
      </c>
      <c r="N402" s="212">
        <v>56456807</v>
      </c>
      <c r="O402" s="212">
        <v>48666677</v>
      </c>
      <c r="P402" s="212">
        <v>46923856</v>
      </c>
      <c r="Q402" s="212">
        <v>46565679</v>
      </c>
      <c r="R402" s="212">
        <v>63257706</v>
      </c>
      <c r="S402" s="212">
        <v>87792373</v>
      </c>
      <c r="T402" s="212">
        <v>91347696</v>
      </c>
      <c r="U402" s="212">
        <v>103001788</v>
      </c>
      <c r="V402" s="205">
        <v>98489642</v>
      </c>
      <c r="W402" s="205">
        <f>ROUND(표9[[#This Row],[Apr 2026 (USD or KRW)]],0)</f>
        <v>0</v>
      </c>
      <c r="X402" s="212"/>
      <c r="Y402" s="206">
        <f>표9[[#This Row],[Apr 2027(KRW)]]-표9[[#This Row],[Mar 2026(KRW)]]</f>
        <v>-98489642</v>
      </c>
      <c r="Z402" s="213">
        <f t="shared" si="5"/>
        <v>-1</v>
      </c>
      <c r="AA402" s="208">
        <f>VLOOKUP(표9[[#This Row],[Team]],표1[],3,0)</f>
        <v>1000</v>
      </c>
    </row>
    <row r="403" spans="1:27" ht="15">
      <c r="A403" s="209" t="str">
        <f>VLOOKUP($H403,Azure!$A:$H,2,0)</f>
        <v>Azure</v>
      </c>
      <c r="B403" s="209" t="str">
        <f>VLOOKUP($H403,Azure!$A:$H,3,0)</f>
        <v>KRAFTON HQ</v>
      </c>
      <c r="C403" s="209" t="str">
        <f>VLOOKUP($H403,Azure!$A:$H,4,0)</f>
        <v>PUBG STUDIO</v>
      </c>
      <c r="D403" s="209" t="str">
        <f>VLOOKUP($H403,Azure!$A:$H,5,0)</f>
        <v>PUBG PC&amp;Console Dev Div.</v>
      </c>
      <c r="E403" s="209" t="str">
        <f>VLOOKUP($H403,Azure!$A:$H,6,0)</f>
        <v>BATTLEGROUNDS_PC/CONSOLE</v>
      </c>
      <c r="F403" s="202">
        <f>VLOOKUP(표9[[#This Row],[Team]],표1[[내역]:[코스트 센터]],2,0)</f>
        <v>100414</v>
      </c>
      <c r="G403" s="202" t="str">
        <f>VLOOKUP(표9[[#This Row],[Project]],표2[],2,0)</f>
        <v>P100010012</v>
      </c>
      <c r="H403" s="209" t="s">
        <v>380</v>
      </c>
      <c r="I403" s="209" t="str">
        <f>VLOOKUP($H403,Azure!$A:$H,7,0)</f>
        <v>김정헌</v>
      </c>
      <c r="J403" s="209" t="str">
        <f>VLOOKUP($H403,Azure!$A:$H,8,0)</f>
        <v>최준석</v>
      </c>
      <c r="K403" s="186" t="s">
        <v>29</v>
      </c>
      <c r="L403" s="210">
        <v>31892561</v>
      </c>
      <c r="M403" s="211">
        <v>29032457</v>
      </c>
      <c r="N403" s="212">
        <v>27276188</v>
      </c>
      <c r="O403" s="212">
        <v>28936216</v>
      </c>
      <c r="P403" s="212">
        <v>46992394</v>
      </c>
      <c r="Q403" s="212">
        <v>37244470.660800003</v>
      </c>
      <c r="R403" s="212">
        <v>39551595</v>
      </c>
      <c r="S403" s="212">
        <v>42634095</v>
      </c>
      <c r="T403" s="212">
        <v>44015945</v>
      </c>
      <c r="U403" s="212">
        <v>43136249</v>
      </c>
      <c r="V403" s="205">
        <v>44909556</v>
      </c>
      <c r="W403" s="205">
        <f>ROUND(표9[[#This Row],[Apr 2026 (USD or KRW)]],0)</f>
        <v>0</v>
      </c>
      <c r="X403" s="224"/>
      <c r="Y403" s="206">
        <f>표9[[#This Row],[Apr 2027(KRW)]]-표9[[#This Row],[Mar 2026(KRW)]]</f>
        <v>-44909556</v>
      </c>
      <c r="Z403" s="213">
        <f t="shared" si="5"/>
        <v>-1</v>
      </c>
      <c r="AA403" s="208">
        <f>VLOOKUP(표9[[#This Row],[Team]],표1[],3,0)</f>
        <v>1000</v>
      </c>
    </row>
    <row r="404" spans="1:27" ht="15">
      <c r="A404" s="209" t="str">
        <f>VLOOKUP($H404,Azure!$A:$H,2,0)</f>
        <v>Azure</v>
      </c>
      <c r="B404" s="209" t="s">
        <v>321</v>
      </c>
      <c r="C404" s="209" t="s">
        <v>321</v>
      </c>
      <c r="D404" s="209" t="str">
        <f>VLOOKUP($H404,Azure!$A:$H,5,0)</f>
        <v>PUBG PC&amp;Console Dev Div.</v>
      </c>
      <c r="E404" s="209" t="str">
        <f>VLOOKUP($H404,Azure!$A:$H,6,0)</f>
        <v>BATTLEGROUNDS_PC/CONSOLE</v>
      </c>
      <c r="F404" s="202">
        <f>VLOOKUP(표9[[#This Row],[Team]],표1[[내역]:[코스트 센터]],2,0)</f>
        <v>100414</v>
      </c>
      <c r="G404" s="202" t="str">
        <f>VLOOKUP(표9[[#This Row],[Project]],표2[],2,0)</f>
        <v>P100010012</v>
      </c>
      <c r="H404" s="209" t="s">
        <v>381</v>
      </c>
      <c r="I404" s="209" t="str">
        <f>VLOOKUP($H404,Azure!$A:$H,7,0)</f>
        <v>김정헌</v>
      </c>
      <c r="J404" s="209" t="str">
        <f>VLOOKUP($H404,Azure!$A:$H,8,0)</f>
        <v>최준석</v>
      </c>
      <c r="K404" s="186" t="s">
        <v>29</v>
      </c>
      <c r="L404" s="210">
        <v>52282887</v>
      </c>
      <c r="M404" s="211">
        <v>47594192</v>
      </c>
      <c r="N404" s="212">
        <v>44715062</v>
      </c>
      <c r="O404" s="212">
        <v>47436420</v>
      </c>
      <c r="P404" s="212">
        <v>77036712</v>
      </c>
      <c r="Q404" s="212">
        <v>58708182</v>
      </c>
      <c r="R404" s="212">
        <v>62344885</v>
      </c>
      <c r="S404" s="212">
        <v>67203806</v>
      </c>
      <c r="T404" s="212">
        <v>69382006</v>
      </c>
      <c r="U404" s="212">
        <v>67995349</v>
      </c>
      <c r="V404" s="205">
        <v>70790599</v>
      </c>
      <c r="W404" s="205">
        <f>ROUND(표9[[#This Row],[Apr 2026 (USD or KRW)]],0)</f>
        <v>0</v>
      </c>
      <c r="X404" s="212"/>
      <c r="Y404" s="206">
        <f>표9[[#This Row],[Apr 2027(KRW)]]-표9[[#This Row],[Mar 2026(KRW)]]</f>
        <v>-70790599</v>
      </c>
      <c r="Z404" s="213">
        <f t="shared" si="5"/>
        <v>-1</v>
      </c>
      <c r="AA404" s="208">
        <f>VLOOKUP(표9[[#This Row],[Team]],표1[],3,0)</f>
        <v>1000</v>
      </c>
    </row>
    <row r="405" spans="1:27" ht="15">
      <c r="A405" s="209" t="str">
        <f>VLOOKUP($H405,Azure!$A:$H,2,0)</f>
        <v>Azure</v>
      </c>
      <c r="B405" s="209" t="str">
        <f>VLOOKUP($H405,Azure!$A:$H,3,0)</f>
        <v>KRAFTON HQ</v>
      </c>
      <c r="C405" s="209" t="str">
        <f>VLOOKUP($H405,Azure!$A:$H,4,0)</f>
        <v>PUBG STUDIO</v>
      </c>
      <c r="D405" s="209" t="str">
        <f>VLOOKUP($H405,Azure!$A:$H,5,0)</f>
        <v>PUBG PC&amp;Console Dev Div.</v>
      </c>
      <c r="E405" s="209" t="str">
        <f>VLOOKUP($H405,Azure!$A:$H,6,0)</f>
        <v>BATTLEGROUNDS_PC/CONSOLE</v>
      </c>
      <c r="F405" s="202">
        <f>VLOOKUP(표9[[#This Row],[Team]],표1[[내역]:[코스트 센터]],2,0)</f>
        <v>100414</v>
      </c>
      <c r="G405" s="202" t="str">
        <f>VLOOKUP(표9[[#This Row],[Project]],표2[],2,0)</f>
        <v>P100010012</v>
      </c>
      <c r="H405" s="209" t="s">
        <v>382</v>
      </c>
      <c r="I405" s="209" t="str">
        <f>VLOOKUP($H405,Azure!$A:$H,7,0)</f>
        <v>김정헌</v>
      </c>
      <c r="J405" s="209" t="str">
        <f>VLOOKUP($H405,Azure!$A:$H,8,0)</f>
        <v>최준석</v>
      </c>
      <c r="K405" s="186" t="s">
        <v>29</v>
      </c>
      <c r="L405" s="210">
        <v>654122055</v>
      </c>
      <c r="M405" s="211">
        <v>632675274</v>
      </c>
      <c r="N405" s="212">
        <v>643153731</v>
      </c>
      <c r="O405" s="212">
        <v>613043775</v>
      </c>
      <c r="P405" s="212">
        <v>583476656</v>
      </c>
      <c r="Q405" s="212">
        <v>629518453.13759995</v>
      </c>
      <c r="R405" s="212">
        <v>566841287</v>
      </c>
      <c r="S405" s="212">
        <v>608623170</v>
      </c>
      <c r="T405" s="212">
        <v>614123098</v>
      </c>
      <c r="U405" s="212">
        <v>545561778</v>
      </c>
      <c r="V405" s="205">
        <v>674310259</v>
      </c>
      <c r="W405" s="205">
        <f>ROUND(표9[[#This Row],[Apr 2026 (USD or KRW)]],0)</f>
        <v>0</v>
      </c>
      <c r="X405" s="224"/>
      <c r="Y405" s="206">
        <f>표9[[#This Row],[Apr 2027(KRW)]]-표9[[#This Row],[Mar 2026(KRW)]]</f>
        <v>-674310259</v>
      </c>
      <c r="Z405" s="213">
        <f t="shared" ref="Z405:Z468" si="6">IF(V405=0,"",(W405-V405)/V405)</f>
        <v>-1</v>
      </c>
      <c r="AA405" s="208">
        <f>VLOOKUP(표9[[#This Row],[Team]],표1[],3,0)</f>
        <v>1000</v>
      </c>
    </row>
    <row r="406" spans="1:27" ht="15">
      <c r="A406" s="209" t="str">
        <f>VLOOKUP($H406,Azure!$A:$H,2,0)</f>
        <v>Azure</v>
      </c>
      <c r="B406" s="209" t="s">
        <v>321</v>
      </c>
      <c r="C406" s="209" t="s">
        <v>321</v>
      </c>
      <c r="D406" s="209" t="str">
        <f>VLOOKUP($H406,Azure!$A:$H,5,0)</f>
        <v>PUBG PC&amp;Console Dev Div.</v>
      </c>
      <c r="E406" s="209" t="str">
        <f>VLOOKUP($H406,Azure!$A:$H,6,0)</f>
        <v>BATTLEGROUNDS_PC/CONSOLE</v>
      </c>
      <c r="F406" s="202">
        <f>VLOOKUP(표9[[#This Row],[Team]],표1[[내역]:[코스트 센터]],2,0)</f>
        <v>100414</v>
      </c>
      <c r="G406" s="202" t="str">
        <f>VLOOKUP(표9[[#This Row],[Project]],표2[],2,0)</f>
        <v>P100010012</v>
      </c>
      <c r="H406" s="209" t="s">
        <v>383</v>
      </c>
      <c r="I406" s="209" t="str">
        <f>VLOOKUP($H406,Azure!$A:$H,7,0)</f>
        <v>김정헌</v>
      </c>
      <c r="J406" s="209" t="str">
        <f>VLOOKUP($H406,Azure!$A:$H,8,0)</f>
        <v>최준석</v>
      </c>
      <c r="K406" s="186" t="s">
        <v>29</v>
      </c>
      <c r="L406" s="210">
        <v>1072331238</v>
      </c>
      <c r="M406" s="211">
        <v>1037172581</v>
      </c>
      <c r="N406" s="212">
        <v>1054350379</v>
      </c>
      <c r="O406" s="212">
        <v>1004989795</v>
      </c>
      <c r="P406" s="212">
        <v>956519110</v>
      </c>
      <c r="Q406" s="212">
        <v>992305254</v>
      </c>
      <c r="R406" s="212">
        <v>893507704</v>
      </c>
      <c r="S406" s="212">
        <v>959368174</v>
      </c>
      <c r="T406" s="212">
        <v>968037670</v>
      </c>
      <c r="U406" s="212">
        <v>859964972</v>
      </c>
      <c r="V406" s="205">
        <v>1062910245</v>
      </c>
      <c r="W406" s="205">
        <f>ROUND(표9[[#This Row],[Apr 2026 (USD or KRW)]],0)</f>
        <v>0</v>
      </c>
      <c r="X406" s="212"/>
      <c r="Y406" s="206">
        <f>표9[[#This Row],[Apr 2027(KRW)]]-표9[[#This Row],[Mar 2026(KRW)]]</f>
        <v>-1062910245</v>
      </c>
      <c r="Z406" s="213">
        <f t="shared" si="6"/>
        <v>-1</v>
      </c>
      <c r="AA406" s="208">
        <f>VLOOKUP(표9[[#This Row],[Team]],표1[],3,0)</f>
        <v>1000</v>
      </c>
    </row>
    <row r="407" spans="1:27" ht="15">
      <c r="A407" s="209" t="str">
        <f>VLOOKUP($H407,Azure!$A:$H,2,0)</f>
        <v>Azure</v>
      </c>
      <c r="B407" s="209" t="str">
        <f>VLOOKUP($H407,Azure!$A:$H,3,0)</f>
        <v>KRAFTON HQ</v>
      </c>
      <c r="C407" s="209" t="str">
        <f>VLOOKUP($H407,Azure!$A:$H,4,0)</f>
        <v>KRAFTON HQ</v>
      </c>
      <c r="D407" s="209" t="str">
        <f>VLOOKUP($H407,Azure!$A:$H,5,0)</f>
        <v>BGMI DevOps Team</v>
      </c>
      <c r="E407" s="209" t="str">
        <f>VLOOKUP($H407,Azure!$A:$H,6,0)</f>
        <v>(2022)BATTLEGROUNDS_MOBILE_IN</v>
      </c>
      <c r="F407" s="202">
        <f>VLOOKUP(표9[[#This Row],[Team]],표1[[내역]:[코스트 센터]],2,0)</f>
        <v>100553</v>
      </c>
      <c r="G407" s="202" t="str">
        <f>VLOOKUP(표9[[#This Row],[Project]],표2[],2,0)</f>
        <v>P100130012</v>
      </c>
      <c r="H407" s="209" t="s">
        <v>384</v>
      </c>
      <c r="I407" s="209" t="str">
        <f>VLOOKUP($H407,Azure!$A:$H,7,0)</f>
        <v>조동현</v>
      </c>
      <c r="J407" s="209" t="str">
        <f>VLOOKUP($H407,Azure!$A:$H,8,0)</f>
        <v>조한경</v>
      </c>
      <c r="K407" s="186" t="s">
        <v>29</v>
      </c>
      <c r="L407" s="210">
        <v>2868169594</v>
      </c>
      <c r="M407" s="211">
        <v>2635352434</v>
      </c>
      <c r="N407" s="212">
        <v>2853663210</v>
      </c>
      <c r="O407" s="212">
        <v>2918228070</v>
      </c>
      <c r="P407" s="212">
        <v>2712037527</v>
      </c>
      <c r="Q407" s="212">
        <v>2788638480.5584002</v>
      </c>
      <c r="R407" s="212">
        <v>2638062712</v>
      </c>
      <c r="S407" s="212">
        <v>2719853599</v>
      </c>
      <c r="T407" s="212">
        <v>2681886330</v>
      </c>
      <c r="U407" s="212">
        <v>2590022339</v>
      </c>
      <c r="V407" s="205">
        <v>2628154164</v>
      </c>
      <c r="W407" s="205">
        <f>ROUND(표9[[#This Row],[Apr 2026 (USD or KRW)]],0)</f>
        <v>0</v>
      </c>
      <c r="X407" s="224"/>
      <c r="Y407" s="206">
        <f>표9[[#This Row],[Apr 2027(KRW)]]-표9[[#This Row],[Mar 2026(KRW)]]</f>
        <v>-2628154164</v>
      </c>
      <c r="Z407" s="213">
        <f t="shared" si="6"/>
        <v>-1</v>
      </c>
      <c r="AA407" s="208">
        <f>VLOOKUP(표9[[#This Row],[Team]],표1[],3,0)</f>
        <v>1000</v>
      </c>
    </row>
    <row r="408" spans="1:27" ht="15">
      <c r="A408" s="209" t="str">
        <f>VLOOKUP($H408,Azure!$A:$H,2,0)</f>
        <v>Azure</v>
      </c>
      <c r="B408" s="209" t="s">
        <v>321</v>
      </c>
      <c r="C408" s="209" t="s">
        <v>321</v>
      </c>
      <c r="D408" s="209" t="str">
        <f>VLOOKUP($H408,Azure!$A:$H,5,0)</f>
        <v>BGMI DevOps Team</v>
      </c>
      <c r="E408" s="209" t="str">
        <f>VLOOKUP($H408,Azure!$A:$H,6,0)</f>
        <v>(2022)BATTLEGROUNDS_MOBILE_IN</v>
      </c>
      <c r="F408" s="202">
        <f>VLOOKUP(표9[[#This Row],[Team]],표1[[내역]:[코스트 센터]],2,0)</f>
        <v>100553</v>
      </c>
      <c r="G408" s="202" t="str">
        <f>VLOOKUP(표9[[#This Row],[Project]],표2[],2,0)</f>
        <v>P100130012</v>
      </c>
      <c r="H408" s="209" t="s">
        <v>385</v>
      </c>
      <c r="I408" s="209" t="str">
        <f>VLOOKUP($H408,Azure!$A:$H,7,0)</f>
        <v>조동현</v>
      </c>
      <c r="J408" s="209" t="str">
        <f>VLOOKUP($H408,Azure!$A:$H,8,0)</f>
        <v>조한경</v>
      </c>
      <c r="K408" s="186"/>
      <c r="L408" s="210">
        <v>4701917367</v>
      </c>
      <c r="M408" s="211">
        <v>4320249892</v>
      </c>
      <c r="N408" s="212">
        <v>4678136410</v>
      </c>
      <c r="O408" s="212">
        <v>4783980440</v>
      </c>
      <c r="P408" s="212">
        <v>4445963159</v>
      </c>
      <c r="Q408" s="212">
        <v>4395710086</v>
      </c>
      <c r="R408" s="212">
        <v>4158358621</v>
      </c>
      <c r="S408" s="212">
        <v>4287447886</v>
      </c>
      <c r="T408" s="212">
        <v>4227437468</v>
      </c>
      <c r="U408" s="212">
        <v>4082632942</v>
      </c>
      <c r="V408" s="205">
        <v>4142739853</v>
      </c>
      <c r="W408" s="205">
        <f>ROUND(표9[[#This Row],[Apr 2026 (USD or KRW)]],0)</f>
        <v>0</v>
      </c>
      <c r="X408" s="212"/>
      <c r="Y408" s="206">
        <f>표9[[#This Row],[Apr 2027(KRW)]]-표9[[#This Row],[Mar 2026(KRW)]]</f>
        <v>-4142739853</v>
      </c>
      <c r="Z408" s="213">
        <f t="shared" si="6"/>
        <v>-1</v>
      </c>
      <c r="AA408" s="208">
        <f>VLOOKUP(표9[[#This Row],[Team]],표1[],3,0)</f>
        <v>1000</v>
      </c>
    </row>
    <row r="409" spans="1:27" ht="15">
      <c r="A409" s="209" t="str">
        <f>VLOOKUP($H409,Azure!$A:$H,2,0)</f>
        <v>Azure</v>
      </c>
      <c r="B409" s="209" t="str">
        <f>VLOOKUP($H409,Azure!$A:$H,3,0)</f>
        <v>KRAFTON HQ</v>
      </c>
      <c r="C409" s="209" t="str">
        <f>VLOOKUP($H409,Azure!$A:$H,4,0)</f>
        <v>KRAFTON HQ</v>
      </c>
      <c r="D409" s="209" t="str">
        <f>VLOOKUP($H409,Azure!$A:$H,5,0)</f>
        <v>BGMI DevOps Team</v>
      </c>
      <c r="E409" s="209" t="str">
        <f>VLOOKUP($H409,Azure!$A:$H,6,0)</f>
        <v>(2022)BATTLEGROUNDS_MOBILE_IN</v>
      </c>
      <c r="F409" s="202">
        <f>VLOOKUP(표9[[#This Row],[Team]],표1[[내역]:[코스트 센터]],2,0)</f>
        <v>100553</v>
      </c>
      <c r="G409" s="202" t="str">
        <f>VLOOKUP(표9[[#This Row],[Project]],표2[],2,0)</f>
        <v>P100130012</v>
      </c>
      <c r="H409" s="209" t="s">
        <v>386</v>
      </c>
      <c r="I409" s="209" t="str">
        <f>VLOOKUP($H409,Azure!$A:$H,7,0)</f>
        <v>조동현</v>
      </c>
      <c r="J409" s="209" t="str">
        <f>VLOOKUP($H409,Azure!$A:$H,8,0)</f>
        <v>조한경</v>
      </c>
      <c r="K409" s="186" t="s">
        <v>29</v>
      </c>
      <c r="L409" s="210">
        <v>5918183</v>
      </c>
      <c r="M409" s="211">
        <v>10063622</v>
      </c>
      <c r="N409" s="212">
        <v>7652918</v>
      </c>
      <c r="O409" s="212">
        <v>6458424</v>
      </c>
      <c r="P409" s="212">
        <v>5882031</v>
      </c>
      <c r="Q409" s="212">
        <v>7633905.2192000002</v>
      </c>
      <c r="R409" s="212">
        <v>8523777</v>
      </c>
      <c r="S409" s="212">
        <v>8947618</v>
      </c>
      <c r="T409" s="212">
        <v>9256166</v>
      </c>
      <c r="U409" s="212">
        <v>8813779</v>
      </c>
      <c r="V409" s="205">
        <v>9441613</v>
      </c>
      <c r="W409" s="205">
        <f>ROUND(표9[[#This Row],[Apr 2026 (USD or KRW)]],0)</f>
        <v>0</v>
      </c>
      <c r="X409" s="224"/>
      <c r="Y409" s="206">
        <f>표9[[#This Row],[Apr 2027(KRW)]]-표9[[#This Row],[Mar 2026(KRW)]]</f>
        <v>-9441613</v>
      </c>
      <c r="Z409" s="213">
        <f t="shared" si="6"/>
        <v>-1</v>
      </c>
      <c r="AA409" s="208">
        <f>VLOOKUP(표9[[#This Row],[Team]],표1[],3,0)</f>
        <v>1000</v>
      </c>
    </row>
    <row r="410" spans="1:27" ht="15">
      <c r="A410" s="209" t="str">
        <f>VLOOKUP($H410,Azure!$A:$H,2,0)</f>
        <v>Azure</v>
      </c>
      <c r="B410" s="209" t="s">
        <v>321</v>
      </c>
      <c r="C410" s="209" t="s">
        <v>321</v>
      </c>
      <c r="D410" s="209" t="str">
        <f>VLOOKUP($H410,Azure!$A:$H,5,0)</f>
        <v>BGMI DevOps Team</v>
      </c>
      <c r="E410" s="209" t="str">
        <f>VLOOKUP($H410,Azure!$A:$H,6,0)</f>
        <v>(2022)BATTLEGROUNDS_MOBILE_IN</v>
      </c>
      <c r="F410" s="202">
        <f>VLOOKUP(표9[[#This Row],[Team]],표1[[내역]:[코스트 센터]],2,0)</f>
        <v>100553</v>
      </c>
      <c r="G410" s="202" t="str">
        <f>VLOOKUP(표9[[#This Row],[Project]],표2[],2,0)</f>
        <v>P100130012</v>
      </c>
      <c r="H410" s="209" t="s">
        <v>386</v>
      </c>
      <c r="I410" s="209" t="str">
        <f>VLOOKUP($H410,Azure!$A:$H,7,0)</f>
        <v>조동현</v>
      </c>
      <c r="J410" s="209" t="str">
        <f>VLOOKUP($H410,Azure!$A:$H,8,0)</f>
        <v>조한경</v>
      </c>
      <c r="K410" s="186"/>
      <c r="L410" s="210">
        <v>9701940</v>
      </c>
      <c r="M410" s="211">
        <v>16497741</v>
      </c>
      <c r="N410" s="212">
        <v>12545767</v>
      </c>
      <c r="O410" s="212">
        <v>10587581</v>
      </c>
      <c r="P410" s="212">
        <v>9642674</v>
      </c>
      <c r="Q410" s="212">
        <v>12033268</v>
      </c>
      <c r="R410" s="212">
        <v>13435967</v>
      </c>
      <c r="S410" s="212">
        <v>14104063</v>
      </c>
      <c r="T410" s="212">
        <v>14590426</v>
      </c>
      <c r="U410" s="212">
        <v>13893094</v>
      </c>
      <c r="V410" s="205">
        <v>14882745</v>
      </c>
      <c r="W410" s="205">
        <f>ROUND(표9[[#This Row],[Apr 2026 (USD or KRW)]],0)</f>
        <v>0</v>
      </c>
      <c r="X410" s="212"/>
      <c r="Y410" s="206">
        <f>표9[[#This Row],[Apr 2027(KRW)]]-표9[[#This Row],[Mar 2026(KRW)]]</f>
        <v>-14882745</v>
      </c>
      <c r="Z410" s="213">
        <f t="shared" si="6"/>
        <v>-1</v>
      </c>
      <c r="AA410" s="208">
        <f>VLOOKUP(표9[[#This Row],[Team]],표1[],3,0)</f>
        <v>1000</v>
      </c>
    </row>
    <row r="411" spans="1:27" ht="15">
      <c r="A411" s="209" t="str">
        <f>VLOOKUP($H411,Azure!$A:$H,2,0)</f>
        <v>Azure</v>
      </c>
      <c r="B411" s="209" t="str">
        <f>VLOOKUP($H411,Azure!$A:$H,3,0)</f>
        <v>KRAFTON HQ</v>
      </c>
      <c r="C411" s="209" t="str">
        <f>VLOOKUP($H411,Azure!$A:$H,4,0)</f>
        <v>PUBG STUDIO</v>
      </c>
      <c r="D411" s="209" t="str">
        <f>VLOOKUP($H411,Azure!$A:$H,5,0)</f>
        <v>PUBG Valor Div.</v>
      </c>
      <c r="E411" s="209" t="str">
        <f>VLOOKUP($H411,Azure!$A:$H,6,0)</f>
        <v>Valor_console</v>
      </c>
      <c r="F411" s="202">
        <f>VLOOKUP(표9[[#This Row],[Team]],표1[[내역]:[코스트 센터]],2,0)</f>
        <v>100459</v>
      </c>
      <c r="G411" s="202" t="str">
        <f>VLOOKUP(표9[[#This Row],[Project]],표2[],2,0)</f>
        <v>P100020081</v>
      </c>
      <c r="H411" s="209" t="s">
        <v>387</v>
      </c>
      <c r="I411" s="209" t="str">
        <f>VLOOKUP($H411,Azure!$A:$H,7,0)</f>
        <v>송영재</v>
      </c>
      <c r="J411" s="209" t="str">
        <f>VLOOKUP($H411,Azure!$A:$H,8,0)</f>
        <v>송영재</v>
      </c>
      <c r="K411" s="186"/>
      <c r="L411" s="210">
        <v>0</v>
      </c>
      <c r="M411" s="211">
        <v>0</v>
      </c>
      <c r="N411" s="212"/>
      <c r="O411" s="212"/>
      <c r="P411" s="212"/>
      <c r="Q411" s="212"/>
      <c r="R411" s="212"/>
      <c r="S411" s="212">
        <v>0</v>
      </c>
      <c r="T411" s="212">
        <v>0</v>
      </c>
      <c r="U411" s="212">
        <v>0</v>
      </c>
      <c r="V411" s="205">
        <v>0</v>
      </c>
      <c r="W411" s="205">
        <f>ROUND(표9[[#This Row],[Apr 2026 (USD or KRW)]],0)</f>
        <v>0</v>
      </c>
      <c r="X411" s="224"/>
      <c r="Y411" s="206">
        <f>표9[[#This Row],[Apr 2027(KRW)]]-표9[[#This Row],[Mar 2026(KRW)]]</f>
        <v>0</v>
      </c>
      <c r="Z411" s="213" t="str">
        <f t="shared" si="6"/>
        <v/>
      </c>
      <c r="AA411" s="208">
        <f>VLOOKUP(표9[[#This Row],[Team]],표1[],3,0)</f>
        <v>1000</v>
      </c>
    </row>
    <row r="412" spans="1:27" ht="15">
      <c r="A412" s="209" t="str">
        <f>VLOOKUP($H412,Azure!$A:$H,2,0)</f>
        <v>Azure</v>
      </c>
      <c r="B412" s="209" t="s">
        <v>321</v>
      </c>
      <c r="C412" s="209" t="s">
        <v>321</v>
      </c>
      <c r="D412" s="209" t="str">
        <f>VLOOKUP($H412,Azure!$A:$H,5,0)</f>
        <v>PUBG Valor Div.</v>
      </c>
      <c r="E412" s="209" t="str">
        <f>VLOOKUP($H412,Azure!$A:$H,6,0)</f>
        <v>Valor_console</v>
      </c>
      <c r="F412" s="202">
        <f>VLOOKUP(표9[[#This Row],[Team]],표1[[내역]:[코스트 센터]],2,0)</f>
        <v>100459</v>
      </c>
      <c r="G412" s="202" t="str">
        <f>VLOOKUP(표9[[#This Row],[Project]],표2[],2,0)</f>
        <v>P100020081</v>
      </c>
      <c r="H412" s="209" t="s">
        <v>387</v>
      </c>
      <c r="I412" s="209" t="str">
        <f>VLOOKUP($H412,Azure!$A:$H,7,0)</f>
        <v>송영재</v>
      </c>
      <c r="J412" s="209" t="str">
        <f>VLOOKUP($H412,Azure!$A:$H,8,0)</f>
        <v>송영재</v>
      </c>
      <c r="K412" s="186"/>
      <c r="L412" s="210">
        <v>0</v>
      </c>
      <c r="M412" s="211">
        <v>0</v>
      </c>
      <c r="N412" s="212"/>
      <c r="O412" s="212"/>
      <c r="P412" s="212"/>
      <c r="Q412" s="212"/>
      <c r="R412" s="212"/>
      <c r="S412" s="212">
        <v>0</v>
      </c>
      <c r="T412" s="212">
        <v>0</v>
      </c>
      <c r="U412" s="212">
        <v>0</v>
      </c>
      <c r="V412" s="205">
        <v>0</v>
      </c>
      <c r="W412" s="205">
        <f>ROUND(표9[[#This Row],[Apr 2026 (USD or KRW)]],0)</f>
        <v>0</v>
      </c>
      <c r="X412" s="212"/>
      <c r="Y412" s="206">
        <f>표9[[#This Row],[Apr 2027(KRW)]]-표9[[#This Row],[Mar 2026(KRW)]]</f>
        <v>0</v>
      </c>
      <c r="Z412" s="213" t="str">
        <f t="shared" si="6"/>
        <v/>
      </c>
      <c r="AA412" s="208">
        <f>VLOOKUP(표9[[#This Row],[Team]],표1[],3,0)</f>
        <v>1000</v>
      </c>
    </row>
    <row r="413" spans="1:27" ht="15">
      <c r="A413" s="209" t="str">
        <f>VLOOKUP($H413,Azure!$A:$H,2,0)</f>
        <v>Azure</v>
      </c>
      <c r="B413" s="209" t="s">
        <v>321</v>
      </c>
      <c r="C413" s="209" t="s">
        <v>321</v>
      </c>
      <c r="D413" s="209" t="str">
        <f>VLOOKUP($H413,Azure!$A:$H,5,0)</f>
        <v>ReLU Dev Dept.</v>
      </c>
      <c r="E413" s="209" t="str">
        <f>VLOOKUP($H413,Azure!$A:$H,6,0)</f>
        <v>ReLU Games</v>
      </c>
      <c r="F413" s="202" t="e">
        <f>VLOOKUP(표9[[#This Row],[Team]],표1[[내역]:[코스트 센터]],2,0)</f>
        <v>#N/A</v>
      </c>
      <c r="G413" s="202" t="e">
        <f>VLOOKUP(표9[[#This Row],[Project]],표2[],2,0)</f>
        <v>#N/A</v>
      </c>
      <c r="H413" s="209" t="s">
        <v>388</v>
      </c>
      <c r="I413" s="209" t="str">
        <f>VLOOKUP($H413,Azure!$A:$H,7,0)</f>
        <v>이기문</v>
      </c>
      <c r="J413" s="209" t="str">
        <f>VLOOKUP($H413,Azure!$A:$H,8,0)</f>
        <v>이기문</v>
      </c>
      <c r="K413" s="186"/>
      <c r="L413" s="210">
        <v>436911</v>
      </c>
      <c r="M413" s="211">
        <v>437712</v>
      </c>
      <c r="N413" s="212">
        <v>439454</v>
      </c>
      <c r="O413" s="212">
        <v>436084</v>
      </c>
      <c r="P413" s="212">
        <v>417513</v>
      </c>
      <c r="Q413" s="212">
        <v>433062</v>
      </c>
      <c r="R413" s="212">
        <v>416606</v>
      </c>
      <c r="S413" s="212">
        <v>465768</v>
      </c>
      <c r="T413" s="212">
        <v>432899</v>
      </c>
      <c r="U413" s="212">
        <v>359540</v>
      </c>
      <c r="V413" s="205">
        <v>393443</v>
      </c>
      <c r="W413" s="205">
        <f>ROUND(표9[[#This Row],[Apr 2026 (USD or KRW)]],0)</f>
        <v>0</v>
      </c>
      <c r="X413" s="212"/>
      <c r="Y413" s="206">
        <f>표9[[#This Row],[Apr 2027(KRW)]]-표9[[#This Row],[Mar 2026(KRW)]]</f>
        <v>-393443</v>
      </c>
      <c r="Z413" s="213">
        <f t="shared" si="6"/>
        <v>-1</v>
      </c>
      <c r="AA413" s="208" t="e">
        <f>VLOOKUP(표9[[#This Row],[Team]],표1[],3,0)</f>
        <v>#N/A</v>
      </c>
    </row>
    <row r="414" spans="1:27" ht="15">
      <c r="A414" s="209" t="str">
        <f>VLOOKUP($H414,Azure!$A:$H,2,0)</f>
        <v>Azure</v>
      </c>
      <c r="B414" s="209" t="str">
        <f>VLOOKUP($H414,Azure!$A:$H,3,0)</f>
        <v>Relu Studio</v>
      </c>
      <c r="C414" s="209" t="str">
        <f>VLOOKUP($H414,Azure!$A:$H,4,0)</f>
        <v>ReLu Games</v>
      </c>
      <c r="D414" s="209" t="str">
        <f>VLOOKUP($H414,Azure!$A:$H,5,0)</f>
        <v>ReLU Dev Dept.</v>
      </c>
      <c r="E414" s="209" t="str">
        <f>VLOOKUP($H414,Azure!$A:$H,6,0)</f>
        <v>ReLU Games</v>
      </c>
      <c r="F414" s="202" t="e">
        <f>VLOOKUP(표9[[#This Row],[Team]],표1[[내역]:[코스트 센터]],2,0)</f>
        <v>#N/A</v>
      </c>
      <c r="G414" s="202" t="e">
        <f>VLOOKUP(표9[[#This Row],[Project]],표2[],2,0)</f>
        <v>#N/A</v>
      </c>
      <c r="H414" s="209" t="s">
        <v>388</v>
      </c>
      <c r="I414" s="209" t="str">
        <f>VLOOKUP($H414,Azure!$A:$H,7,0)</f>
        <v>이기문</v>
      </c>
      <c r="J414" s="209" t="str">
        <f>VLOOKUP($H414,Azure!$A:$H,8,0)</f>
        <v>이기문</v>
      </c>
      <c r="K414" s="186" t="s">
        <v>29</v>
      </c>
      <c r="L414" s="210">
        <v>266516</v>
      </c>
      <c r="M414" s="211">
        <v>267004</v>
      </c>
      <c r="N414" s="212">
        <v>268067</v>
      </c>
      <c r="O414" s="212">
        <v>266011</v>
      </c>
      <c r="P414" s="212">
        <v>254683</v>
      </c>
      <c r="Q414" s="212">
        <v>274734.53279999999</v>
      </c>
      <c r="R414" s="212">
        <v>264295</v>
      </c>
      <c r="S414" s="212">
        <v>295483</v>
      </c>
      <c r="T414" s="212">
        <v>274631</v>
      </c>
      <c r="U414" s="212">
        <v>228092</v>
      </c>
      <c r="V414" s="205">
        <v>249600</v>
      </c>
      <c r="W414" s="205">
        <f>ROUND(표9[[#This Row],[Apr 2026 (USD or KRW)]],0)</f>
        <v>0</v>
      </c>
      <c r="X414" s="224"/>
      <c r="Y414" s="206">
        <f>표9[[#This Row],[Apr 2027(KRW)]]-표9[[#This Row],[Mar 2026(KRW)]]</f>
        <v>-249600</v>
      </c>
      <c r="Z414" s="213">
        <f t="shared" si="6"/>
        <v>-1</v>
      </c>
      <c r="AA414" s="208" t="e">
        <f>VLOOKUP(표9[[#This Row],[Team]],표1[],3,0)</f>
        <v>#N/A</v>
      </c>
    </row>
    <row r="415" spans="1:27" ht="15">
      <c r="A415" s="209" t="str">
        <f>VLOOKUP($H415,Azure!$A:$H,2,0)</f>
        <v>Azure</v>
      </c>
      <c r="B415" s="209" t="s">
        <v>321</v>
      </c>
      <c r="C415" s="209" t="s">
        <v>321</v>
      </c>
      <c r="D415" s="209" t="str">
        <f>VLOOKUP($H415,Azure!$A:$H,5,0)</f>
        <v>ReLU Dev Dept.</v>
      </c>
      <c r="E415" s="209" t="str">
        <f>VLOOKUP($H415,Azure!$A:$H,6,0)</f>
        <v>ReLU Games</v>
      </c>
      <c r="F415" s="202" t="e">
        <f>VLOOKUP(표9[[#This Row],[Team]],표1[[내역]:[코스트 센터]],2,0)</f>
        <v>#N/A</v>
      </c>
      <c r="G415" s="202" t="e">
        <f>VLOOKUP(표9[[#This Row],[Project]],표2[],2,0)</f>
        <v>#N/A</v>
      </c>
      <c r="H415" s="209" t="s">
        <v>389</v>
      </c>
      <c r="I415" s="209" t="str">
        <f>VLOOKUP($H415,Azure!$A:$H,7,0)</f>
        <v>이기문</v>
      </c>
      <c r="J415" s="209" t="str">
        <f>VLOOKUP($H415,Azure!$A:$H,8,0)</f>
        <v>이기문</v>
      </c>
      <c r="K415" s="186"/>
      <c r="L415" s="210">
        <v>26056</v>
      </c>
      <c r="M415" s="211">
        <v>25343</v>
      </c>
      <c r="N415" s="212">
        <v>25869</v>
      </c>
      <c r="O415" s="212">
        <v>26130</v>
      </c>
      <c r="P415" s="212">
        <v>27454</v>
      </c>
      <c r="Q415" s="212">
        <v>27549</v>
      </c>
      <c r="R415" s="212">
        <v>31547</v>
      </c>
      <c r="S415" s="212">
        <v>36060</v>
      </c>
      <c r="T415" s="212">
        <v>32075</v>
      </c>
      <c r="U415" s="212">
        <v>27016</v>
      </c>
      <c r="V415" s="205">
        <v>29955</v>
      </c>
      <c r="W415" s="205">
        <f>ROUND(표9[[#This Row],[Apr 2026 (USD or KRW)]],0)</f>
        <v>0</v>
      </c>
      <c r="X415" s="212"/>
      <c r="Y415" s="206">
        <f>표9[[#This Row],[Apr 2027(KRW)]]-표9[[#This Row],[Mar 2026(KRW)]]</f>
        <v>-29955</v>
      </c>
      <c r="Z415" s="213">
        <f t="shared" si="6"/>
        <v>-1</v>
      </c>
      <c r="AA415" s="208" t="e">
        <f>VLOOKUP(표9[[#This Row],[Team]],표1[],3,0)</f>
        <v>#N/A</v>
      </c>
    </row>
    <row r="416" spans="1:27" ht="15">
      <c r="A416" s="209" t="str">
        <f>VLOOKUP($H416,Azure!$A:$H,2,0)</f>
        <v>Azure</v>
      </c>
      <c r="B416" s="209" t="str">
        <f>VLOOKUP($H416,Azure!$A:$H,3,0)</f>
        <v>Relu Studio</v>
      </c>
      <c r="C416" s="209" t="str">
        <f>VLOOKUP($H416,Azure!$A:$H,4,0)</f>
        <v>Relu Studio</v>
      </c>
      <c r="D416" s="209" t="str">
        <f>VLOOKUP($H416,Azure!$A:$H,5,0)</f>
        <v>ReLU Dev Dept.</v>
      </c>
      <c r="E416" s="209" t="str">
        <f>VLOOKUP($H416,Azure!$A:$H,6,0)</f>
        <v>ReLU Games</v>
      </c>
      <c r="F416" s="202" t="e">
        <f>VLOOKUP(표9[[#This Row],[Team]],표1[[내역]:[코스트 센터]],2,0)</f>
        <v>#N/A</v>
      </c>
      <c r="G416" s="202" t="e">
        <f>VLOOKUP(표9[[#This Row],[Project]],표2[],2,0)</f>
        <v>#N/A</v>
      </c>
      <c r="H416" s="209" t="s">
        <v>389</v>
      </c>
      <c r="I416" s="209" t="str">
        <f>VLOOKUP($H416,Azure!$A:$H,7,0)</f>
        <v>이기문</v>
      </c>
      <c r="J416" s="209" t="str">
        <f>VLOOKUP($H416,Azure!$A:$H,8,0)</f>
        <v>이기문</v>
      </c>
      <c r="K416" s="186" t="s">
        <v>29</v>
      </c>
      <c r="L416" s="210">
        <v>15894</v>
      </c>
      <c r="M416" s="211">
        <v>15459</v>
      </c>
      <c r="N416" s="212">
        <v>15780</v>
      </c>
      <c r="O416" s="212">
        <v>15939</v>
      </c>
      <c r="P416" s="212">
        <v>16747</v>
      </c>
      <c r="Q416" s="212">
        <v>17477.085599999999</v>
      </c>
      <c r="R416" s="212">
        <v>20013</v>
      </c>
      <c r="S416" s="212">
        <v>22876</v>
      </c>
      <c r="T416" s="212">
        <v>20348</v>
      </c>
      <c r="U416" s="212">
        <v>17139</v>
      </c>
      <c r="V416" s="205">
        <v>19003</v>
      </c>
      <c r="W416" s="205">
        <f>ROUND(표9[[#This Row],[Apr 2026 (USD or KRW)]],0)</f>
        <v>0</v>
      </c>
      <c r="X416" s="224"/>
      <c r="Y416" s="206">
        <f>표9[[#This Row],[Apr 2027(KRW)]]-표9[[#This Row],[Mar 2026(KRW)]]</f>
        <v>-19003</v>
      </c>
      <c r="Z416" s="213">
        <f t="shared" si="6"/>
        <v>-1</v>
      </c>
      <c r="AA416" s="208" t="e">
        <f>VLOOKUP(표9[[#This Row],[Team]],표1[],3,0)</f>
        <v>#N/A</v>
      </c>
    </row>
    <row r="417" spans="1:27" ht="15">
      <c r="A417" s="209" t="str">
        <f>VLOOKUP($H417,Azure!$A:$H,2,0)</f>
        <v>Azure</v>
      </c>
      <c r="B417" s="209" t="s">
        <v>321</v>
      </c>
      <c r="C417" s="209" t="s">
        <v>321</v>
      </c>
      <c r="D417" s="209" t="str">
        <f>VLOOKUP($H417,Azure!$A:$H,5,0)</f>
        <v>ReLU Dev Dept.</v>
      </c>
      <c r="E417" s="209" t="str">
        <f>VLOOKUP($H417,Azure!$A:$H,6,0)</f>
        <v>ReLU Games</v>
      </c>
      <c r="F417" s="202" t="e">
        <f>VLOOKUP(표9[[#This Row],[Team]],표1[[내역]:[코스트 센터]],2,0)</f>
        <v>#N/A</v>
      </c>
      <c r="G417" s="202" t="e">
        <f>VLOOKUP(표9[[#This Row],[Project]],표2[],2,0)</f>
        <v>#N/A</v>
      </c>
      <c r="H417" s="209" t="s">
        <v>390</v>
      </c>
      <c r="I417" s="209" t="str">
        <f>VLOOKUP($H417,Azure!$A:$H,7,0)</f>
        <v>이기문</v>
      </c>
      <c r="J417" s="209" t="str">
        <f>VLOOKUP($H417,Azure!$A:$H,8,0)</f>
        <v>이기문</v>
      </c>
      <c r="K417" s="186"/>
      <c r="L417" s="210">
        <v>26080</v>
      </c>
      <c r="M417" s="211">
        <v>25554</v>
      </c>
      <c r="N417" s="212">
        <v>26303</v>
      </c>
      <c r="O417" s="212">
        <v>26354</v>
      </c>
      <c r="P417" s="212">
        <v>27607</v>
      </c>
      <c r="Q417" s="212">
        <v>27579</v>
      </c>
      <c r="R417" s="212">
        <v>31525</v>
      </c>
      <c r="S417" s="212">
        <v>36068</v>
      </c>
      <c r="T417" s="212">
        <v>32075</v>
      </c>
      <c r="U417" s="212">
        <v>27022</v>
      </c>
      <c r="V417" s="205">
        <v>29965</v>
      </c>
      <c r="W417" s="205">
        <f>ROUND(표9[[#This Row],[Apr 2026 (USD or KRW)]],0)</f>
        <v>0</v>
      </c>
      <c r="X417" s="212"/>
      <c r="Y417" s="206">
        <f>표9[[#This Row],[Apr 2027(KRW)]]-표9[[#This Row],[Mar 2026(KRW)]]</f>
        <v>-29965</v>
      </c>
      <c r="Z417" s="213">
        <f t="shared" si="6"/>
        <v>-1</v>
      </c>
      <c r="AA417" s="208" t="e">
        <f>VLOOKUP(표9[[#This Row],[Team]],표1[],3,0)</f>
        <v>#N/A</v>
      </c>
    </row>
    <row r="418" spans="1:27" ht="15">
      <c r="A418" s="209" t="str">
        <f>VLOOKUP($H418,Azure!$A:$H,2,0)</f>
        <v>Azure</v>
      </c>
      <c r="B418" s="209" t="str">
        <f>VLOOKUP($H418,Azure!$A:$H,3,0)</f>
        <v>Relu Studio</v>
      </c>
      <c r="C418" s="209" t="str">
        <f>VLOOKUP($H418,Azure!$A:$H,4,0)</f>
        <v>Relu Studio</v>
      </c>
      <c r="D418" s="209" t="str">
        <f>VLOOKUP($H418,Azure!$A:$H,5,0)</f>
        <v>ReLU Dev Dept.</v>
      </c>
      <c r="E418" s="209" t="str">
        <f>VLOOKUP($H418,Azure!$A:$H,6,0)</f>
        <v>ReLU Games</v>
      </c>
      <c r="F418" s="202" t="e">
        <f>VLOOKUP(표9[[#This Row],[Team]],표1[[내역]:[코스트 센터]],2,0)</f>
        <v>#N/A</v>
      </c>
      <c r="G418" s="202" t="e">
        <f>VLOOKUP(표9[[#This Row],[Project]],표2[],2,0)</f>
        <v>#N/A</v>
      </c>
      <c r="H418" s="209" t="s">
        <v>390</v>
      </c>
      <c r="I418" s="209" t="str">
        <f>VLOOKUP($H418,Azure!$A:$H,7,0)</f>
        <v>이기문</v>
      </c>
      <c r="J418" s="209" t="str">
        <f>VLOOKUP($H418,Azure!$A:$H,8,0)</f>
        <v>이기문</v>
      </c>
      <c r="K418" s="186" t="s">
        <v>29</v>
      </c>
      <c r="L418" s="210">
        <v>15909</v>
      </c>
      <c r="M418" s="211">
        <v>15588</v>
      </c>
      <c r="N418" s="212">
        <v>16045</v>
      </c>
      <c r="O418" s="212">
        <v>16076</v>
      </c>
      <c r="P418" s="212">
        <v>16840</v>
      </c>
      <c r="Q418" s="212">
        <v>17496.117600000001</v>
      </c>
      <c r="R418" s="212">
        <v>19999</v>
      </c>
      <c r="S418" s="212">
        <v>22882</v>
      </c>
      <c r="T418" s="212">
        <v>20348</v>
      </c>
      <c r="U418" s="212">
        <v>17143</v>
      </c>
      <c r="V418" s="205">
        <v>19010</v>
      </c>
      <c r="W418" s="205">
        <f>ROUND(표9[[#This Row],[Apr 2026 (USD or KRW)]],0)</f>
        <v>0</v>
      </c>
      <c r="X418" s="224"/>
      <c r="Y418" s="206">
        <f>표9[[#This Row],[Apr 2027(KRW)]]-표9[[#This Row],[Mar 2026(KRW)]]</f>
        <v>-19010</v>
      </c>
      <c r="Z418" s="213">
        <f t="shared" si="6"/>
        <v>-1</v>
      </c>
      <c r="AA418" s="208" t="e">
        <f>VLOOKUP(표9[[#This Row],[Team]],표1[],3,0)</f>
        <v>#N/A</v>
      </c>
    </row>
    <row r="419" spans="1:27" ht="15">
      <c r="A419" s="209" t="str">
        <f>VLOOKUP($H419,Azure!$A:$H,2,0)</f>
        <v>Azure</v>
      </c>
      <c r="B419" s="209" t="s">
        <v>321</v>
      </c>
      <c r="C419" s="209" t="s">
        <v>321</v>
      </c>
      <c r="D419" s="209" t="str">
        <f>VLOOKUP($H419,Azure!$A:$H,5,0)</f>
        <v>AI research center</v>
      </c>
      <c r="E419" s="209" t="str">
        <f>VLOOKUP($H419,Azure!$A:$H,6,0)</f>
        <v>OVERHEAD/OTHERS</v>
      </c>
      <c r="F419" s="202">
        <f>VLOOKUP(표9[[#This Row],[Team]],표1[[내역]:[코스트 센터]],2,0)</f>
        <v>100677</v>
      </c>
      <c r="G419" s="202" t="str">
        <f>VLOOKUP(표9[[#This Row],[Project]],표2[],2,0)</f>
        <v>I100099999</v>
      </c>
      <c r="H419" s="209" t="s">
        <v>391</v>
      </c>
      <c r="I419" s="209" t="str">
        <f>VLOOKUP($H419,Azure!$A:$H,7,0)</f>
        <v>심재한</v>
      </c>
      <c r="J419" s="209" t="str">
        <f>VLOOKUP($H419,Azure!$A:$H,8,0)</f>
        <v>심재한</v>
      </c>
      <c r="K419" s="186"/>
      <c r="L419" s="210">
        <v>58705</v>
      </c>
      <c r="M419" s="211">
        <v>51794</v>
      </c>
      <c r="N419" s="212">
        <v>54218</v>
      </c>
      <c r="O419" s="212">
        <v>58561</v>
      </c>
      <c r="P419" s="212">
        <v>76466</v>
      </c>
      <c r="Q419" s="212">
        <v>53111</v>
      </c>
      <c r="R419" s="212">
        <v>40466</v>
      </c>
      <c r="S419" s="212">
        <v>22490</v>
      </c>
      <c r="T419" s="212">
        <v>22489</v>
      </c>
      <c r="U419" s="212">
        <v>22254</v>
      </c>
      <c r="V419" s="205">
        <v>22489</v>
      </c>
      <c r="W419" s="205">
        <f>ROUND(표9[[#This Row],[Apr 2026 (USD or KRW)]],0)</f>
        <v>0</v>
      </c>
      <c r="X419" s="212"/>
      <c r="Y419" s="206">
        <f>표9[[#This Row],[Apr 2027(KRW)]]-표9[[#This Row],[Mar 2026(KRW)]]</f>
        <v>-22489</v>
      </c>
      <c r="Z419" s="213">
        <f t="shared" si="6"/>
        <v>-1</v>
      </c>
      <c r="AA419" s="208">
        <f>VLOOKUP(표9[[#This Row],[Team]],표1[],3,0)</f>
        <v>1000</v>
      </c>
    </row>
    <row r="420" spans="1:27" ht="15">
      <c r="A420" s="209" t="str">
        <f>VLOOKUP($H420,Azure!$A:$H,2,0)</f>
        <v>Azure</v>
      </c>
      <c r="B420" s="209" t="str">
        <f>VLOOKUP($H420,Azure!$A:$H,3,0)</f>
        <v>Research</v>
      </c>
      <c r="C420" s="209" t="str">
        <f>VLOOKUP($H420,Azure!$A:$H,4,0)</f>
        <v>Research</v>
      </c>
      <c r="D420" s="209" t="str">
        <f>VLOOKUP($H420,Azure!$A:$H,5,0)</f>
        <v>AI research center</v>
      </c>
      <c r="E420" s="209" t="str">
        <f>VLOOKUP($H420,Azure!$A:$H,6,0)</f>
        <v>OVERHEAD/OTHERS</v>
      </c>
      <c r="F420" s="202">
        <f>VLOOKUP(표9[[#This Row],[Team]],표1[[내역]:[코스트 센터]],2,0)</f>
        <v>100677</v>
      </c>
      <c r="G420" s="202" t="str">
        <f>VLOOKUP(표9[[#This Row],[Project]],표2[],2,0)</f>
        <v>I100099999</v>
      </c>
      <c r="H420" s="209" t="s">
        <v>391</v>
      </c>
      <c r="I420" s="209" t="str">
        <f>VLOOKUP($H420,Azure!$A:$H,7,0)</f>
        <v>심재한</v>
      </c>
      <c r="J420" s="209" t="str">
        <f>VLOOKUP($H420,Azure!$A:$H,8,0)</f>
        <v>심재한</v>
      </c>
      <c r="K420" s="186"/>
      <c r="L420" s="210">
        <v>35810</v>
      </c>
      <c r="M420" s="211">
        <v>31594</v>
      </c>
      <c r="N420" s="212">
        <v>33073</v>
      </c>
      <c r="O420" s="212">
        <v>35722</v>
      </c>
      <c r="P420" s="212">
        <v>46644</v>
      </c>
      <c r="Q420" s="212">
        <v>33693.618399999999</v>
      </c>
      <c r="R420" s="212">
        <v>25672</v>
      </c>
      <c r="S420" s="212">
        <v>14268</v>
      </c>
      <c r="T420" s="212">
        <v>14267</v>
      </c>
      <c r="U420" s="212">
        <v>14118</v>
      </c>
      <c r="V420" s="205">
        <v>14267</v>
      </c>
      <c r="W420" s="205">
        <f>ROUND(표9[[#This Row],[Apr 2026 (USD or KRW)]],0)</f>
        <v>0</v>
      </c>
      <c r="X420" s="224"/>
      <c r="Y420" s="206">
        <f>표9[[#This Row],[Apr 2027(KRW)]]-표9[[#This Row],[Mar 2026(KRW)]]</f>
        <v>-14267</v>
      </c>
      <c r="Z420" s="213">
        <f t="shared" si="6"/>
        <v>-1</v>
      </c>
      <c r="AA420" s="208">
        <f>VLOOKUP(표9[[#This Row],[Team]],표1[],3,0)</f>
        <v>1000</v>
      </c>
    </row>
    <row r="421" spans="1:27" ht="15">
      <c r="A421" s="209" t="str">
        <f>VLOOKUP($H421,Azure!$A:$H,2,0)</f>
        <v>Azure</v>
      </c>
      <c r="B421" s="209" t="str">
        <f>VLOOKUP($H421,Azure!$A:$H,3,0)</f>
        <v>KRAFTON HQ</v>
      </c>
      <c r="C421" s="209" t="str">
        <f>VLOOKUP($H421,Azure!$A:$H,4,0)</f>
        <v>SDS</v>
      </c>
      <c r="D421" s="209" t="str">
        <f>VLOOKUP($H421,Azure!$A:$H,5,0)</f>
        <v>Striking Distance Studios</v>
      </c>
      <c r="E421" s="209" t="str">
        <f>VLOOKUP($H421,Azure!$A:$H,6,0)</f>
        <v>The Callisto Protocol</v>
      </c>
      <c r="F421" s="202">
        <f>VLOOKUP(표9[[#This Row],[Team]],표1[[내역]:[코스트 센터]],2,0)</f>
        <v>100561</v>
      </c>
      <c r="G421" s="202" t="str">
        <f>VLOOKUP(표9[[#This Row],[Project]],표2[],2,0)</f>
        <v>P100010013</v>
      </c>
      <c r="H421" s="209" t="s">
        <v>392</v>
      </c>
      <c r="I421" s="209" t="str">
        <f>VLOOKUP($H421,Azure!$A:$H,7,0)</f>
        <v>Jordan Yerkes</v>
      </c>
      <c r="J421" s="209" t="str">
        <f>VLOOKUP($H421,Azure!$A:$H,8,0)</f>
        <v>Jordan Yerkes</v>
      </c>
      <c r="K421" s="186"/>
      <c r="L421" s="210">
        <v>0</v>
      </c>
      <c r="M421" s="211">
        <v>0</v>
      </c>
      <c r="N421" s="212">
        <v>1</v>
      </c>
      <c r="O421" s="212"/>
      <c r="P421" s="212">
        <v>0</v>
      </c>
      <c r="Q421" s="212"/>
      <c r="R421" s="212">
        <v>0</v>
      </c>
      <c r="S421" s="212">
        <v>0</v>
      </c>
      <c r="T421" s="212">
        <v>0</v>
      </c>
      <c r="U421" s="212">
        <v>0</v>
      </c>
      <c r="V421" s="205">
        <v>0</v>
      </c>
      <c r="W421" s="205">
        <f>ROUND(표9[[#This Row],[Apr 2026 (USD or KRW)]],0)</f>
        <v>0</v>
      </c>
      <c r="X421" s="224"/>
      <c r="Y421" s="206">
        <f>표9[[#This Row],[Apr 2027(KRW)]]-표9[[#This Row],[Mar 2026(KRW)]]</f>
        <v>0</v>
      </c>
      <c r="Z421" s="213" t="str">
        <f t="shared" si="6"/>
        <v/>
      </c>
      <c r="AA421" s="208">
        <f>VLOOKUP(표9[[#This Row],[Team]],표1[],3,0)</f>
        <v>1000</v>
      </c>
    </row>
    <row r="422" spans="1:27" ht="15">
      <c r="A422" s="209" t="str">
        <f>VLOOKUP($H422,Azure!$A:$H,2,0)</f>
        <v>Azure</v>
      </c>
      <c r="B422" s="209" t="s">
        <v>321</v>
      </c>
      <c r="C422" s="209" t="s">
        <v>321</v>
      </c>
      <c r="D422" s="209" t="str">
        <f>VLOOKUP($H422,Azure!$A:$H,5,0)</f>
        <v>Striking Distance Studios</v>
      </c>
      <c r="E422" s="209" t="str">
        <f>VLOOKUP($H422,Azure!$A:$H,6,0)</f>
        <v>The Callisto Protocol</v>
      </c>
      <c r="F422" s="202">
        <f>VLOOKUP(표9[[#This Row],[Team]],표1[[내역]:[코스트 센터]],2,0)</f>
        <v>100561</v>
      </c>
      <c r="G422" s="202" t="str">
        <f>VLOOKUP(표9[[#This Row],[Project]],표2[],2,0)</f>
        <v>P100010013</v>
      </c>
      <c r="H422" s="209" t="s">
        <v>392</v>
      </c>
      <c r="I422" s="209" t="str">
        <f>VLOOKUP($H422,Azure!$A:$H,7,0)</f>
        <v>Jordan Yerkes</v>
      </c>
      <c r="J422" s="209" t="str">
        <f>VLOOKUP($H422,Azure!$A:$H,8,0)</f>
        <v>Jordan Yerkes</v>
      </c>
      <c r="K422" s="186"/>
      <c r="L422" s="210">
        <v>0</v>
      </c>
      <c r="M422" s="211">
        <v>1</v>
      </c>
      <c r="N422" s="212">
        <v>1</v>
      </c>
      <c r="O422" s="212">
        <v>1</v>
      </c>
      <c r="P422" s="212">
        <v>0</v>
      </c>
      <c r="Q422" s="212">
        <v>1</v>
      </c>
      <c r="R422" s="212">
        <v>0</v>
      </c>
      <c r="S422" s="212">
        <v>1</v>
      </c>
      <c r="T422" s="212">
        <v>0</v>
      </c>
      <c r="U422" s="212">
        <v>1</v>
      </c>
      <c r="V422" s="205">
        <v>1</v>
      </c>
      <c r="W422" s="205">
        <f>ROUND(표9[[#This Row],[Apr 2026 (USD or KRW)]],0)</f>
        <v>0</v>
      </c>
      <c r="X422" s="212"/>
      <c r="Y422" s="206">
        <f>표9[[#This Row],[Apr 2027(KRW)]]-표9[[#This Row],[Mar 2026(KRW)]]</f>
        <v>-1</v>
      </c>
      <c r="Z422" s="213">
        <f t="shared" si="6"/>
        <v>-1</v>
      </c>
      <c r="AA422" s="208">
        <f>VLOOKUP(표9[[#This Row],[Team]],표1[],3,0)</f>
        <v>1000</v>
      </c>
    </row>
    <row r="423" spans="1:27" ht="15">
      <c r="A423" s="209" t="str">
        <f>VLOOKUP($H423,Azure!$A:$H,2,0)</f>
        <v>Azure</v>
      </c>
      <c r="B423" s="209" t="str">
        <f>VLOOKUP($H423,Azure!$A:$H,3,0)</f>
        <v>KRAFTON HQ</v>
      </c>
      <c r="C423" s="209" t="str">
        <f>VLOOKUP($H423,Azure!$A:$H,4,0)</f>
        <v>KRAFTON HQ</v>
      </c>
      <c r="D423" s="209" t="str">
        <f>VLOOKUP($H423,Azure!$A:$H,5,0)</f>
        <v>Security Policy Part</v>
      </c>
      <c r="E423" s="209" t="str">
        <f>VLOOKUP($H423,Azure!$A:$H,6,0)</f>
        <v>OVERHEAD/OTHERS</v>
      </c>
      <c r="F423" s="202">
        <f>VLOOKUP(표9[[#This Row],[Team]],표1[[내역]:[코스트 센터]],2,0)</f>
        <v>101940</v>
      </c>
      <c r="G423" s="202" t="str">
        <f>VLOOKUP(표9[[#This Row],[Project]],표2[],2,0)</f>
        <v>I100099999</v>
      </c>
      <c r="H423" s="209" t="s">
        <v>393</v>
      </c>
      <c r="I423" s="209" t="str">
        <f>VLOOKUP($H423,Azure!$A:$H,7,0)</f>
        <v>조남원</v>
      </c>
      <c r="J423" s="209" t="str">
        <f>VLOOKUP($H423,Azure!$A:$H,8,0)</f>
        <v>조남원</v>
      </c>
      <c r="K423" s="186" t="s">
        <v>29</v>
      </c>
      <c r="L423" s="210"/>
      <c r="M423" s="211"/>
      <c r="N423" s="212"/>
      <c r="O423" s="212"/>
      <c r="P423" s="212"/>
      <c r="Q423" s="212"/>
      <c r="R423" s="212"/>
      <c r="S423" s="212">
        <v>4</v>
      </c>
      <c r="T423" s="212">
        <v>18</v>
      </c>
      <c r="U423" s="212">
        <v>6</v>
      </c>
      <c r="V423" s="205">
        <v>17867</v>
      </c>
      <c r="W423" s="205">
        <f>ROUND(표9[[#This Row],[Apr 2026 (USD or KRW)]],0)</f>
        <v>0</v>
      </c>
      <c r="X423" s="224"/>
      <c r="Y423" s="206">
        <f>표9[[#This Row],[Apr 2027(KRW)]]-표9[[#This Row],[Mar 2026(KRW)]]</f>
        <v>-17867</v>
      </c>
      <c r="Z423" s="213">
        <f t="shared" si="6"/>
        <v>-1</v>
      </c>
      <c r="AA423" s="208">
        <f>VLOOKUP(표9[[#This Row],[Team]],표1[],3,0)</f>
        <v>1000</v>
      </c>
    </row>
    <row r="424" spans="1:27" ht="15">
      <c r="A424" s="209" t="str">
        <f>VLOOKUP($H424,Azure!$A:$H,2,0)</f>
        <v>Azure</v>
      </c>
      <c r="B424" s="209" t="s">
        <v>321</v>
      </c>
      <c r="C424" s="209" t="s">
        <v>321</v>
      </c>
      <c r="D424" s="209" t="str">
        <f>VLOOKUP($H424,Azure!$A:$H,5,0)</f>
        <v>Security Policy Part</v>
      </c>
      <c r="E424" s="209" t="str">
        <f>VLOOKUP($H424,Azure!$A:$H,6,0)</f>
        <v>OVERHEAD/OTHERS</v>
      </c>
      <c r="F424" s="202">
        <f>VLOOKUP(표9[[#This Row],[Team]],표1[[내역]:[코스트 센터]],2,0)</f>
        <v>101940</v>
      </c>
      <c r="G424" s="202" t="str">
        <f>VLOOKUP(표9[[#This Row],[Project]],표2[],2,0)</f>
        <v>I100099999</v>
      </c>
      <c r="H424" s="209" t="s">
        <v>393</v>
      </c>
      <c r="I424" s="209" t="str">
        <f>VLOOKUP($H424,Azure!$A:$H,7,0)</f>
        <v>조남원</v>
      </c>
      <c r="J424" s="209" t="str">
        <f>VLOOKUP($H424,Azure!$A:$H,8,0)</f>
        <v>조남원</v>
      </c>
      <c r="K424" s="186" t="s">
        <v>29</v>
      </c>
      <c r="L424" s="210"/>
      <c r="M424" s="211"/>
      <c r="N424" s="212"/>
      <c r="O424" s="212"/>
      <c r="P424" s="212"/>
      <c r="Q424" s="212"/>
      <c r="R424" s="212"/>
      <c r="S424" s="212"/>
      <c r="T424" s="212">
        <v>29</v>
      </c>
      <c r="U424" s="212">
        <v>9</v>
      </c>
      <c r="V424" s="205">
        <v>28163</v>
      </c>
      <c r="W424" s="205">
        <f>ROUND(표9[[#This Row],[Apr 2026 (USD or KRW)]],0)</f>
        <v>0</v>
      </c>
      <c r="X424" s="212"/>
      <c r="Y424" s="206">
        <f>표9[[#This Row],[Apr 2027(KRW)]]-표9[[#This Row],[Mar 2026(KRW)]]</f>
        <v>-28163</v>
      </c>
      <c r="Z424" s="213">
        <f t="shared" si="6"/>
        <v>-1</v>
      </c>
      <c r="AA424" s="208">
        <f>VLOOKUP(표9[[#This Row],[Team]],표1[],3,0)</f>
        <v>1000</v>
      </c>
    </row>
    <row r="425" spans="1:27" ht="15">
      <c r="A425" s="209" t="str">
        <f>VLOOKUP($H425,Azure!$A:$H,2,0)</f>
        <v>Azure</v>
      </c>
      <c r="B425" s="209" t="str">
        <f>VLOOKUP($H425,Azure!$A:$H,3,0)</f>
        <v>KRAFTON HQ</v>
      </c>
      <c r="C425" s="209" t="str">
        <f>VLOOKUP($H425,Azure!$A:$H,4,0)</f>
        <v>KRAFTON HQ</v>
      </c>
      <c r="D425" s="209" t="str">
        <f>VLOOKUP($H425,Azure!$A:$H,5,0)</f>
        <v>Security Dept.</v>
      </c>
      <c r="E425" s="209" t="str">
        <f>VLOOKUP($H425,Azure!$A:$H,6,0)</f>
        <v>OVERHEAD/OTHERS</v>
      </c>
      <c r="F425" s="202">
        <f>VLOOKUP(표9[[#This Row],[Team]],표1[[내역]:[코스트 센터]],2,0)</f>
        <v>101451</v>
      </c>
      <c r="G425" s="202" t="str">
        <f>VLOOKUP(표9[[#This Row],[Project]],표2[],2,0)</f>
        <v>I100099999</v>
      </c>
      <c r="H425" s="209" t="s">
        <v>394</v>
      </c>
      <c r="I425" s="209" t="s">
        <v>395</v>
      </c>
      <c r="J425" s="209" t="s">
        <v>395</v>
      </c>
      <c r="K425" s="186" t="s">
        <v>29</v>
      </c>
      <c r="L425" s="210">
        <v>3750159</v>
      </c>
      <c r="M425" s="211">
        <v>5263924</v>
      </c>
      <c r="N425" s="212">
        <v>9174285</v>
      </c>
      <c r="O425" s="212">
        <v>9778425</v>
      </c>
      <c r="P425" s="212">
        <v>10102923</v>
      </c>
      <c r="Q425" s="212">
        <v>10306813.223200001</v>
      </c>
      <c r="R425" s="212">
        <v>10732462</v>
      </c>
      <c r="S425" s="212">
        <v>11368561</v>
      </c>
      <c r="T425" s="212">
        <v>12220988</v>
      </c>
      <c r="U425" s="212">
        <v>12729421</v>
      </c>
      <c r="V425" s="205">
        <v>14888597</v>
      </c>
      <c r="W425" s="205">
        <f>ROUND(표9[[#This Row],[Apr 2026 (USD or KRW)]],0)</f>
        <v>0</v>
      </c>
      <c r="X425" s="224"/>
      <c r="Y425" s="206">
        <f>표9[[#This Row],[Apr 2027(KRW)]]-표9[[#This Row],[Mar 2026(KRW)]]</f>
        <v>-14888597</v>
      </c>
      <c r="Z425" s="213">
        <f t="shared" si="6"/>
        <v>-1</v>
      </c>
      <c r="AA425" s="208">
        <f>VLOOKUP(표9[[#This Row],[Team]],표1[],3,0)</f>
        <v>1000</v>
      </c>
    </row>
    <row r="426" spans="1:27" ht="15">
      <c r="A426" s="209" t="str">
        <f>VLOOKUP($H426,Azure!$A:$H,2,0)</f>
        <v>Azure</v>
      </c>
      <c r="B426" s="209" t="s">
        <v>321</v>
      </c>
      <c r="C426" s="209" t="s">
        <v>321</v>
      </c>
      <c r="D426" s="209" t="str">
        <f>VLOOKUP($H426,Azure!$A:$H,5,0)</f>
        <v>Security Dept.</v>
      </c>
      <c r="E426" s="209" t="str">
        <f>VLOOKUP($H426,Azure!$A:$H,6,0)</f>
        <v>OVERHEAD/OTHERS</v>
      </c>
      <c r="F426" s="202">
        <f>VLOOKUP(표9[[#This Row],[Team]],표1[[내역]:[코스트 센터]],2,0)</f>
        <v>101451</v>
      </c>
      <c r="G426" s="202" t="str">
        <f>VLOOKUP(표9[[#This Row],[Project]],표2[],2,0)</f>
        <v>I100099999</v>
      </c>
      <c r="H426" s="209" t="s">
        <v>394</v>
      </c>
      <c r="I426" s="209" t="s">
        <v>395</v>
      </c>
      <c r="J426" s="209" t="s">
        <v>395</v>
      </c>
      <c r="K426" s="186" t="s">
        <v>29</v>
      </c>
      <c r="L426" s="210">
        <v>6147802</v>
      </c>
      <c r="M426" s="211">
        <v>8629384</v>
      </c>
      <c r="N426" s="212">
        <v>15039812</v>
      </c>
      <c r="O426" s="212">
        <v>16030205</v>
      </c>
      <c r="P426" s="212">
        <v>16562169</v>
      </c>
      <c r="Q426" s="212">
        <v>16246553</v>
      </c>
      <c r="R426" s="212">
        <v>16917500</v>
      </c>
      <c r="S426" s="212">
        <v>17920178</v>
      </c>
      <c r="T426" s="212">
        <v>19263852</v>
      </c>
      <c r="U426" s="212">
        <v>20065291</v>
      </c>
      <c r="V426" s="205">
        <v>23468785</v>
      </c>
      <c r="W426" s="205">
        <f>ROUND(표9[[#This Row],[Apr 2026 (USD or KRW)]],0)</f>
        <v>0</v>
      </c>
      <c r="X426" s="212"/>
      <c r="Y426" s="206">
        <f>표9[[#This Row],[Apr 2027(KRW)]]-표9[[#This Row],[Mar 2026(KRW)]]</f>
        <v>-23468785</v>
      </c>
      <c r="Z426" s="213">
        <f t="shared" si="6"/>
        <v>-1</v>
      </c>
      <c r="AA426" s="208">
        <f>VLOOKUP(표9[[#This Row],[Team]],표1[],3,0)</f>
        <v>1000</v>
      </c>
    </row>
    <row r="427" spans="1:27" ht="15">
      <c r="A427" s="209" t="str">
        <f>VLOOKUP($H427,Azure!$A:$H,2,0)</f>
        <v>Azure</v>
      </c>
      <c r="B427" s="209" t="str">
        <f>VLOOKUP($H427,Azure!$A:$H,3,0)</f>
        <v>KRAFTON HQ</v>
      </c>
      <c r="C427" s="209" t="str">
        <f>VLOOKUP($H427,Azure!$A:$H,4,0)</f>
        <v>KRAFTON HQ</v>
      </c>
      <c r="D427" s="209" t="str">
        <f>VLOOKUP($H427,Azure!$A:$H,5,0)</f>
        <v>IN Platform Business Dept._HQ</v>
      </c>
      <c r="E427" s="209" t="str">
        <f>VLOOKUP($H427,Azure!$A:$H,6,0)</f>
        <v>Cricket All Stars</v>
      </c>
      <c r="F427" s="202">
        <f>VLOOKUP(표9[[#This Row],[Team]],표1[[내역]:[코스트 센터]],2,0)</f>
        <v>101835</v>
      </c>
      <c r="G427" s="202" t="str">
        <f>VLOOKUP(표9[[#This Row],[Project]],표2[],2,0)</f>
        <v>P100130145</v>
      </c>
      <c r="H427" s="209" t="s">
        <v>396</v>
      </c>
      <c r="I427" s="209" t="str">
        <f>VLOOKUP($H427,Azure!$A:$H,7,0)</f>
        <v>김정언</v>
      </c>
      <c r="J427" s="209" t="str">
        <f>VLOOKUP($H427,Azure!$A:$H,8,0)</f>
        <v>김정언</v>
      </c>
      <c r="K427" s="186" t="s">
        <v>29</v>
      </c>
      <c r="L427" s="210"/>
      <c r="M427" s="211"/>
      <c r="N427" s="212"/>
      <c r="O427" s="212"/>
      <c r="P427" s="212"/>
      <c r="Q427" s="212"/>
      <c r="R427" s="212"/>
      <c r="S427" s="212">
        <v>0</v>
      </c>
      <c r="T427" s="212">
        <v>31079</v>
      </c>
      <c r="U427" s="212">
        <v>1127183</v>
      </c>
      <c r="V427" s="205">
        <v>0</v>
      </c>
      <c r="W427" s="205">
        <f>ROUND(표9[[#This Row],[Apr 2026 (USD or KRW)]],0)</f>
        <v>0</v>
      </c>
      <c r="X427" s="224"/>
      <c r="Y427" s="206">
        <f>표9[[#This Row],[Apr 2027(KRW)]]-표9[[#This Row],[Mar 2026(KRW)]]</f>
        <v>0</v>
      </c>
      <c r="Z427" s="213" t="str">
        <f t="shared" si="6"/>
        <v/>
      </c>
      <c r="AA427" s="208">
        <f>VLOOKUP(표9[[#This Row],[Team]],표1[],3,0)</f>
        <v>1000</v>
      </c>
    </row>
    <row r="428" spans="1:27" ht="15">
      <c r="A428" s="209" t="str">
        <f>VLOOKUP($H428,Azure!$A:$H,2,0)</f>
        <v>Azure</v>
      </c>
      <c r="B428" s="209" t="s">
        <v>321</v>
      </c>
      <c r="C428" s="209" t="s">
        <v>321</v>
      </c>
      <c r="D428" s="209" t="str">
        <f>VLOOKUP($H428,Azure!$A:$H,5,0)</f>
        <v>IN Platform Business Dept._HQ</v>
      </c>
      <c r="E428" s="209" t="str">
        <f>VLOOKUP($H428,Azure!$A:$H,6,0)</f>
        <v>Cricket All Stars</v>
      </c>
      <c r="F428" s="202">
        <f>VLOOKUP(표9[[#This Row],[Team]],표1[[내역]:[코스트 센터]],2,0)</f>
        <v>101835</v>
      </c>
      <c r="G428" s="202" t="str">
        <f>VLOOKUP(표9[[#This Row],[Project]],표2[],2,0)</f>
        <v>P100130145</v>
      </c>
      <c r="H428" s="209" t="s">
        <v>396</v>
      </c>
      <c r="I428" s="209" t="str">
        <f>VLOOKUP($H428,Azure!$A:$H,7,0)</f>
        <v>김정언</v>
      </c>
      <c r="J428" s="209" t="str">
        <f>VLOOKUP($H428,Azure!$A:$H,8,0)</f>
        <v>김정언</v>
      </c>
      <c r="K428" s="186"/>
      <c r="L428" s="210"/>
      <c r="M428" s="211"/>
      <c r="N428" s="212"/>
      <c r="O428" s="212"/>
      <c r="P428" s="212"/>
      <c r="Q428" s="212"/>
      <c r="R428" s="212"/>
      <c r="S428" s="212"/>
      <c r="T428" s="212">
        <v>48989</v>
      </c>
      <c r="U428" s="212">
        <v>1776770</v>
      </c>
      <c r="V428" s="205">
        <v>5023982</v>
      </c>
      <c r="W428" s="205">
        <f>ROUND(표9[[#This Row],[Apr 2026 (USD or KRW)]],0)</f>
        <v>0</v>
      </c>
      <c r="X428" s="212"/>
      <c r="Y428" s="206">
        <f>표9[[#This Row],[Apr 2027(KRW)]]-표9[[#This Row],[Mar 2026(KRW)]]</f>
        <v>-5023982</v>
      </c>
      <c r="Z428" s="213">
        <f t="shared" si="6"/>
        <v>-1</v>
      </c>
      <c r="AA428" s="208">
        <f>VLOOKUP(표9[[#This Row],[Team]],표1[],3,0)</f>
        <v>1000</v>
      </c>
    </row>
    <row r="429" spans="1:27" ht="15">
      <c r="A429" s="209" t="str">
        <f>VLOOKUP($H429,Azure!$A:$H,2,0)</f>
        <v>Azure</v>
      </c>
      <c r="B429" s="209" t="str">
        <f>VLOOKUP($H429,Azure!$A:$H,3,0)</f>
        <v>KRAFTON HQ</v>
      </c>
      <c r="C429" s="209" t="str">
        <f>VLOOKUP($H429,Azure!$A:$H,4,0)</f>
        <v>KRAFTON HQ</v>
      </c>
      <c r="D429" s="209" t="str">
        <f>VLOOKUP($H429,Azure!$A:$H,5,0)</f>
        <v>Strategic Alignment Office</v>
      </c>
      <c r="E429" s="209" t="str">
        <f>VLOOKUP($H429,Azure!$A:$H,6,0)</f>
        <v>OVERHEAD/OTHERS</v>
      </c>
      <c r="F429" s="202">
        <f>VLOOKUP(표9[[#This Row],[Team]],표1[[내역]:[코스트 센터]],2,0)</f>
        <v>100974</v>
      </c>
      <c r="G429" s="202" t="str">
        <f>VLOOKUP(표9[[#This Row],[Project]],표2[],2,0)</f>
        <v>I100099999</v>
      </c>
      <c r="H429" s="209" t="s">
        <v>397</v>
      </c>
      <c r="I429" s="209" t="str">
        <f>VLOOKUP($H429,Azure!$A:$H,7,0)</f>
        <v>박승아</v>
      </c>
      <c r="J429" s="209" t="str">
        <f>VLOOKUP($H429,Azure!$A:$H,8,0)</f>
        <v>박승아</v>
      </c>
      <c r="K429" s="186" t="s">
        <v>29</v>
      </c>
      <c r="L429" s="210"/>
      <c r="M429" s="211"/>
      <c r="N429" s="212"/>
      <c r="O429" s="212"/>
      <c r="P429" s="212"/>
      <c r="Q429" s="212"/>
      <c r="R429" s="212"/>
      <c r="S429" s="212">
        <v>0</v>
      </c>
      <c r="T429" s="212">
        <v>13313</v>
      </c>
      <c r="U429" s="212">
        <v>17695</v>
      </c>
      <c r="V429" s="205">
        <v>19225</v>
      </c>
      <c r="W429" s="205">
        <f>ROUND(표9[[#This Row],[Apr 2026 (USD or KRW)]],0)</f>
        <v>0</v>
      </c>
      <c r="X429" s="224"/>
      <c r="Y429" s="206">
        <f>표9[[#This Row],[Apr 2027(KRW)]]-표9[[#This Row],[Mar 2026(KRW)]]</f>
        <v>-19225</v>
      </c>
      <c r="Z429" s="213">
        <f t="shared" si="6"/>
        <v>-1</v>
      </c>
      <c r="AA429" s="208">
        <f>VLOOKUP(표9[[#This Row],[Team]],표1[],3,0)</f>
        <v>1000</v>
      </c>
    </row>
    <row r="430" spans="1:27" ht="15">
      <c r="A430" s="209" t="str">
        <f>VLOOKUP($H430,Azure!$A:$H,2,0)</f>
        <v>Azure</v>
      </c>
      <c r="B430" s="209" t="s">
        <v>321</v>
      </c>
      <c r="C430" s="209" t="s">
        <v>321</v>
      </c>
      <c r="D430" s="209" t="str">
        <f>VLOOKUP($H430,Azure!$A:$H,5,0)</f>
        <v>Strategic Alignment Office</v>
      </c>
      <c r="E430" s="209" t="str">
        <f>VLOOKUP($H430,Azure!$A:$H,6,0)</f>
        <v>OVERHEAD/OTHERS</v>
      </c>
      <c r="F430" s="202">
        <f>VLOOKUP(표9[[#This Row],[Team]],표1[[내역]:[코스트 센터]],2,0)</f>
        <v>100974</v>
      </c>
      <c r="G430" s="202" t="str">
        <f>VLOOKUP(표9[[#This Row],[Project]],표2[],2,0)</f>
        <v>I100099999</v>
      </c>
      <c r="H430" s="209" t="s">
        <v>397</v>
      </c>
      <c r="I430" s="209" t="str">
        <f>VLOOKUP($H430,Azure!$A:$H,7,0)</f>
        <v>박승아</v>
      </c>
      <c r="J430" s="209" t="str">
        <f>VLOOKUP($H430,Azure!$A:$H,8,0)</f>
        <v>박승아</v>
      </c>
      <c r="K430" s="186"/>
      <c r="L430" s="210"/>
      <c r="M430" s="211"/>
      <c r="N430" s="212"/>
      <c r="O430" s="212"/>
      <c r="P430" s="212"/>
      <c r="Q430" s="212"/>
      <c r="R430" s="212"/>
      <c r="S430" s="212"/>
      <c r="T430" s="212">
        <v>20985</v>
      </c>
      <c r="U430" s="212">
        <v>27892</v>
      </c>
      <c r="V430" s="205">
        <v>30304</v>
      </c>
      <c r="W430" s="205">
        <f>ROUND(표9[[#This Row],[Apr 2026 (USD or KRW)]],0)</f>
        <v>0</v>
      </c>
      <c r="X430" s="212"/>
      <c r="Y430" s="206">
        <f>표9[[#This Row],[Apr 2027(KRW)]]-표9[[#This Row],[Mar 2026(KRW)]]</f>
        <v>-30304</v>
      </c>
      <c r="Z430" s="213">
        <f t="shared" si="6"/>
        <v>-1</v>
      </c>
      <c r="AA430" s="208">
        <f>VLOOKUP(표9[[#This Row],[Team]],표1[],3,0)</f>
        <v>1000</v>
      </c>
    </row>
    <row r="431" spans="1:27" ht="15">
      <c r="A431" s="209" t="str">
        <f>VLOOKUP($H431,Azure!$A:$H,2,0)</f>
        <v>Azure</v>
      </c>
      <c r="B431" s="209" t="str">
        <f>VLOOKUP($H431,Azure!$A:$H,3,0)</f>
        <v>KRAFTON HQ</v>
      </c>
      <c r="C431" s="209" t="str">
        <f>VLOOKUP($H431,Azure!$A:$H,4,0)</f>
        <v>KRAFTON HQ</v>
      </c>
      <c r="D431" s="209" t="str">
        <f>VLOOKUP($H431,Azure!$A:$H,5,0)</f>
        <v>IN Platform Business Dept._HQ</v>
      </c>
      <c r="E431" s="209" t="str">
        <f>VLOOKUP($H431,Azure!$A:$H,6,0)</f>
        <v>OVERHEAD/OTHERS</v>
      </c>
      <c r="F431" s="202">
        <f>VLOOKUP(표9[[#This Row],[Team]],표1[[내역]:[코스트 센터]],2,0)</f>
        <v>101835</v>
      </c>
      <c r="G431" s="202" t="str">
        <f>VLOOKUP(표9[[#This Row],[Project]],표2[],2,0)</f>
        <v>I100099999</v>
      </c>
      <c r="H431" s="209" t="s">
        <v>398</v>
      </c>
      <c r="I431" s="209" t="str">
        <f>VLOOKUP($H431,Azure!$A:$H,7,0)</f>
        <v>이승우</v>
      </c>
      <c r="J431" s="209" t="str">
        <f>VLOOKUP($H431,Azure!$A:$H,8,0)</f>
        <v>이승우</v>
      </c>
      <c r="K431" s="186" t="s">
        <v>29</v>
      </c>
      <c r="L431" s="210"/>
      <c r="M431" s="211"/>
      <c r="N431" s="212"/>
      <c r="O431" s="212"/>
      <c r="P431" s="212"/>
      <c r="Q431" s="212"/>
      <c r="R431" s="212"/>
      <c r="S431" s="212"/>
      <c r="T431" s="212"/>
      <c r="U431" s="212">
        <v>1731437</v>
      </c>
      <c r="V431" s="205">
        <v>7003366</v>
      </c>
      <c r="W431" s="205">
        <f>ROUND(표9[[#This Row],[Apr 2026 (USD or KRW)]],0)</f>
        <v>0</v>
      </c>
      <c r="X431" s="224"/>
      <c r="Y431" s="206">
        <f>표9[[#This Row],[Apr 2027(KRW)]]-표9[[#This Row],[Mar 2026(KRW)]]</f>
        <v>-7003366</v>
      </c>
      <c r="Z431" s="213">
        <f t="shared" si="6"/>
        <v>-1</v>
      </c>
      <c r="AA431" s="208">
        <f>VLOOKUP(표9[[#This Row],[Team]],표1[],3,0)</f>
        <v>1000</v>
      </c>
    </row>
    <row r="432" spans="1:27" ht="15">
      <c r="A432" s="209" t="str">
        <f>VLOOKUP($H432,Azure!$A:$H,2,0)</f>
        <v>Azure</v>
      </c>
      <c r="B432" s="209" t="s">
        <v>321</v>
      </c>
      <c r="C432" s="209" t="s">
        <v>321</v>
      </c>
      <c r="D432" s="209" t="str">
        <f>VLOOKUP($H432,Azure!$A:$H,5,0)</f>
        <v>IN Platform Business Dept._HQ</v>
      </c>
      <c r="E432" s="209" t="str">
        <f>VLOOKUP($H432,Azure!$A:$H,6,0)</f>
        <v>OVERHEAD/OTHERS</v>
      </c>
      <c r="F432" s="202">
        <f>VLOOKUP(표9[[#This Row],[Team]],표1[[내역]:[코스트 센터]],2,0)</f>
        <v>101835</v>
      </c>
      <c r="G432" s="202" t="str">
        <f>VLOOKUP(표9[[#This Row],[Project]],표2[],2,0)</f>
        <v>I100099999</v>
      </c>
      <c r="H432" s="209" t="s">
        <v>398</v>
      </c>
      <c r="I432" s="209" t="str">
        <f>VLOOKUP($H432,Azure!$A:$H,7,0)</f>
        <v>이승우</v>
      </c>
      <c r="J432" s="209" t="str">
        <f>VLOOKUP($H432,Azure!$A:$H,8,0)</f>
        <v>이승우</v>
      </c>
      <c r="K432" s="186"/>
      <c r="L432" s="210"/>
      <c r="M432" s="211"/>
      <c r="N432" s="212"/>
      <c r="O432" s="212"/>
      <c r="P432" s="212"/>
      <c r="Q432" s="212"/>
      <c r="R432" s="212"/>
      <c r="S432" s="212"/>
      <c r="T432" s="212"/>
      <c r="U432" s="212">
        <v>2729251</v>
      </c>
      <c r="V432" s="205">
        <v>11039354</v>
      </c>
      <c r="W432" s="205">
        <f>ROUND(표9[[#This Row],[Apr 2026 (USD or KRW)]],0)</f>
        <v>0</v>
      </c>
      <c r="X432" s="212"/>
      <c r="Y432" s="206">
        <f>표9[[#This Row],[Apr 2027(KRW)]]-표9[[#This Row],[Mar 2026(KRW)]]</f>
        <v>-11039354</v>
      </c>
      <c r="Z432" s="213">
        <f t="shared" si="6"/>
        <v>-1</v>
      </c>
      <c r="AA432" s="208">
        <f>VLOOKUP(표9[[#This Row],[Team]],표1[],3,0)</f>
        <v>1000</v>
      </c>
    </row>
    <row r="433" spans="1:27" ht="15">
      <c r="A433" s="209" t="str">
        <f>VLOOKUP($H433,Azure!$A:$H,2,0)</f>
        <v>Azure</v>
      </c>
      <c r="B433" s="209" t="str">
        <f>VLOOKUP($H433,Azure!$A:$H,3,0)</f>
        <v>KRAFTON HQ</v>
      </c>
      <c r="C433" s="209" t="str">
        <f>VLOOKUP($H433,Azure!$A:$H,4,0)</f>
        <v>KRAFTON HQ</v>
      </c>
      <c r="D433" s="209" t="str">
        <f>VLOOKUP($H433,Azure!$A:$H,5,0)</f>
        <v>IN Platform Business Dept._HQ</v>
      </c>
      <c r="E433" s="209" t="str">
        <f>VLOOKUP($H433,Azure!$A:$H,6,0)</f>
        <v>OVERHEAD/OTHERS</v>
      </c>
      <c r="F433" s="202">
        <f>VLOOKUP(표9[[#This Row],[Team]],표1[[내역]:[코스트 센터]],2,0)</f>
        <v>101835</v>
      </c>
      <c r="G433" s="202" t="str">
        <f>VLOOKUP(표9[[#This Row],[Project]],표2[],2,0)</f>
        <v>I100099999</v>
      </c>
      <c r="H433" s="209" t="s">
        <v>399</v>
      </c>
      <c r="I433" s="209" t="str">
        <f>VLOOKUP($H433,Azure!$A:$H,7,0)</f>
        <v>이승우</v>
      </c>
      <c r="J433" s="209" t="str">
        <f>VLOOKUP($H433,Azure!$A:$H,8,0)</f>
        <v>이승우</v>
      </c>
      <c r="K433" s="186"/>
      <c r="L433" s="210"/>
      <c r="M433" s="211"/>
      <c r="N433" s="212"/>
      <c r="O433" s="212"/>
      <c r="P433" s="212"/>
      <c r="Q433" s="212"/>
      <c r="R433" s="212"/>
      <c r="S433" s="212"/>
      <c r="T433" s="212"/>
      <c r="U433" s="212">
        <v>31836944</v>
      </c>
      <c r="V433" s="205">
        <v>0</v>
      </c>
      <c r="W433" s="205">
        <f>ROUND(표9[[#This Row],[Apr 2026 (USD or KRW)]],0)</f>
        <v>0</v>
      </c>
      <c r="X433" s="224"/>
      <c r="Y433" s="206">
        <f>표9[[#This Row],[Apr 2027(KRW)]]-표9[[#This Row],[Mar 2026(KRW)]]</f>
        <v>0</v>
      </c>
      <c r="Z433" s="213" t="str">
        <f t="shared" si="6"/>
        <v/>
      </c>
      <c r="AA433" s="208">
        <f>VLOOKUP(표9[[#This Row],[Team]],표1[],3,0)</f>
        <v>1000</v>
      </c>
    </row>
    <row r="434" spans="1:27" ht="15">
      <c r="A434" s="209" t="str">
        <f>VLOOKUP($H434,Azure!$A:$H,2,0)</f>
        <v>Azure</v>
      </c>
      <c r="B434" s="209" t="str">
        <f>VLOOKUP($H434,Azure!$A:$H,3,0)</f>
        <v>KRAFTON HQ</v>
      </c>
      <c r="C434" s="209" t="str">
        <f>VLOOKUP($H434,Azure!$A:$H,4,0)</f>
        <v>KRAFTON HQ</v>
      </c>
      <c r="D434" s="209" t="str">
        <f>VLOOKUP($H434,Azure!$A:$H,5,0)</f>
        <v>System Team</v>
      </c>
      <c r="E434" s="209" t="str">
        <f>VLOOKUP($H434,Azure!$A:$H,6,0)</f>
        <v>OVERHEAD/OTHERS</v>
      </c>
      <c r="F434" s="202">
        <f>VLOOKUP(표9[[#This Row],[Team]],표1[[내역]:[코스트 센터]],2,0)</f>
        <v>100037</v>
      </c>
      <c r="G434" s="202" t="str">
        <f>VLOOKUP(표9[[#This Row],[Project]],표2[],2,0)</f>
        <v>I100099999</v>
      </c>
      <c r="H434" s="209" t="s">
        <v>400</v>
      </c>
      <c r="I434" s="209" t="str">
        <f>VLOOKUP($H434,Azure!$A:$H,7,0)</f>
        <v>정윤환</v>
      </c>
      <c r="J434" s="209" t="str">
        <f>VLOOKUP($H434,Azure!$A:$H,8,0)</f>
        <v>정윤환</v>
      </c>
      <c r="K434" s="186"/>
      <c r="L434" s="210"/>
      <c r="M434" s="211"/>
      <c r="N434" s="212"/>
      <c r="O434" s="212"/>
      <c r="P434" s="212"/>
      <c r="Q434" s="212"/>
      <c r="R434" s="212"/>
      <c r="S434" s="212">
        <v>0</v>
      </c>
      <c r="T434" s="212">
        <v>68735</v>
      </c>
      <c r="U434" s="212">
        <v>0</v>
      </c>
      <c r="V434" s="205">
        <v>0</v>
      </c>
      <c r="W434" s="205">
        <f>ROUND(표9[[#This Row],[Apr 2026 (USD or KRW)]],0)</f>
        <v>0</v>
      </c>
      <c r="X434" s="224"/>
      <c r="Y434" s="206">
        <f>표9[[#This Row],[Apr 2027(KRW)]]-표9[[#This Row],[Mar 2026(KRW)]]</f>
        <v>0</v>
      </c>
      <c r="Z434" s="213" t="str">
        <f t="shared" si="6"/>
        <v/>
      </c>
      <c r="AA434" s="208">
        <f>VLOOKUP(표9[[#This Row],[Team]],표1[],3,0)</f>
        <v>1000</v>
      </c>
    </row>
    <row r="435" spans="1:27" ht="15">
      <c r="A435" s="209" t="str">
        <f>VLOOKUP($H435,Azure!$A:$H,2,0)</f>
        <v>Azure</v>
      </c>
      <c r="B435" s="209" t="str">
        <f>VLOOKUP($H435,Azure!$A:$H,3,0)</f>
        <v>BLUEHOLE</v>
      </c>
      <c r="C435" s="209" t="str">
        <f>VLOOKUP($H435,Azure!$A:$H,4,0)</f>
        <v>BLUEHOLE</v>
      </c>
      <c r="D435" s="209" t="str">
        <f>VLOOKUP($H435,Azure!$A:$H,5,0)</f>
        <v>T_Console Service Part</v>
      </c>
      <c r="E435" s="209" t="str">
        <f>VLOOKUP($H435,Azure!$A:$H,6,0)</f>
        <v>TERA_Console</v>
      </c>
      <c r="F435" s="202">
        <f>VLOOKUP(표9[[#This Row],[Team]],표1[[내역]:[코스트 센터]],2,0)</f>
        <v>110119</v>
      </c>
      <c r="G435" s="202" t="str">
        <f>VLOOKUP(표9[[#This Row],[Project]],표2[],2,0)</f>
        <v>P100020001</v>
      </c>
      <c r="H435" s="227" t="s">
        <v>401</v>
      </c>
      <c r="I435" s="209" t="str">
        <f>VLOOKUP($H435,Azure!$A:$H,7,0)</f>
        <v>장은진</v>
      </c>
      <c r="J435" s="209" t="str">
        <f>VLOOKUP($H435,Azure!$A:$H,8,0)</f>
        <v>장은진</v>
      </c>
      <c r="K435" s="186" t="s">
        <v>29</v>
      </c>
      <c r="L435" s="210">
        <f>3856679</f>
        <v>3856679</v>
      </c>
      <c r="M435" s="211">
        <v>3683346</v>
      </c>
      <c r="N435" s="212">
        <v>3743177</v>
      </c>
      <c r="O435" s="212">
        <v>3653615</v>
      </c>
      <c r="P435" s="212">
        <v>3922959</v>
      </c>
      <c r="Q435" s="212">
        <v>3940138.4983999999</v>
      </c>
      <c r="R435" s="212">
        <v>3777309</v>
      </c>
      <c r="S435" s="212">
        <v>3983307</v>
      </c>
      <c r="T435" s="212">
        <v>3892641</v>
      </c>
      <c r="U435" s="212">
        <v>3717170</v>
      </c>
      <c r="V435" s="205">
        <v>3916345</v>
      </c>
      <c r="W435" s="205">
        <f>ROUND(표9[[#This Row],[Apr 2026 (USD or KRW)]],0)</f>
        <v>0</v>
      </c>
      <c r="X435" s="224"/>
      <c r="Y435" s="206">
        <f>표9[[#This Row],[Apr 2027(KRW)]]-표9[[#This Row],[Mar 2026(KRW)]]</f>
        <v>-3916345</v>
      </c>
      <c r="Z435" s="213">
        <f t="shared" si="6"/>
        <v>-1</v>
      </c>
      <c r="AA435" s="208">
        <f>VLOOKUP(표9[[#This Row],[Team]],표1[],3,0)</f>
        <v>1100</v>
      </c>
    </row>
    <row r="436" spans="1:27" ht="15">
      <c r="A436" s="209" t="str">
        <f>VLOOKUP($H436,Azure!$A:$H,2,0)</f>
        <v>Azure</v>
      </c>
      <c r="B436" s="209" t="s">
        <v>321</v>
      </c>
      <c r="C436" s="209" t="s">
        <v>321</v>
      </c>
      <c r="D436" s="209" t="str">
        <f>VLOOKUP($H436,Azure!$A:$H,5,0)</f>
        <v>T_Console Service Part</v>
      </c>
      <c r="E436" s="209" t="str">
        <f>VLOOKUP($H436,Azure!$A:$H,6,0)</f>
        <v>TERA_Console</v>
      </c>
      <c r="F436" s="202">
        <f>VLOOKUP(표9[[#This Row],[Team]],표1[[내역]:[코스트 센터]],2,0)</f>
        <v>110119</v>
      </c>
      <c r="G436" s="202" t="str">
        <f>VLOOKUP(표9[[#This Row],[Project]],표2[],2,0)</f>
        <v>P100020001</v>
      </c>
      <c r="H436" s="209" t="s">
        <v>401</v>
      </c>
      <c r="I436" s="209" t="str">
        <f>VLOOKUP($H436,Azure!$A:$H,7,0)</f>
        <v>장은진</v>
      </c>
      <c r="J436" s="209" t="str">
        <f>VLOOKUP($H436,Azure!$A:$H,8,0)</f>
        <v>장은진</v>
      </c>
      <c r="K436" s="186"/>
      <c r="L436" s="210">
        <v>6322424</v>
      </c>
      <c r="M436" s="211">
        <v>6038272</v>
      </c>
      <c r="N436" s="212">
        <v>6136355</v>
      </c>
      <c r="O436" s="212">
        <v>5989533</v>
      </c>
      <c r="P436" s="212">
        <v>6431081</v>
      </c>
      <c r="Q436" s="212">
        <v>6210811</v>
      </c>
      <c r="R436" s="212">
        <v>5954144</v>
      </c>
      <c r="S436" s="212">
        <v>6278857</v>
      </c>
      <c r="T436" s="212">
        <v>6135941</v>
      </c>
      <c r="U436" s="212">
        <v>5859348</v>
      </c>
      <c r="V436" s="205">
        <v>6173306</v>
      </c>
      <c r="W436" s="205">
        <f>ROUND(표9[[#This Row],[Apr 2026 (USD or KRW)]],0)</f>
        <v>0</v>
      </c>
      <c r="X436" s="212"/>
      <c r="Y436" s="206">
        <f>표9[[#This Row],[Apr 2027(KRW)]]-표9[[#This Row],[Mar 2026(KRW)]]</f>
        <v>-6173306</v>
      </c>
      <c r="Z436" s="213">
        <f t="shared" si="6"/>
        <v>-1</v>
      </c>
      <c r="AA436" s="208">
        <f>VLOOKUP(표9[[#This Row],[Team]],표1[],3,0)</f>
        <v>1100</v>
      </c>
    </row>
    <row r="437" spans="1:27" ht="15">
      <c r="A437" s="209" t="str">
        <f>VLOOKUP($H437,Azure!$A:$H,2,0)</f>
        <v>Azure</v>
      </c>
      <c r="B437" s="209" t="str">
        <f>VLOOKUP($H437,Azure!$A:$H,3,0)</f>
        <v>BLUEHOLE</v>
      </c>
      <c r="C437" s="209" t="str">
        <f>VLOOKUP($H437,Azure!$A:$H,4,0)</f>
        <v>BLUEHOLE</v>
      </c>
      <c r="D437" s="209" t="str">
        <f>VLOOKUP($H437,Azure!$A:$H,5,0)</f>
        <v>T_Console Service Part</v>
      </c>
      <c r="E437" s="209" t="str">
        <f>VLOOKUP($H437,Azure!$A:$H,6,0)</f>
        <v>TERA_Console</v>
      </c>
      <c r="F437" s="202">
        <f>VLOOKUP(표9[[#This Row],[Team]],표1[[내역]:[코스트 센터]],2,0)</f>
        <v>110119</v>
      </c>
      <c r="G437" s="202" t="str">
        <f>VLOOKUP(표9[[#This Row],[Project]],표2[],2,0)</f>
        <v>P100020001</v>
      </c>
      <c r="H437" s="227" t="s">
        <v>402</v>
      </c>
      <c r="I437" s="209" t="str">
        <f>VLOOKUP($H437,Azure!$A:$H,7,0)</f>
        <v>장은진</v>
      </c>
      <c r="J437" s="209" t="str">
        <f>VLOOKUP($H437,Azure!$A:$H,8,0)</f>
        <v>장은진</v>
      </c>
      <c r="K437" s="186" t="s">
        <v>29</v>
      </c>
      <c r="L437" s="210">
        <v>3705594</v>
      </c>
      <c r="M437" s="211">
        <v>3560658</v>
      </c>
      <c r="N437" s="212">
        <v>3530653</v>
      </c>
      <c r="O437" s="212">
        <v>3306576</v>
      </c>
      <c r="P437" s="212">
        <v>3612062</v>
      </c>
      <c r="Q437" s="212">
        <v>3746040.0120000001</v>
      </c>
      <c r="R437" s="212">
        <v>3640784</v>
      </c>
      <c r="S437" s="212">
        <v>3749390</v>
      </c>
      <c r="T437" s="212">
        <v>3685507</v>
      </c>
      <c r="U437" s="212">
        <v>3495136</v>
      </c>
      <c r="V437" s="205">
        <v>3245935</v>
      </c>
      <c r="W437" s="205">
        <f>ROUND(표9[[#This Row],[Apr 2026 (USD or KRW)]],0)</f>
        <v>0</v>
      </c>
      <c r="X437" s="224"/>
      <c r="Y437" s="206">
        <f>표9[[#This Row],[Apr 2027(KRW)]]-표9[[#This Row],[Mar 2026(KRW)]]</f>
        <v>-3245935</v>
      </c>
      <c r="Z437" s="213">
        <f t="shared" si="6"/>
        <v>-1</v>
      </c>
      <c r="AA437" s="208">
        <f>VLOOKUP(표9[[#This Row],[Team]],표1[],3,0)</f>
        <v>1100</v>
      </c>
    </row>
    <row r="438" spans="1:27" ht="15">
      <c r="A438" s="209" t="str">
        <f>VLOOKUP($H438,Azure!$A:$H,2,0)</f>
        <v>Azure</v>
      </c>
      <c r="B438" s="209" t="s">
        <v>321</v>
      </c>
      <c r="C438" s="209" t="s">
        <v>321</v>
      </c>
      <c r="D438" s="209" t="str">
        <f>VLOOKUP($H438,Azure!$A:$H,5,0)</f>
        <v>T_Console Service Part</v>
      </c>
      <c r="E438" s="209" t="str">
        <f>VLOOKUP($H438,Azure!$A:$H,6,0)</f>
        <v>TERA_Console</v>
      </c>
      <c r="F438" s="202">
        <f>VLOOKUP(표9[[#This Row],[Team]],표1[[내역]:[코스트 센터]],2,0)</f>
        <v>110119</v>
      </c>
      <c r="G438" s="202" t="str">
        <f>VLOOKUP(표9[[#This Row],[Project]],표2[],2,0)</f>
        <v>P100020001</v>
      </c>
      <c r="H438" s="209" t="s">
        <v>402</v>
      </c>
      <c r="I438" s="209" t="str">
        <f>VLOOKUP($H438,Azure!$A:$H,7,0)</f>
        <v>장은진</v>
      </c>
      <c r="J438" s="209" t="str">
        <f>VLOOKUP($H438,Azure!$A:$H,8,0)</f>
        <v>장은진</v>
      </c>
      <c r="K438" s="186"/>
      <c r="L438" s="210">
        <v>6074744</v>
      </c>
      <c r="M438" s="211">
        <v>5837145</v>
      </c>
      <c r="N438" s="212">
        <v>5787956</v>
      </c>
      <c r="O438" s="212">
        <v>5420617</v>
      </c>
      <c r="P438" s="212">
        <v>5921413</v>
      </c>
      <c r="Q438" s="212">
        <v>5904855</v>
      </c>
      <c r="R438" s="212">
        <v>5738941</v>
      </c>
      <c r="S438" s="212">
        <v>5910135</v>
      </c>
      <c r="T438" s="212">
        <v>5809438</v>
      </c>
      <c r="U438" s="212">
        <v>5509357</v>
      </c>
      <c r="V438" s="205">
        <v>5116543</v>
      </c>
      <c r="W438" s="205">
        <f>ROUND(표9[[#This Row],[Apr 2026 (USD or KRW)]],0)</f>
        <v>0</v>
      </c>
      <c r="X438" s="212"/>
      <c r="Y438" s="206">
        <f>표9[[#This Row],[Apr 2027(KRW)]]-표9[[#This Row],[Mar 2026(KRW)]]</f>
        <v>-5116543</v>
      </c>
      <c r="Z438" s="213">
        <f t="shared" si="6"/>
        <v>-1</v>
      </c>
      <c r="AA438" s="208">
        <f>VLOOKUP(표9[[#This Row],[Team]],표1[],3,0)</f>
        <v>1100</v>
      </c>
    </row>
    <row r="439" spans="1:27" ht="15">
      <c r="A439" s="209" t="str">
        <f>VLOOKUP($H439,Azure!$A:$H,2,0)</f>
        <v>Azure</v>
      </c>
      <c r="B439" s="209" t="str">
        <f>VLOOKUP($H439,Azure!$A:$H,3,0)</f>
        <v>BLUEHOLE</v>
      </c>
      <c r="C439" s="209" t="str">
        <f>VLOOKUP($H439,Azure!$A:$H,4,0)</f>
        <v>BLUEHOLE</v>
      </c>
      <c r="D439" s="209" t="str">
        <f>VLOOKUP($H439,Azure!$A:$H,5,0)</f>
        <v>T_Console Service Part</v>
      </c>
      <c r="E439" s="209" t="str">
        <f>VLOOKUP($H439,Azure!$A:$H,6,0)</f>
        <v>TERA_Console</v>
      </c>
      <c r="F439" s="202">
        <f>VLOOKUP(표9[[#This Row],[Team]],표1[[내역]:[코스트 센터]],2,0)</f>
        <v>110119</v>
      </c>
      <c r="G439" s="202" t="str">
        <f>VLOOKUP(표9[[#This Row],[Project]],표2[],2,0)</f>
        <v>P100020001</v>
      </c>
      <c r="H439" s="227" t="s">
        <v>403</v>
      </c>
      <c r="I439" s="209" t="str">
        <f>VLOOKUP($H439,Azure!$A:$H,7,0)</f>
        <v>장은진</v>
      </c>
      <c r="J439" s="209" t="str">
        <f>VLOOKUP($H439,Azure!$A:$H,8,0)</f>
        <v>장은진</v>
      </c>
      <c r="K439" s="186" t="s">
        <v>29</v>
      </c>
      <c r="L439" s="210">
        <v>15630180</v>
      </c>
      <c r="M439" s="211">
        <v>14799265</v>
      </c>
      <c r="N439" s="212">
        <v>14966148</v>
      </c>
      <c r="O439" s="212">
        <v>14475951</v>
      </c>
      <c r="P439" s="212">
        <v>14023479</v>
      </c>
      <c r="Q439" s="212">
        <v>14720369.5496</v>
      </c>
      <c r="R439" s="212">
        <v>14191387</v>
      </c>
      <c r="S439" s="212">
        <v>14744226</v>
      </c>
      <c r="T439" s="212">
        <v>14412521</v>
      </c>
      <c r="U439" s="212">
        <v>13819269</v>
      </c>
      <c r="V439" s="205">
        <v>14282518</v>
      </c>
      <c r="W439" s="205">
        <f>ROUND(표9[[#This Row],[Apr 2026 (USD or KRW)]],0)</f>
        <v>0</v>
      </c>
      <c r="X439" s="224"/>
      <c r="Y439" s="206">
        <f>표9[[#This Row],[Apr 2027(KRW)]]-표9[[#This Row],[Mar 2026(KRW)]]</f>
        <v>-14282518</v>
      </c>
      <c r="Z439" s="213">
        <f t="shared" si="6"/>
        <v>-1</v>
      </c>
      <c r="AA439" s="208">
        <f>VLOOKUP(표9[[#This Row],[Team]],표1[],3,0)</f>
        <v>1100</v>
      </c>
    </row>
    <row r="440" spans="1:27" ht="15">
      <c r="A440" s="209" t="str">
        <f>VLOOKUP($H440,Azure!$A:$H,2,0)</f>
        <v>Azure</v>
      </c>
      <c r="B440" s="209" t="s">
        <v>321</v>
      </c>
      <c r="C440" s="209" t="s">
        <v>321</v>
      </c>
      <c r="D440" s="209" t="str">
        <f>VLOOKUP($H440,Azure!$A:$H,5,0)</f>
        <v>T_Console Service Part</v>
      </c>
      <c r="E440" s="209" t="str">
        <f>VLOOKUP($H440,Azure!$A:$H,6,0)</f>
        <v>TERA_Console</v>
      </c>
      <c r="F440" s="202">
        <f>VLOOKUP(표9[[#This Row],[Team]],표1[[내역]:[코스트 센터]],2,0)</f>
        <v>110119</v>
      </c>
      <c r="G440" s="202" t="str">
        <f>VLOOKUP(표9[[#This Row],[Project]],표2[],2,0)</f>
        <v>P100020001</v>
      </c>
      <c r="H440" s="209" t="s">
        <v>403</v>
      </c>
      <c r="I440" s="209" t="str">
        <f>VLOOKUP($H440,Azure!$A:$H,7,0)</f>
        <v>장은진</v>
      </c>
      <c r="J440" s="209" t="str">
        <f>VLOOKUP($H440,Azure!$A:$H,8,0)</f>
        <v>장은진</v>
      </c>
      <c r="K440" s="186"/>
      <c r="L440" s="210">
        <v>25623246</v>
      </c>
      <c r="M440" s="211">
        <v>24261089</v>
      </c>
      <c r="N440" s="212">
        <v>24534670</v>
      </c>
      <c r="O440" s="212">
        <v>23731068</v>
      </c>
      <c r="P440" s="212">
        <v>22989310</v>
      </c>
      <c r="Q440" s="212">
        <v>23203609</v>
      </c>
      <c r="R440" s="212">
        <v>22369777</v>
      </c>
      <c r="S440" s="212">
        <v>23241386</v>
      </c>
      <c r="T440" s="212">
        <v>22718349</v>
      </c>
      <c r="U440" s="212">
        <v>21783211</v>
      </c>
      <c r="V440" s="205">
        <v>22513427</v>
      </c>
      <c r="W440" s="205">
        <f>ROUND(표9[[#This Row],[Apr 2026 (USD or KRW)]],0)</f>
        <v>0</v>
      </c>
      <c r="X440" s="212"/>
      <c r="Y440" s="206">
        <f>표9[[#This Row],[Apr 2027(KRW)]]-표9[[#This Row],[Mar 2026(KRW)]]</f>
        <v>-22513427</v>
      </c>
      <c r="Z440" s="213">
        <f t="shared" si="6"/>
        <v>-1</v>
      </c>
      <c r="AA440" s="208">
        <f>VLOOKUP(표9[[#This Row],[Team]],표1[],3,0)</f>
        <v>1100</v>
      </c>
    </row>
    <row r="441" spans="1:27" ht="15">
      <c r="A441" s="209" t="str">
        <f>VLOOKUP($H441,Azure!$A:$H,2,0)</f>
        <v>Azure</v>
      </c>
      <c r="B441" s="209" t="str">
        <f>VLOOKUP($H441,Azure!$A:$H,3,0)</f>
        <v>BLUEHOLE</v>
      </c>
      <c r="C441" s="209" t="str">
        <f>VLOOKUP($H441,Azure!$A:$H,4,0)</f>
        <v>BLUEHOLE</v>
      </c>
      <c r="D441" s="209" t="str">
        <f>VLOOKUP($H441,Azure!$A:$H,5,0)</f>
        <v>T_Console Service Part</v>
      </c>
      <c r="E441" s="209" t="str">
        <f>VLOOKUP($H441,Azure!$A:$H,6,0)</f>
        <v>TERA_Console</v>
      </c>
      <c r="F441" s="202">
        <f>VLOOKUP(표9[[#This Row],[Team]],표1[[내역]:[코스트 센터]],2,0)</f>
        <v>110119</v>
      </c>
      <c r="G441" s="202" t="str">
        <f>VLOOKUP(표9[[#This Row],[Project]],표2[],2,0)</f>
        <v>P100020001</v>
      </c>
      <c r="H441" s="227" t="s">
        <v>404</v>
      </c>
      <c r="I441" s="209" t="str">
        <f>VLOOKUP($H441,Azure!$A:$H,7,0)</f>
        <v>장은진</v>
      </c>
      <c r="J441" s="209" t="str">
        <f>VLOOKUP($H441,Azure!$A:$H,8,0)</f>
        <v>장은진</v>
      </c>
      <c r="K441" s="186" t="s">
        <v>29</v>
      </c>
      <c r="L441" s="210">
        <v>3135165</v>
      </c>
      <c r="M441" s="211">
        <v>3241010</v>
      </c>
      <c r="N441" s="212">
        <v>3285226</v>
      </c>
      <c r="O441" s="212">
        <v>3008475</v>
      </c>
      <c r="P441" s="212">
        <v>3014797</v>
      </c>
      <c r="Q441" s="212">
        <v>3157726</v>
      </c>
      <c r="R441" s="212">
        <v>3276885</v>
      </c>
      <c r="S441" s="212">
        <v>3786220</v>
      </c>
      <c r="T441" s="212">
        <v>3605524</v>
      </c>
      <c r="U441" s="212">
        <v>3406434</v>
      </c>
      <c r="V441" s="205">
        <v>3053938</v>
      </c>
      <c r="W441" s="205">
        <f>ROUND(표9[[#This Row],[Apr 2026 (USD or KRW)]],0)</f>
        <v>0</v>
      </c>
      <c r="X441" s="224"/>
      <c r="Y441" s="206">
        <f>표9[[#This Row],[Apr 2027(KRW)]]-표9[[#This Row],[Mar 2026(KRW)]]</f>
        <v>-3053938</v>
      </c>
      <c r="Z441" s="213">
        <f t="shared" si="6"/>
        <v>-1</v>
      </c>
      <c r="AA441" s="208">
        <f>VLOOKUP(표9[[#This Row],[Team]],표1[],3,0)</f>
        <v>1100</v>
      </c>
    </row>
    <row r="442" spans="1:27" ht="15">
      <c r="A442" s="209" t="str">
        <f>VLOOKUP($H442,Azure!$A:$H,2,0)</f>
        <v>Azure</v>
      </c>
      <c r="B442" s="209" t="s">
        <v>321</v>
      </c>
      <c r="C442" s="209" t="s">
        <v>321</v>
      </c>
      <c r="D442" s="209" t="str">
        <f>VLOOKUP($H442,Azure!$A:$H,5,0)</f>
        <v>T_Console Service Part</v>
      </c>
      <c r="E442" s="209" t="str">
        <f>VLOOKUP($H442,Azure!$A:$H,6,0)</f>
        <v>TERA_Console</v>
      </c>
      <c r="F442" s="202">
        <f>VLOOKUP(표9[[#This Row],[Team]],표1[[내역]:[코스트 센터]],2,0)</f>
        <v>110119</v>
      </c>
      <c r="G442" s="202" t="str">
        <f>VLOOKUP(표9[[#This Row],[Project]],표2[],2,0)</f>
        <v>P100020001</v>
      </c>
      <c r="H442" s="209" t="s">
        <v>404</v>
      </c>
      <c r="I442" s="209" t="str">
        <f>VLOOKUP($H442,Azure!$A:$H,7,0)</f>
        <v>장은진</v>
      </c>
      <c r="J442" s="209" t="str">
        <f>VLOOKUP($H442,Azure!$A:$H,8,0)</f>
        <v>장은진</v>
      </c>
      <c r="K442" s="186"/>
      <c r="L442" s="210">
        <v>5139616</v>
      </c>
      <c r="M442" s="211">
        <v>5313131</v>
      </c>
      <c r="N442" s="212">
        <v>5385616</v>
      </c>
      <c r="O442" s="212">
        <v>4931926</v>
      </c>
      <c r="P442" s="212">
        <v>4942290</v>
      </c>
      <c r="Q442" s="212">
        <v>4977500</v>
      </c>
      <c r="R442" s="212">
        <v>5165330</v>
      </c>
      <c r="S442" s="212">
        <v>5968191</v>
      </c>
      <c r="T442" s="212">
        <v>5683360</v>
      </c>
      <c r="U442" s="212">
        <v>5369537</v>
      </c>
      <c r="V442" s="205">
        <v>4813900</v>
      </c>
      <c r="W442" s="205">
        <f>ROUND(표9[[#This Row],[Apr 2026 (USD or KRW)]],0)</f>
        <v>0</v>
      </c>
      <c r="X442" s="212"/>
      <c r="Y442" s="206">
        <f>표9[[#This Row],[Apr 2027(KRW)]]-표9[[#This Row],[Mar 2026(KRW)]]</f>
        <v>-4813900</v>
      </c>
      <c r="Z442" s="213">
        <f t="shared" si="6"/>
        <v>-1</v>
      </c>
      <c r="AA442" s="208">
        <f>VLOOKUP(표9[[#This Row],[Team]],표1[],3,0)</f>
        <v>1100</v>
      </c>
    </row>
    <row r="443" spans="1:27" ht="15">
      <c r="A443" s="209" t="str">
        <f>VLOOKUP($H443,Azure!$A:$H,2,0)</f>
        <v>Azure</v>
      </c>
      <c r="B443" s="209" t="str">
        <f>VLOOKUP($H443,Azure!$A:$H,3,0)</f>
        <v>KRAFTON HQ</v>
      </c>
      <c r="C443" s="209" t="str">
        <f>VLOOKUP($H443,Azure!$A:$H,4,0)</f>
        <v>KRAFTON HQ</v>
      </c>
      <c r="D443" s="209" t="str">
        <f>VLOOKUP($H443,Azure!$A:$H,5,0)</f>
        <v>Culture Team</v>
      </c>
      <c r="E443" s="209" t="str">
        <f>VLOOKUP($H443,Azure!$A:$H,6,0)</f>
        <v>OVERHEAD/OTHERS</v>
      </c>
      <c r="F443" s="202">
        <f>VLOOKUP(표9[[#This Row],[Team]],표1[[내역]:[코스트 센터]],2,0)</f>
        <v>100076</v>
      </c>
      <c r="G443" s="202" t="str">
        <f>VLOOKUP(표9[[#This Row],[Project]],표2[],2,0)</f>
        <v>I100099999</v>
      </c>
      <c r="H443" s="225" t="s">
        <v>405</v>
      </c>
      <c r="I443" s="226"/>
      <c r="J443" s="209" t="str">
        <f>VLOOKUP($H443,Azure!$A:$H,8,0)</f>
        <v>이서진</v>
      </c>
      <c r="K443" s="242"/>
      <c r="L443" s="228"/>
      <c r="M443" s="199"/>
      <c r="N443" s="200"/>
      <c r="O443" s="200"/>
      <c r="P443" s="200"/>
      <c r="Q443" s="200"/>
      <c r="R443" s="200"/>
      <c r="S443" s="200"/>
      <c r="T443" s="200"/>
      <c r="U443" s="200"/>
      <c r="V443" s="205">
        <v>578</v>
      </c>
      <c r="W443" s="205">
        <f>ROUND(표9[[#This Row],[Apr 2026 (USD or KRW)]],0)</f>
        <v>0</v>
      </c>
      <c r="X443" s="224"/>
      <c r="Y443" s="206">
        <f>표9[[#This Row],[Apr 2027(KRW)]]-표9[[#This Row],[Mar 2026(KRW)]]</f>
        <v>-578</v>
      </c>
      <c r="Z443" s="213">
        <f t="shared" si="6"/>
        <v>-1</v>
      </c>
      <c r="AA443" s="208">
        <f>VLOOKUP(표9[[#This Row],[Team]],표1[],3,0)</f>
        <v>1000</v>
      </c>
    </row>
    <row r="444" spans="1:27" ht="15">
      <c r="A444" s="209" t="str">
        <f>VLOOKUP($H444,Azure!$A:$H,2,0)</f>
        <v>Azure</v>
      </c>
      <c r="B444" s="209" t="s">
        <v>321</v>
      </c>
      <c r="C444" s="209" t="s">
        <v>321</v>
      </c>
      <c r="D444" s="209" t="str">
        <f>VLOOKUP($H444,Azure!$A:$H,5,0)</f>
        <v>Culture Team</v>
      </c>
      <c r="E444" s="209" t="str">
        <f>VLOOKUP($H444,Azure!$A:$H,6,0)</f>
        <v>OVERHEAD/OTHERS</v>
      </c>
      <c r="F444" s="202">
        <f>VLOOKUP(표9[[#This Row],[Team]],표1[[내역]:[코스트 센터]],2,0)</f>
        <v>100076</v>
      </c>
      <c r="G444" s="202" t="str">
        <f>VLOOKUP(표9[[#This Row],[Project]],표2[],2,0)</f>
        <v>I100099999</v>
      </c>
      <c r="H444" s="225" t="s">
        <v>405</v>
      </c>
      <c r="I444" s="226"/>
      <c r="J444" s="209" t="str">
        <f>VLOOKUP($H444,Azure!$A:$H,8,0)</f>
        <v>이서진</v>
      </c>
      <c r="K444" s="242"/>
      <c r="L444" s="197"/>
      <c r="M444" s="199"/>
      <c r="N444" s="200"/>
      <c r="O444" s="200"/>
      <c r="P444" s="200"/>
      <c r="Q444" s="200"/>
      <c r="R444" s="200"/>
      <c r="S444" s="200"/>
      <c r="T444" s="200"/>
      <c r="U444" s="212"/>
      <c r="V444" s="205">
        <v>911</v>
      </c>
      <c r="W444" s="205">
        <f>ROUND(표9[[#This Row],[Apr 2026 (USD or KRW)]],0)</f>
        <v>0</v>
      </c>
      <c r="X444" s="212"/>
      <c r="Y444" s="206">
        <f>표9[[#This Row],[Apr 2027(KRW)]]-표9[[#This Row],[Mar 2026(KRW)]]</f>
        <v>-911</v>
      </c>
      <c r="Z444" s="213">
        <f t="shared" si="6"/>
        <v>-1</v>
      </c>
      <c r="AA444" s="208">
        <f>VLOOKUP(표9[[#This Row],[Team]],표1[],3,0)</f>
        <v>1000</v>
      </c>
    </row>
    <row r="445" spans="1:27" s="8" customFormat="1" ht="15">
      <c r="A445" s="209" t="str">
        <f>VLOOKUP($H445,Azure!$A:$H,2,0)</f>
        <v>Azure</v>
      </c>
      <c r="B445" s="209" t="str">
        <f>VLOOKUP($H445,Azure!$A:$H,3,0)</f>
        <v>KRAFTON HQ</v>
      </c>
      <c r="C445" s="209" t="str">
        <f>VLOOKUP($H445,Azure!$A:$H,4,0)</f>
        <v>KRAFTON EUROPE B.V.</v>
      </c>
      <c r="D445" s="209" t="str">
        <f>VLOOKUP($H445,Azure!$A:$H,5,0)</f>
        <v>West Scale-up Dept.</v>
      </c>
      <c r="E445" s="209" t="str">
        <f>VLOOKUP($H445,Azure!$A:$H,6,0)</f>
        <v>OVERHEAD/OTHERS</v>
      </c>
      <c r="F445" s="202" t="e">
        <f>VLOOKUP(표9[[#This Row],[Team]],표1[[내역]:[코스트 센터]],2,0)</f>
        <v>#N/A</v>
      </c>
      <c r="G445" s="202" t="str">
        <f>VLOOKUP(표9[[#This Row],[Project]],표2[],2,0)</f>
        <v>I100099999</v>
      </c>
      <c r="H445" s="209" t="s">
        <v>406</v>
      </c>
      <c r="I445" s="209" t="str">
        <f>VLOOKUP($H445,Azure!$A:$H,7,0)</f>
        <v>Love Hedman</v>
      </c>
      <c r="J445" s="209" t="str">
        <f>VLOOKUP($H445,Azure!$A:$H,8,0)</f>
        <v>Love Hedman</v>
      </c>
      <c r="K445" s="186"/>
      <c r="L445" s="210">
        <v>5</v>
      </c>
      <c r="M445" s="211">
        <v>5</v>
      </c>
      <c r="N445" s="212">
        <v>6</v>
      </c>
      <c r="O445" s="212">
        <v>6</v>
      </c>
      <c r="P445" s="212">
        <v>54</v>
      </c>
      <c r="Q445" s="212">
        <v>1370.9384</v>
      </c>
      <c r="R445" s="212">
        <v>738</v>
      </c>
      <c r="S445" s="212">
        <v>247</v>
      </c>
      <c r="T445" s="212">
        <v>211</v>
      </c>
      <c r="U445" s="212">
        <v>246</v>
      </c>
      <c r="V445" s="205">
        <v>232</v>
      </c>
      <c r="W445" s="205">
        <f>ROUND(표9[[#This Row],[Apr 2026 (USD or KRW)]],0)</f>
        <v>0</v>
      </c>
      <c r="X445" s="224"/>
      <c r="Y445" s="206">
        <f>표9[[#This Row],[Apr 2027(KRW)]]-표9[[#This Row],[Mar 2026(KRW)]]</f>
        <v>-232</v>
      </c>
      <c r="Z445" s="213">
        <f t="shared" si="6"/>
        <v>-1</v>
      </c>
      <c r="AA445" s="208" t="e">
        <f>VLOOKUP(표9[[#This Row],[Team]],표1[],3,0)</f>
        <v>#N/A</v>
      </c>
    </row>
    <row r="446" spans="1:27" s="8" customFormat="1" ht="15">
      <c r="A446" s="209" t="str">
        <f>VLOOKUP($H446,Azure!$A:$H,2,0)</f>
        <v>Azure</v>
      </c>
      <c r="B446" s="209" t="s">
        <v>321</v>
      </c>
      <c r="C446" s="209" t="s">
        <v>321</v>
      </c>
      <c r="D446" s="209" t="str">
        <f>VLOOKUP($H446,Azure!$A:$H,5,0)</f>
        <v>West Scale-up Dept.</v>
      </c>
      <c r="E446" s="209" t="str">
        <f>VLOOKUP($H446,Azure!$A:$H,6,0)</f>
        <v>OVERHEAD/OTHERS</v>
      </c>
      <c r="F446" s="202" t="e">
        <f>VLOOKUP(표9[[#This Row],[Team]],표1[[내역]:[코스트 센터]],2,0)</f>
        <v>#N/A</v>
      </c>
      <c r="G446" s="202" t="str">
        <f>VLOOKUP(표9[[#This Row],[Project]],표2[],2,0)</f>
        <v>I100099999</v>
      </c>
      <c r="H446" s="209" t="s">
        <v>406</v>
      </c>
      <c r="I446" s="209" t="str">
        <f>VLOOKUP($H446,Azure!$A:$H,7,0)</f>
        <v>Love Hedman</v>
      </c>
      <c r="J446" s="209" t="str">
        <f>VLOOKUP($H446,Azure!$A:$H,8,0)</f>
        <v>Love Hedman</v>
      </c>
      <c r="K446" s="186"/>
      <c r="L446" s="210">
        <v>9</v>
      </c>
      <c r="M446" s="211">
        <v>9</v>
      </c>
      <c r="N446" s="212">
        <v>10</v>
      </c>
      <c r="O446" s="212">
        <v>10</v>
      </c>
      <c r="P446" s="212">
        <v>89</v>
      </c>
      <c r="Q446" s="212">
        <v>2161</v>
      </c>
      <c r="R446" s="212">
        <v>1164</v>
      </c>
      <c r="S446" s="212">
        <v>389</v>
      </c>
      <c r="T446" s="212">
        <v>332</v>
      </c>
      <c r="U446" s="212">
        <v>387</v>
      </c>
      <c r="V446" s="205">
        <v>365</v>
      </c>
      <c r="W446" s="205">
        <f>ROUND(표9[[#This Row],[Apr 2026 (USD or KRW)]],0)</f>
        <v>0</v>
      </c>
      <c r="X446" s="212"/>
      <c r="Y446" s="206">
        <f>표9[[#This Row],[Apr 2027(KRW)]]-표9[[#This Row],[Mar 2026(KRW)]]</f>
        <v>-365</v>
      </c>
      <c r="Z446" s="213">
        <f t="shared" si="6"/>
        <v>-1</v>
      </c>
      <c r="AA446" s="208" t="e">
        <f>VLOOKUP(표9[[#This Row],[Team]],표1[],3,0)</f>
        <v>#N/A</v>
      </c>
    </row>
    <row r="447" spans="1:27" s="8" customFormat="1" ht="15">
      <c r="A447" s="209" t="str">
        <f>VLOOKUP($H447,Azure!$A:$H,2,0)</f>
        <v>Azure</v>
      </c>
      <c r="B447" s="209" t="str">
        <f>VLOOKUP($H447,Azure!$A:$H,3,0)</f>
        <v>KRAFTON HQ</v>
      </c>
      <c r="C447" s="209" t="str">
        <f>VLOOKUP($H447,Azure!$A:$H,4,0)</f>
        <v>KRAFTON HQ</v>
      </c>
      <c r="D447" s="209" t="str">
        <f>VLOOKUP($H447,Azure!$A:$H,5,0)</f>
        <v>Experience Engineering Dept.</v>
      </c>
      <c r="E447" s="209" t="str">
        <f>VLOOKUP($H447,Azure!$A:$H,6,0)</f>
        <v>OVERHEAD/OTHERS</v>
      </c>
      <c r="F447" s="202">
        <f>VLOOKUP(표9[[#This Row],[Team]],표1[[내역]:[코스트 센터]],2,0)</f>
        <v>101752</v>
      </c>
      <c r="G447" s="202" t="str">
        <f>VLOOKUP(표9[[#This Row],[Project]],표2[],2,0)</f>
        <v>I100099999</v>
      </c>
      <c r="H447" s="209" t="s">
        <v>407</v>
      </c>
      <c r="I447" s="209" t="str">
        <f>VLOOKUP($H447,Azure!$A:$H,7,0)</f>
        <v>허지호</v>
      </c>
      <c r="J447" s="209" t="str">
        <f>VLOOKUP($H447,Azure!$A:$H,8,0)</f>
        <v>이준호</v>
      </c>
      <c r="K447" s="186"/>
      <c r="L447" s="210"/>
      <c r="M447" s="211"/>
      <c r="N447" s="212"/>
      <c r="O447" s="212">
        <v>261</v>
      </c>
      <c r="P447" s="212">
        <v>1490</v>
      </c>
      <c r="Q447" s="212">
        <v>5186.22</v>
      </c>
      <c r="R447" s="212">
        <v>7841</v>
      </c>
      <c r="S447" s="212">
        <v>3395</v>
      </c>
      <c r="T447" s="212">
        <v>0</v>
      </c>
      <c r="U447" s="212">
        <v>0</v>
      </c>
      <c r="V447" s="205">
        <v>0</v>
      </c>
      <c r="W447" s="205">
        <f>ROUND(표9[[#This Row],[Apr 2026 (USD or KRW)]],0)</f>
        <v>0</v>
      </c>
      <c r="X447" s="224"/>
      <c r="Y447" s="206">
        <f>표9[[#This Row],[Apr 2027(KRW)]]-표9[[#This Row],[Mar 2026(KRW)]]</f>
        <v>0</v>
      </c>
      <c r="Z447" s="213" t="str">
        <f t="shared" si="6"/>
        <v/>
      </c>
      <c r="AA447" s="208">
        <f>VLOOKUP(표9[[#This Row],[Team]],표1[],3,0)</f>
        <v>1000</v>
      </c>
    </row>
    <row r="448" spans="1:27" s="8" customFormat="1" ht="15">
      <c r="A448" s="209" t="str">
        <f>VLOOKUP($H448,Azure!$A:$H,2,0)</f>
        <v>Azure</v>
      </c>
      <c r="B448" s="209" t="s">
        <v>321</v>
      </c>
      <c r="C448" s="209" t="s">
        <v>321</v>
      </c>
      <c r="D448" s="209" t="str">
        <f>VLOOKUP($H448,Azure!$A:$H,5,0)</f>
        <v>Experience Engineering Dept.</v>
      </c>
      <c r="E448" s="209" t="str">
        <f>VLOOKUP($H448,Azure!$A:$H,6,0)</f>
        <v>OVERHEAD/OTHERS</v>
      </c>
      <c r="F448" s="202">
        <f>VLOOKUP(표9[[#This Row],[Team]],표1[[내역]:[코스트 센터]],2,0)</f>
        <v>101752</v>
      </c>
      <c r="G448" s="202" t="str">
        <f>VLOOKUP(표9[[#This Row],[Project]],표2[],2,0)</f>
        <v>I100099999</v>
      </c>
      <c r="H448" s="209" t="s">
        <v>407</v>
      </c>
      <c r="I448" s="209" t="str">
        <f>VLOOKUP($H448,Azure!$A:$H,7,0)</f>
        <v>허지호</v>
      </c>
      <c r="J448" s="209" t="str">
        <f>VLOOKUP($H448,Azure!$A:$H,8,0)</f>
        <v>이준호</v>
      </c>
      <c r="K448" s="186"/>
      <c r="L448" s="210"/>
      <c r="M448" s="211"/>
      <c r="N448" s="212"/>
      <c r="O448" s="212">
        <v>261</v>
      </c>
      <c r="P448" s="212">
        <v>2442</v>
      </c>
      <c r="Q448" s="212">
        <v>8175</v>
      </c>
      <c r="R448" s="212">
        <v>12359</v>
      </c>
      <c r="S448" s="212">
        <v>5352</v>
      </c>
      <c r="T448" s="212">
        <v>0</v>
      </c>
      <c r="U448" s="212">
        <v>0</v>
      </c>
      <c r="V448" s="205">
        <v>0</v>
      </c>
      <c r="W448" s="205">
        <f>ROUND(표9[[#This Row],[Apr 2026 (USD or KRW)]],0)</f>
        <v>0</v>
      </c>
      <c r="X448" s="212"/>
      <c r="Y448" s="206">
        <f>표9[[#This Row],[Apr 2027(KRW)]]-표9[[#This Row],[Mar 2026(KRW)]]</f>
        <v>0</v>
      </c>
      <c r="Z448" s="213" t="str">
        <f t="shared" si="6"/>
        <v/>
      </c>
      <c r="AA448" s="208">
        <f>VLOOKUP(표9[[#This Row],[Team]],표1[],3,0)</f>
        <v>1000</v>
      </c>
    </row>
    <row r="449" spans="1:27" s="8" customFormat="1" ht="15">
      <c r="A449" s="209" t="str">
        <f>VLOOKUP($H449,Azure!$A:$H,2,0)</f>
        <v>Azure</v>
      </c>
      <c r="B449" s="209" t="str">
        <f>VLOOKUP($H449,Azure!$A:$H,3,0)</f>
        <v>KRAFTON HQ</v>
      </c>
      <c r="C449" s="209" t="str">
        <f>VLOOKUP($H449,Azure!$A:$H,4,0)</f>
        <v>PUBG NewState</v>
      </c>
      <c r="D449" s="209" t="str">
        <f>VLOOKUP($H449,Azure!$A:$H,5,0)</f>
        <v>[N/A]New State Dev Div.</v>
      </c>
      <c r="E449" s="209" t="str">
        <f>VLOOKUP($H449,Azure!$A:$H,6,0)</f>
        <v>PUBG:NEW STATE</v>
      </c>
      <c r="F449" s="202">
        <f>VLOOKUP(표9[[#This Row],[Team]],표1[[내역]:[코스트 센터]],2,0)</f>
        <v>100368</v>
      </c>
      <c r="G449" s="202" t="str">
        <f>VLOOKUP(표9[[#This Row],[Project]],표2[],2,0)</f>
        <v>P100030014</v>
      </c>
      <c r="H449" s="209" t="s">
        <v>408</v>
      </c>
      <c r="I449" s="209" t="str">
        <f>VLOOKUP($H449,Azure!$A:$H,7,0)</f>
        <v>염화음</v>
      </c>
      <c r="J449" s="209" t="str">
        <f>VLOOKUP($H449,Azure!$A:$H,8,0)</f>
        <v>김시훈</v>
      </c>
      <c r="K449" s="186" t="s">
        <v>29</v>
      </c>
      <c r="L449" s="210">
        <v>57649</v>
      </c>
      <c r="M449" s="211">
        <v>57539</v>
      </c>
      <c r="N449" s="212">
        <v>59060</v>
      </c>
      <c r="O449" s="212">
        <v>59068</v>
      </c>
      <c r="P449" s="212">
        <v>57083</v>
      </c>
      <c r="Q449" s="212">
        <v>61482.875999999997</v>
      </c>
      <c r="R449" s="212">
        <v>59373</v>
      </c>
      <c r="S449" s="212">
        <v>61401</v>
      </c>
      <c r="T449" s="212">
        <v>61125</v>
      </c>
      <c r="U449" s="212">
        <v>55946</v>
      </c>
      <c r="V449" s="205">
        <v>61464</v>
      </c>
      <c r="W449" s="205">
        <f>ROUND(표9[[#This Row],[Apr 2026 (USD or KRW)]],0)</f>
        <v>0</v>
      </c>
      <c r="X449" s="224"/>
      <c r="Y449" s="206">
        <f>표9[[#This Row],[Apr 2027(KRW)]]-표9[[#This Row],[Mar 2026(KRW)]]</f>
        <v>-61464</v>
      </c>
      <c r="Z449" s="213">
        <f t="shared" si="6"/>
        <v>-1</v>
      </c>
      <c r="AA449" s="208">
        <f>VLOOKUP(표9[[#This Row],[Team]],표1[],3,0)</f>
        <v>1000</v>
      </c>
    </row>
    <row r="450" spans="1:27" s="8" customFormat="1" ht="15">
      <c r="A450" s="209" t="str">
        <f>VLOOKUP($H450,Azure!$A:$H,2,0)</f>
        <v>Azure</v>
      </c>
      <c r="B450" s="209" t="s">
        <v>321</v>
      </c>
      <c r="C450" s="209" t="s">
        <v>321</v>
      </c>
      <c r="D450" s="209" t="str">
        <f>VLOOKUP($H450,Azure!$A:$H,5,0)</f>
        <v>[N/A]New State Dev Div.</v>
      </c>
      <c r="E450" s="209" t="str">
        <f>VLOOKUP($H450,Azure!$A:$H,6,0)</f>
        <v>PUBG:NEW STATE</v>
      </c>
      <c r="F450" s="202">
        <f>VLOOKUP(표9[[#This Row],[Team]],표1[[내역]:[코스트 센터]],2,0)</f>
        <v>100368</v>
      </c>
      <c r="G450" s="202" t="str">
        <f>VLOOKUP(표9[[#This Row],[Project]],표2[],2,0)</f>
        <v>P100030014</v>
      </c>
      <c r="H450" s="209" t="s">
        <v>408</v>
      </c>
      <c r="I450" s="209" t="str">
        <f>VLOOKUP($H450,Azure!$A:$H,7,0)</f>
        <v>염화음</v>
      </c>
      <c r="J450" s="209" t="str">
        <f>VLOOKUP($H450,Azure!$A:$H,8,0)</f>
        <v>김시훈</v>
      </c>
      <c r="K450" s="186" t="s">
        <v>29</v>
      </c>
      <c r="L450" s="210">
        <v>94506</v>
      </c>
      <c r="M450" s="211">
        <v>94326</v>
      </c>
      <c r="N450" s="212">
        <v>96820</v>
      </c>
      <c r="O450" s="212">
        <v>96833</v>
      </c>
      <c r="P450" s="212">
        <v>93578</v>
      </c>
      <c r="Q450" s="212">
        <v>96915</v>
      </c>
      <c r="R450" s="212">
        <v>93590</v>
      </c>
      <c r="S450" s="212">
        <v>96786</v>
      </c>
      <c r="T450" s="212">
        <v>96351</v>
      </c>
      <c r="U450" s="212">
        <v>88188</v>
      </c>
      <c r="V450" s="205">
        <v>96886</v>
      </c>
      <c r="W450" s="205">
        <f>ROUND(표9[[#This Row],[Apr 2026 (USD or KRW)]],0)</f>
        <v>0</v>
      </c>
      <c r="X450" s="212"/>
      <c r="Y450" s="206">
        <f>표9[[#This Row],[Apr 2027(KRW)]]-표9[[#This Row],[Mar 2026(KRW)]]</f>
        <v>-96886</v>
      </c>
      <c r="Z450" s="213">
        <f t="shared" si="6"/>
        <v>-1</v>
      </c>
      <c r="AA450" s="208">
        <f>VLOOKUP(표9[[#This Row],[Team]],표1[],3,0)</f>
        <v>1000</v>
      </c>
    </row>
    <row r="451" spans="1:27" s="8" customFormat="1" ht="15">
      <c r="A451" s="209" t="str">
        <f>VLOOKUP($H451,Azure!$A:$H,2,0)</f>
        <v>Azure</v>
      </c>
      <c r="B451" s="209" t="str">
        <f>VLOOKUP($H451,Azure!$A:$H,3,0)</f>
        <v>KRAFTON HQ</v>
      </c>
      <c r="C451" s="209" t="str">
        <f>VLOOKUP($H451,Azure!$A:$H,4,0)</f>
        <v>PUBG NewState</v>
      </c>
      <c r="D451" s="209" t="str">
        <f>VLOOKUP($H451,Azure!$A:$H,5,0)</f>
        <v>[N/A]New State Dev Div.</v>
      </c>
      <c r="E451" s="209" t="str">
        <f>VLOOKUP($H451,Azure!$A:$H,6,0)</f>
        <v>PUBG:NEW STATE</v>
      </c>
      <c r="F451" s="202">
        <f>VLOOKUP(표9[[#This Row],[Team]],표1[[내역]:[코스트 센터]],2,0)</f>
        <v>100368</v>
      </c>
      <c r="G451" s="202" t="str">
        <f>VLOOKUP(표9[[#This Row],[Project]],표2[],2,0)</f>
        <v>P100030014</v>
      </c>
      <c r="H451" s="209" t="s">
        <v>409</v>
      </c>
      <c r="I451" s="209" t="s">
        <v>34</v>
      </c>
      <c r="J451" s="209" t="str">
        <f>VLOOKUP($H451,Azure!$A:$H,8,0)</f>
        <v>김태완</v>
      </c>
      <c r="K451" s="186" t="s">
        <v>29</v>
      </c>
      <c r="L451" s="210">
        <v>500502</v>
      </c>
      <c r="M451" s="211">
        <v>482910</v>
      </c>
      <c r="N451" s="212">
        <v>496106</v>
      </c>
      <c r="O451" s="212">
        <v>492526</v>
      </c>
      <c r="P451" s="212">
        <v>476804</v>
      </c>
      <c r="Q451" s="212">
        <v>510204.14640000003</v>
      </c>
      <c r="R451" s="212">
        <v>449423</v>
      </c>
      <c r="S451" s="212">
        <v>439923</v>
      </c>
      <c r="T451" s="212">
        <v>440244</v>
      </c>
      <c r="U451" s="212">
        <v>399650</v>
      </c>
      <c r="V451" s="205">
        <v>440445</v>
      </c>
      <c r="W451" s="205">
        <f>ROUND(표9[[#This Row],[Apr 2026 (USD or KRW)]],0)</f>
        <v>0</v>
      </c>
      <c r="X451" s="224"/>
      <c r="Y451" s="206">
        <f>표9[[#This Row],[Apr 2027(KRW)]]-표9[[#This Row],[Mar 2026(KRW)]]</f>
        <v>-440445</v>
      </c>
      <c r="Z451" s="213">
        <f t="shared" si="6"/>
        <v>-1</v>
      </c>
      <c r="AA451" s="208">
        <f>VLOOKUP(표9[[#This Row],[Team]],표1[],3,0)</f>
        <v>1000</v>
      </c>
    </row>
    <row r="452" spans="1:27" s="8" customFormat="1" ht="15">
      <c r="A452" s="209" t="str">
        <f>VLOOKUP($H452,Azure!$A:$H,2,0)</f>
        <v>Azure</v>
      </c>
      <c r="B452" s="209" t="s">
        <v>321</v>
      </c>
      <c r="C452" s="209" t="s">
        <v>321</v>
      </c>
      <c r="D452" s="209" t="str">
        <f>VLOOKUP($H452,Azure!$A:$H,5,0)</f>
        <v>[N/A]New State Dev Div.</v>
      </c>
      <c r="E452" s="209" t="str">
        <f>VLOOKUP($H452,Azure!$A:$H,6,0)</f>
        <v>PUBG:NEW STATE</v>
      </c>
      <c r="F452" s="202">
        <f>VLOOKUP(표9[[#This Row],[Team]],표1[[내역]:[코스트 센터]],2,0)</f>
        <v>100368</v>
      </c>
      <c r="G452" s="202" t="str">
        <f>VLOOKUP(표9[[#This Row],[Project]],표2[],2,0)</f>
        <v>P100030014</v>
      </c>
      <c r="H452" s="209" t="s">
        <v>409</v>
      </c>
      <c r="I452" s="209" t="s">
        <v>34</v>
      </c>
      <c r="J452" s="209" t="str">
        <f>VLOOKUP($H452,Azure!$A:$H,8,0)</f>
        <v>김태완</v>
      </c>
      <c r="K452" s="186"/>
      <c r="L452" s="210">
        <v>820495</v>
      </c>
      <c r="M452" s="211">
        <v>791655</v>
      </c>
      <c r="N452" s="212">
        <v>813289</v>
      </c>
      <c r="O452" s="212">
        <v>807419</v>
      </c>
      <c r="P452" s="212">
        <v>781646</v>
      </c>
      <c r="Q452" s="212">
        <v>804231</v>
      </c>
      <c r="R452" s="212">
        <v>708422</v>
      </c>
      <c r="S452" s="212">
        <v>693447</v>
      </c>
      <c r="T452" s="212">
        <v>693954</v>
      </c>
      <c r="U452" s="212">
        <v>629965</v>
      </c>
      <c r="V452" s="205">
        <v>694270</v>
      </c>
      <c r="W452" s="205">
        <f>ROUND(표9[[#This Row],[Apr 2026 (USD or KRW)]],0)</f>
        <v>0</v>
      </c>
      <c r="X452" s="212"/>
      <c r="Y452" s="206">
        <f>표9[[#This Row],[Apr 2027(KRW)]]-표9[[#This Row],[Mar 2026(KRW)]]</f>
        <v>-694270</v>
      </c>
      <c r="Z452" s="213">
        <f t="shared" si="6"/>
        <v>-1</v>
      </c>
      <c r="AA452" s="208">
        <f>VLOOKUP(표9[[#This Row],[Team]],표1[],3,0)</f>
        <v>1000</v>
      </c>
    </row>
    <row r="453" spans="1:27" s="8" customFormat="1" ht="15">
      <c r="A453" s="209" t="str">
        <f>VLOOKUP($H453,Azure!$A:$H,2,0)</f>
        <v>Azure</v>
      </c>
      <c r="B453" s="209" t="str">
        <f>VLOOKUP($H453,Azure!$A:$H,3,0)</f>
        <v>KRAFTON HQ</v>
      </c>
      <c r="C453" s="209" t="str">
        <f>VLOOKUP($H453,Azure!$A:$H,4,0)</f>
        <v>PUBG NewState</v>
      </c>
      <c r="D453" s="209" t="str">
        <f>VLOOKUP($H453,Azure!$A:$H,5,0)</f>
        <v>Service DevOps Team</v>
      </c>
      <c r="E453" s="209" t="str">
        <f>VLOOKUP($H453,Azure!$A:$H,6,0)</f>
        <v>PUBG:NEW STATE</v>
      </c>
      <c r="F453" s="202">
        <f>VLOOKUP(표9[[#This Row],[Team]],표1[[내역]:[코스트 센터]],2,0)</f>
        <v>100033</v>
      </c>
      <c r="G453" s="202" t="str">
        <f>VLOOKUP(표9[[#This Row],[Project]],표2[],2,0)</f>
        <v>P100030014</v>
      </c>
      <c r="H453" s="209" t="s">
        <v>410</v>
      </c>
      <c r="I453" s="209" t="str">
        <f>VLOOKUP($H453,Azure!$A:$H,7,0)</f>
        <v>엄기성</v>
      </c>
      <c r="J453" s="209" t="str">
        <f>VLOOKUP($H453,Azure!$A:$H,8,0)</f>
        <v>엄기성</v>
      </c>
      <c r="K453" s="186"/>
      <c r="L453" s="210">
        <v>0</v>
      </c>
      <c r="M453" s="211">
        <v>0</v>
      </c>
      <c r="N453" s="212"/>
      <c r="O453" s="212"/>
      <c r="P453" s="212"/>
      <c r="Q453" s="212"/>
      <c r="R453" s="212"/>
      <c r="S453" s="212">
        <v>0</v>
      </c>
      <c r="T453" s="212">
        <v>0</v>
      </c>
      <c r="U453" s="212">
        <v>0</v>
      </c>
      <c r="V453" s="205">
        <v>0</v>
      </c>
      <c r="W453" s="205">
        <f>ROUND(표9[[#This Row],[Apr 2026 (USD or KRW)]],0)</f>
        <v>0</v>
      </c>
      <c r="X453" s="224"/>
      <c r="Y453" s="206">
        <f>표9[[#This Row],[Apr 2027(KRW)]]-표9[[#This Row],[Mar 2026(KRW)]]</f>
        <v>0</v>
      </c>
      <c r="Z453" s="213" t="str">
        <f t="shared" si="6"/>
        <v/>
      </c>
      <c r="AA453" s="208">
        <f>VLOOKUP(표9[[#This Row],[Team]],표1[],3,0)</f>
        <v>1000</v>
      </c>
    </row>
    <row r="454" spans="1:27" s="8" customFormat="1" ht="15">
      <c r="A454" s="209" t="str">
        <f>VLOOKUP($H454,Azure!$A:$H,2,0)</f>
        <v>Azure</v>
      </c>
      <c r="B454" s="209" t="s">
        <v>321</v>
      </c>
      <c r="C454" s="209" t="s">
        <v>321</v>
      </c>
      <c r="D454" s="209" t="str">
        <f>VLOOKUP($H454,Azure!$A:$H,5,0)</f>
        <v>Service DevOps Team</v>
      </c>
      <c r="E454" s="209" t="str">
        <f>VLOOKUP($H454,Azure!$A:$H,6,0)</f>
        <v>PUBG:NEW STATE</v>
      </c>
      <c r="F454" s="202">
        <f>VLOOKUP(표9[[#This Row],[Team]],표1[[내역]:[코스트 센터]],2,0)</f>
        <v>100033</v>
      </c>
      <c r="G454" s="202" t="str">
        <f>VLOOKUP(표9[[#This Row],[Project]],표2[],2,0)</f>
        <v>P100030014</v>
      </c>
      <c r="H454" s="209" t="s">
        <v>410</v>
      </c>
      <c r="I454" s="209" t="str">
        <f>VLOOKUP($H454,Azure!$A:$H,7,0)</f>
        <v>엄기성</v>
      </c>
      <c r="J454" s="209" t="str">
        <f>VLOOKUP($H454,Azure!$A:$H,8,0)</f>
        <v>엄기성</v>
      </c>
      <c r="K454" s="186"/>
      <c r="L454" s="210">
        <v>0</v>
      </c>
      <c r="M454" s="211">
        <v>0</v>
      </c>
      <c r="N454" s="212"/>
      <c r="O454" s="212"/>
      <c r="P454" s="212"/>
      <c r="Q454" s="212"/>
      <c r="R454" s="212"/>
      <c r="S454" s="212">
        <v>0</v>
      </c>
      <c r="T454" s="212">
        <v>0</v>
      </c>
      <c r="U454" s="212">
        <v>0</v>
      </c>
      <c r="V454" s="205">
        <v>0</v>
      </c>
      <c r="W454" s="205">
        <f>ROUND(표9[[#This Row],[Apr 2026 (USD or KRW)]],0)</f>
        <v>0</v>
      </c>
      <c r="X454" s="212"/>
      <c r="Y454" s="206">
        <f>표9[[#This Row],[Apr 2027(KRW)]]-표9[[#This Row],[Mar 2026(KRW)]]</f>
        <v>0</v>
      </c>
      <c r="Z454" s="213" t="str">
        <f t="shared" si="6"/>
        <v/>
      </c>
      <c r="AA454" s="208">
        <f>VLOOKUP(표9[[#This Row],[Team]],표1[],3,0)</f>
        <v>1000</v>
      </c>
    </row>
    <row r="455" spans="1:27" s="8" customFormat="1" ht="15">
      <c r="A455" s="209" t="str">
        <f>VLOOKUP($H455,Datadog!$A:$H,2,0)</f>
        <v>Datadog</v>
      </c>
      <c r="B455" s="209" t="str">
        <f>VLOOKUP($H455,Datadog!$A:$H,3,0)</f>
        <v>KRAFTON HQ</v>
      </c>
      <c r="C455" s="209" t="str">
        <f>VLOOKUP($H455,Datadog!$A:$H,4,0)</f>
        <v>KRAFTON HQ</v>
      </c>
      <c r="D455" s="209" t="str">
        <f>VLOOKUP($H455,Datadog!$A:$H,5,0)</f>
        <v>Service DevOps Team</v>
      </c>
      <c r="E455" s="209" t="str">
        <f>VLOOKUP($H455,Datadog!$A:$H,6,0)</f>
        <v>OVERHEAD/OTHERS</v>
      </c>
      <c r="F455" s="202">
        <f>VLOOKUP(표9[[#This Row],[Team]],표1[[내역]:[코스트 센터]],2,0)</f>
        <v>100033</v>
      </c>
      <c r="G455" s="202" t="str">
        <f>VLOOKUP(표9[[#This Row],[Project]],표2[],2,0)</f>
        <v>I100099999</v>
      </c>
      <c r="H455" s="209" t="s">
        <v>411</v>
      </c>
      <c r="I455" s="209" t="str">
        <f>VLOOKUP($H455,Datadog!$A:$H,7,0)</f>
        <v>엄기성</v>
      </c>
      <c r="J455" s="209" t="str">
        <f>VLOOKUP($H455,Datadog!$A:$H,8,0)</f>
        <v>엄기성</v>
      </c>
      <c r="K455" s="186"/>
      <c r="L455" s="210">
        <v>45641</v>
      </c>
      <c r="M455" s="211">
        <v>10915</v>
      </c>
      <c r="N455" s="212">
        <v>11171</v>
      </c>
      <c r="O455" s="212">
        <v>11218</v>
      </c>
      <c r="P455" s="212">
        <v>11327</v>
      </c>
      <c r="Q455" s="212">
        <v>11497</v>
      </c>
      <c r="R455" s="212">
        <v>11833</v>
      </c>
      <c r="S455" s="212">
        <v>11591</v>
      </c>
      <c r="T455" s="212">
        <v>11527</v>
      </c>
      <c r="U455" s="212">
        <v>11507</v>
      </c>
      <c r="V455" s="205">
        <v>12226</v>
      </c>
      <c r="W455" s="205">
        <f>ROUND(표9[[#This Row],[Apr 2026 (USD or KRW)]],0)</f>
        <v>0</v>
      </c>
      <c r="X455" s="212"/>
      <c r="Y455" s="206">
        <f>표9[[#This Row],[Apr 2027(KRW)]]-표9[[#This Row],[Mar 2026(KRW)]]</f>
        <v>-12226</v>
      </c>
      <c r="Z455" s="213">
        <f t="shared" si="6"/>
        <v>-1</v>
      </c>
      <c r="AA455" s="208">
        <f>VLOOKUP(표9[[#This Row],[Team]],표1[],3,0)</f>
        <v>1000</v>
      </c>
    </row>
    <row r="456" spans="1:27" s="8" customFormat="1" ht="15">
      <c r="A456" s="209" t="str">
        <f>VLOOKUP($H456,Datadog!$A:$H,2,0)</f>
        <v>Datadog</v>
      </c>
      <c r="B456" s="209" t="str">
        <f>VLOOKUP($H456,Datadog!$A:$H,3,0)</f>
        <v>BLUEHOLE</v>
      </c>
      <c r="C456" s="209" t="str">
        <f>VLOOKUP($H456,Datadog!$A:$H,4,0)</f>
        <v>BLUEHOLE</v>
      </c>
      <c r="D456" s="209" t="str">
        <f>VLOOKUP($H456,Datadog!$A:$H,5,0)</f>
        <v>T_Console Service Part</v>
      </c>
      <c r="E456" s="209" t="str">
        <f>VLOOKUP($H456,Datadog!$A:$H,6,0)</f>
        <v>TERA_Console</v>
      </c>
      <c r="F456" s="202">
        <f>VLOOKUP(표9[[#This Row],[Team]],표1[[내역]:[코스트 센터]],2,0)</f>
        <v>110119</v>
      </c>
      <c r="G456" s="202" t="str">
        <f>VLOOKUP(표9[[#This Row],[Project]],표2[],2,0)</f>
        <v>P100020001</v>
      </c>
      <c r="H456" s="227" t="s">
        <v>412</v>
      </c>
      <c r="I456" s="209" t="str">
        <f>VLOOKUP($H456,Datadog!$A:$H,7,0)</f>
        <v>엄기성</v>
      </c>
      <c r="J456" s="209" t="str">
        <f>VLOOKUP($H456,Datadog!$A:$H,8,0)</f>
        <v>엄기성</v>
      </c>
      <c r="K456" s="186"/>
      <c r="L456" s="210">
        <v>409026</v>
      </c>
      <c r="M456" s="211">
        <v>420399</v>
      </c>
      <c r="N456" s="212">
        <v>419953</v>
      </c>
      <c r="O456" s="212">
        <v>413481</v>
      </c>
      <c r="P456" s="212">
        <v>454461</v>
      </c>
      <c r="Q456" s="212">
        <v>428658</v>
      </c>
      <c r="R456" s="212">
        <v>473312</v>
      </c>
      <c r="S456" s="212">
        <v>452056</v>
      </c>
      <c r="T456" s="212">
        <v>449561</v>
      </c>
      <c r="U456" s="212">
        <v>460288</v>
      </c>
      <c r="V456" s="205">
        <v>452347</v>
      </c>
      <c r="W456" s="205">
        <f>ROUND(표9[[#This Row],[Apr 2026 (USD or KRW)]],0)</f>
        <v>0</v>
      </c>
      <c r="X456" s="212"/>
      <c r="Y456" s="206">
        <f>표9[[#This Row],[Apr 2027(KRW)]]-표9[[#This Row],[Mar 2026(KRW)]]</f>
        <v>-452347</v>
      </c>
      <c r="Z456" s="213">
        <f t="shared" si="6"/>
        <v>-1</v>
      </c>
      <c r="AA456" s="208">
        <f>VLOOKUP(표9[[#This Row],[Team]],표1[],3,0)</f>
        <v>1100</v>
      </c>
    </row>
    <row r="457" spans="1:27" s="8" customFormat="1" ht="15">
      <c r="A457" s="209" t="str">
        <f>VLOOKUP($H457,Datadog!$A:$H,2,0)</f>
        <v>Datadog</v>
      </c>
      <c r="B457" s="209" t="str">
        <f>VLOOKUP($H457,Datadog!$A:$H,3,0)</f>
        <v>KRAFTON HQ</v>
      </c>
      <c r="C457" s="209" t="str">
        <f>VLOOKUP($H457,Datadog!$A:$H,4,0)</f>
        <v>KRAFTON HQ</v>
      </c>
      <c r="D457" s="209" t="str">
        <f>VLOOKUP($H457,Datadog!$A:$H,5,0)</f>
        <v>Publishing Tech PM Part</v>
      </c>
      <c r="E457" s="209" t="str">
        <f>VLOOKUP($H457,Datadog!$A:$H,6,0)</f>
        <v>Dark and Darker_Mobile</v>
      </c>
      <c r="F457" s="202">
        <f>VLOOKUP(표9[[#This Row],[Team]],표1[[내역]:[코스트 센터]],2,0)</f>
        <v>101269</v>
      </c>
      <c r="G457" s="202" t="str">
        <f>VLOOKUP(표9[[#This Row],[Project]],표2[],2,0)</f>
        <v>P100030073</v>
      </c>
      <c r="H457" s="209" t="s">
        <v>413</v>
      </c>
      <c r="I457" s="209" t="str">
        <f>VLOOKUP($H457,Datadog!$A:$H,7,0)</f>
        <v>김정언</v>
      </c>
      <c r="J457" s="209" t="str">
        <f>VLOOKUP($H457,Datadog!$A:$H,8,0)</f>
        <v>김정언</v>
      </c>
      <c r="K457" s="186" t="s">
        <v>29</v>
      </c>
      <c r="L457" s="210">
        <v>3184361</v>
      </c>
      <c r="M457" s="211">
        <v>5892601</v>
      </c>
      <c r="N457" s="212">
        <v>4558269</v>
      </c>
      <c r="O457" s="212">
        <v>4227030</v>
      </c>
      <c r="P457" s="212">
        <v>3653319</v>
      </c>
      <c r="Q457" s="212">
        <v>4398431</v>
      </c>
      <c r="R457" s="212">
        <v>3009806</v>
      </c>
      <c r="S457" s="212">
        <v>2728134</v>
      </c>
      <c r="T457" s="212">
        <v>2507872</v>
      </c>
      <c r="U457" s="212">
        <v>136806</v>
      </c>
      <c r="V457" s="205">
        <v>152575</v>
      </c>
      <c r="W457" s="205">
        <f>ROUND(표9[[#This Row],[Apr 2026 (USD or KRW)]],0)</f>
        <v>0</v>
      </c>
      <c r="X457" s="212"/>
      <c r="Y457" s="206">
        <f>표9[[#This Row],[Apr 2027(KRW)]]-표9[[#This Row],[Mar 2026(KRW)]]</f>
        <v>-152575</v>
      </c>
      <c r="Z457" s="213">
        <f t="shared" si="6"/>
        <v>-1</v>
      </c>
      <c r="AA457" s="208">
        <f>VLOOKUP(표9[[#This Row],[Team]],표1[],3,0)</f>
        <v>1000</v>
      </c>
    </row>
    <row r="458" spans="1:27" s="8" customFormat="1" ht="15">
      <c r="A458" s="209" t="str">
        <f>VLOOKUP($H458,Datadog!$A:$H,2,0)</f>
        <v>Datadog</v>
      </c>
      <c r="B458" s="209" t="str">
        <f>VLOOKUP($H458,Datadog!$A:$H,3,0)</f>
        <v>KRAFTON HQ</v>
      </c>
      <c r="C458" s="209" t="str">
        <f>VLOOKUP($H458,Datadog!$A:$H,4,0)</f>
        <v>KRAFTON HQ</v>
      </c>
      <c r="D458" s="209" t="str">
        <f>VLOOKUP($H458,Datadog!$A:$H,5,0)</f>
        <v>Publishing Tech PM Part</v>
      </c>
      <c r="E458" s="209" t="str">
        <f>VLOOKUP($H458,Datadog!$A:$H,6,0)</f>
        <v>DEFENSE DERBY</v>
      </c>
      <c r="F458" s="202">
        <f>VLOOKUP(표9[[#This Row],[Team]],표1[[내역]:[코스트 센터]],2,0)</f>
        <v>101269</v>
      </c>
      <c r="G458" s="202" t="str">
        <f>VLOOKUP(표9[[#This Row],[Project]],표2[],2,0)</f>
        <v>P100030042</v>
      </c>
      <c r="H458" s="209" t="s">
        <v>414</v>
      </c>
      <c r="I458" s="209" t="str">
        <f>VLOOKUP($H458,Datadog!$A:$H,7,0)</f>
        <v>김정언</v>
      </c>
      <c r="J458" s="209" t="s">
        <v>415</v>
      </c>
      <c r="K458" s="186" t="s">
        <v>29</v>
      </c>
      <c r="L458" s="210">
        <v>910479</v>
      </c>
      <c r="M458" s="211">
        <v>937108</v>
      </c>
      <c r="N458" s="212">
        <v>223368</v>
      </c>
      <c r="O458" s="212">
        <v>221309</v>
      </c>
      <c r="P458" s="212">
        <v>242770</v>
      </c>
      <c r="Q458" s="212">
        <v>41446</v>
      </c>
      <c r="R458" s="212"/>
      <c r="S458" s="212">
        <v>0</v>
      </c>
      <c r="T458" s="212">
        <v>0</v>
      </c>
      <c r="U458" s="212">
        <v>0</v>
      </c>
      <c r="V458" s="205">
        <v>0</v>
      </c>
      <c r="W458" s="205">
        <f>ROUND(표9[[#This Row],[Apr 2026 (USD or KRW)]],0)</f>
        <v>0</v>
      </c>
      <c r="X458" s="212"/>
      <c r="Y458" s="206">
        <f>표9[[#This Row],[Apr 2027(KRW)]]-표9[[#This Row],[Mar 2026(KRW)]]</f>
        <v>0</v>
      </c>
      <c r="Z458" s="213" t="str">
        <f t="shared" si="6"/>
        <v/>
      </c>
      <c r="AA458" s="208">
        <f>VLOOKUP(표9[[#This Row],[Team]],표1[],3,0)</f>
        <v>1000</v>
      </c>
    </row>
    <row r="459" spans="1:27" s="8" customFormat="1" ht="15">
      <c r="A459" s="209" t="str">
        <f>VLOOKUP($H459,Datadog!$A:$H,2,0)</f>
        <v>Datadog</v>
      </c>
      <c r="B459" s="209" t="str">
        <f>VLOOKUP($H459,Datadog!$A:$H,3,0)</f>
        <v>KRAFTON HQ</v>
      </c>
      <c r="C459" s="209" t="str">
        <f>VLOOKUP($H459,Datadog!$A:$H,4,0)</f>
        <v>KRAFTON HQ</v>
      </c>
      <c r="D459" s="209" t="str">
        <f>VLOOKUP($H459,Datadog!$A:$H,5,0)</f>
        <v>System Team</v>
      </c>
      <c r="E459" s="209" t="str">
        <f>VLOOKUP($H459,Datadog!$A:$H,6,0)</f>
        <v>OVERHEAD/OTHERS</v>
      </c>
      <c r="F459" s="202">
        <f>VLOOKUP(표9[[#This Row],[Team]],표1[[내역]:[코스트 센터]],2,0)</f>
        <v>100037</v>
      </c>
      <c r="G459" s="202" t="str">
        <f>VLOOKUP(표9[[#This Row],[Project]],표2[],2,0)</f>
        <v>I100099999</v>
      </c>
      <c r="H459" s="209" t="s">
        <v>416</v>
      </c>
      <c r="I459" s="209" t="str">
        <f>VLOOKUP($H459,Datadog!$A:$H,7,0)</f>
        <v>김재윤</v>
      </c>
      <c r="J459" s="209" t="str">
        <f>VLOOKUP($H459,Datadog!$A:$H,8,0)</f>
        <v>김재윤</v>
      </c>
      <c r="K459" s="186" t="s">
        <v>29</v>
      </c>
      <c r="L459" s="210"/>
      <c r="M459" s="211"/>
      <c r="N459" s="212"/>
      <c r="O459" s="212"/>
      <c r="P459" s="212"/>
      <c r="Q459" s="212">
        <v>46562</v>
      </c>
      <c r="R459" s="212">
        <v>485012</v>
      </c>
      <c r="S459" s="212">
        <v>594035</v>
      </c>
      <c r="T459" s="212">
        <v>536000</v>
      </c>
      <c r="U459" s="212">
        <v>69043</v>
      </c>
      <c r="V459" s="205">
        <v>99211</v>
      </c>
      <c r="W459" s="205">
        <f>ROUND(표9[[#This Row],[Apr 2026 (USD or KRW)]],0)</f>
        <v>0</v>
      </c>
      <c r="X459" s="212"/>
      <c r="Y459" s="206">
        <f>표9[[#This Row],[Apr 2027(KRW)]]-표9[[#This Row],[Mar 2026(KRW)]]</f>
        <v>-99211</v>
      </c>
      <c r="Z459" s="213">
        <f t="shared" si="6"/>
        <v>-1</v>
      </c>
      <c r="AA459" s="208">
        <f>VLOOKUP(표9[[#This Row],[Team]],표1[],3,0)</f>
        <v>1000</v>
      </c>
    </row>
    <row r="460" spans="1:27" s="8" customFormat="1" ht="15">
      <c r="A460" s="209" t="str">
        <f>VLOOKUP($H460,Datadog!$A:$H,2,0)</f>
        <v>Datadog</v>
      </c>
      <c r="B460" s="209" t="str">
        <f>VLOOKUP($H460,Datadog!$A:$H,3,0)</f>
        <v>KRAFTON HQ</v>
      </c>
      <c r="C460" s="209" t="str">
        <f>VLOOKUP($H460,Datadog!$A:$H,4,0)</f>
        <v>SDS</v>
      </c>
      <c r="D460" s="209" t="str">
        <f>VLOOKUP($H460,Datadog!$A:$H,5,0)</f>
        <v>Striking Distance Studios</v>
      </c>
      <c r="E460" s="209" t="str">
        <f>VLOOKUP($H460,Datadog!$A:$H,6,0)</f>
        <v>The Callisto Protocol</v>
      </c>
      <c r="F460" s="202">
        <f>VLOOKUP(표9[[#This Row],[Team]],표1[[내역]:[코스트 센터]],2,0)</f>
        <v>100561</v>
      </c>
      <c r="G460" s="202" t="str">
        <f>VLOOKUP(표9[[#This Row],[Project]],표2[],2,0)</f>
        <v>P100010013</v>
      </c>
      <c r="H460" s="209" t="s">
        <v>417</v>
      </c>
      <c r="I460" s="209" t="str">
        <f>VLOOKUP($H460,Datadog!$A:$H,7,0)</f>
        <v>Jordan Yerkes</v>
      </c>
      <c r="J460" s="209" t="str">
        <f>VLOOKUP($H460,Datadog!$A:$H,8,0)</f>
        <v>Jordan Yerkes</v>
      </c>
      <c r="K460" s="186"/>
      <c r="L460" s="210">
        <v>2442121</v>
      </c>
      <c r="M460" s="211">
        <v>1968251</v>
      </c>
      <c r="N460" s="212">
        <v>2149297</v>
      </c>
      <c r="O460" s="212">
        <v>1368155</v>
      </c>
      <c r="P460" s="212">
        <v>868060</v>
      </c>
      <c r="Q460" s="212">
        <v>990737</v>
      </c>
      <c r="R460" s="212">
        <v>1423811</v>
      </c>
      <c r="S460" s="212">
        <v>1298214</v>
      </c>
      <c r="T460" s="212">
        <v>1437874</v>
      </c>
      <c r="U460" s="212">
        <v>2467877</v>
      </c>
      <c r="V460" s="205">
        <v>1979875</v>
      </c>
      <c r="W460" s="205">
        <f>ROUND(표9[[#This Row],[Apr 2026 (USD or KRW)]],0)</f>
        <v>0</v>
      </c>
      <c r="X460" s="212"/>
      <c r="Y460" s="206">
        <f>표9[[#This Row],[Apr 2027(KRW)]]-표9[[#This Row],[Mar 2026(KRW)]]</f>
        <v>-1979875</v>
      </c>
      <c r="Z460" s="213">
        <f t="shared" si="6"/>
        <v>-1</v>
      </c>
      <c r="AA460" s="208">
        <f>VLOOKUP(표9[[#This Row],[Team]],표1[],3,0)</f>
        <v>1000</v>
      </c>
    </row>
    <row r="461" spans="1:27" s="8" customFormat="1" ht="15">
      <c r="A461" s="209" t="str">
        <f>VLOOKUP($H461,Datadog!$A:$H,2,0)</f>
        <v>Datadog</v>
      </c>
      <c r="B461" s="209" t="str">
        <f>VLOOKUP($H461,Datadog!$A:$H,3,0)</f>
        <v>KRAFTON HQ</v>
      </c>
      <c r="C461" s="209" t="str">
        <f>VLOOKUP($H461,Datadog!$A:$H,4,0)</f>
        <v>SDS</v>
      </c>
      <c r="D461" s="209" t="str">
        <f>VLOOKUP($H461,Datadog!$A:$H,5,0)</f>
        <v>Striking Distance Studios</v>
      </c>
      <c r="E461" s="209" t="str">
        <f>VLOOKUP($H461,Datadog!$A:$H,6,0)</f>
        <v>The Callisto Protocol</v>
      </c>
      <c r="F461" s="202">
        <f>VLOOKUP(표9[[#This Row],[Team]],표1[[내역]:[코스트 센터]],2,0)</f>
        <v>100561</v>
      </c>
      <c r="G461" s="202" t="str">
        <f>VLOOKUP(표9[[#This Row],[Project]],표2[],2,0)</f>
        <v>P100010013</v>
      </c>
      <c r="H461" s="209" t="s">
        <v>418</v>
      </c>
      <c r="I461" s="209" t="str">
        <f>VLOOKUP($H461,Datadog!$A:$H,7,0)</f>
        <v>Jordan Yerkes</v>
      </c>
      <c r="J461" s="209" t="str">
        <f>VLOOKUP($H461,Datadog!$A:$H,8,0)</f>
        <v>Jordan Yerkes</v>
      </c>
      <c r="K461" s="186"/>
      <c r="L461" s="210">
        <v>658867</v>
      </c>
      <c r="M461" s="211">
        <v>585785</v>
      </c>
      <c r="N461" s="212">
        <v>504366</v>
      </c>
      <c r="O461" s="212">
        <v>562296</v>
      </c>
      <c r="P461" s="212">
        <v>606203</v>
      </c>
      <c r="Q461" s="212">
        <v>616200</v>
      </c>
      <c r="R461" s="212">
        <v>219084</v>
      </c>
      <c r="S461" s="212">
        <v>215669</v>
      </c>
      <c r="T461" s="212">
        <v>214478</v>
      </c>
      <c r="U461" s="212">
        <v>211229</v>
      </c>
      <c r="V461" s="205">
        <v>227473</v>
      </c>
      <c r="W461" s="205">
        <f>ROUND(표9[[#This Row],[Apr 2026 (USD or KRW)]],0)</f>
        <v>0</v>
      </c>
      <c r="X461" s="212"/>
      <c r="Y461" s="206">
        <f>표9[[#This Row],[Apr 2027(KRW)]]-표9[[#This Row],[Mar 2026(KRW)]]</f>
        <v>-227473</v>
      </c>
      <c r="Z461" s="213">
        <f t="shared" si="6"/>
        <v>-1</v>
      </c>
      <c r="AA461" s="208">
        <f>VLOOKUP(표9[[#This Row],[Team]],표1[],3,0)</f>
        <v>1000</v>
      </c>
    </row>
    <row r="462" spans="1:27" s="8" customFormat="1" ht="15">
      <c r="A462" s="209" t="str">
        <f>VLOOKUP($H462,Datadog!$A:$H,2,0)</f>
        <v>Datadog</v>
      </c>
      <c r="B462" s="209" t="str">
        <f>VLOOKUP($H462,Datadog!$A:$H,3,0)</f>
        <v>KRAFTON HQ</v>
      </c>
      <c r="C462" s="209" t="str">
        <f>VLOOKUP($H462,Datadog!$A:$H,4,0)</f>
        <v>KRAFTON HQ</v>
      </c>
      <c r="D462" s="209" t="str">
        <f>VLOOKUP($H462,Datadog!$A:$H,5,0)</f>
        <v>Publishing Tech PM Part</v>
      </c>
      <c r="E462" s="209" t="str">
        <f>VLOOKUP($H462,Datadog!$A:$H,6,0)</f>
        <v>OVERHEAD/OTHERS</v>
      </c>
      <c r="F462" s="202">
        <f>VLOOKUP(표9[[#This Row],[Team]],표1[[내역]:[코스트 센터]],2,0)</f>
        <v>101269</v>
      </c>
      <c r="G462" s="202" t="str">
        <f>VLOOKUP(표9[[#This Row],[Project]],표2[],2,0)</f>
        <v>I100099999</v>
      </c>
      <c r="H462" s="209" t="s">
        <v>419</v>
      </c>
      <c r="I462" s="209" t="str">
        <f>VLOOKUP($H462,Datadog!$A:$H,7,0)</f>
        <v>김정언</v>
      </c>
      <c r="J462" s="209" t="str">
        <f>VLOOKUP($H462,Datadog!$A:$H,8,0)</f>
        <v>김정언</v>
      </c>
      <c r="K462" s="186" t="s">
        <v>29</v>
      </c>
      <c r="L462" s="210">
        <v>624036</v>
      </c>
      <c r="M462" s="211">
        <v>756337</v>
      </c>
      <c r="N462" s="212">
        <v>503779</v>
      </c>
      <c r="O462" s="212">
        <v>1055450</v>
      </c>
      <c r="P462" s="212">
        <v>606572</v>
      </c>
      <c r="Q462" s="212">
        <v>380602</v>
      </c>
      <c r="R462" s="212">
        <v>406679</v>
      </c>
      <c r="S462" s="212">
        <v>422688</v>
      </c>
      <c r="T462" s="212">
        <v>349678</v>
      </c>
      <c r="U462" s="212">
        <v>391245</v>
      </c>
      <c r="V462" s="205">
        <v>726002</v>
      </c>
      <c r="W462" s="205">
        <f>ROUND(표9[[#This Row],[Apr 2026 (USD or KRW)]],0)</f>
        <v>0</v>
      </c>
      <c r="X462" s="212"/>
      <c r="Y462" s="206">
        <f>표9[[#This Row],[Apr 2027(KRW)]]-표9[[#This Row],[Mar 2026(KRW)]]</f>
        <v>-726002</v>
      </c>
      <c r="Z462" s="213">
        <f t="shared" si="6"/>
        <v>-1</v>
      </c>
      <c r="AA462" s="208">
        <f>VLOOKUP(표9[[#This Row],[Team]],표1[],3,0)</f>
        <v>1000</v>
      </c>
    </row>
    <row r="463" spans="1:27" s="8" customFormat="1" ht="15">
      <c r="A463" s="209" t="str">
        <f>VLOOKUP($H463,Datadog!$A:$H,2,0)</f>
        <v>Datadog</v>
      </c>
      <c r="B463" s="209" t="str">
        <f>VLOOKUP($H463,Datadog!$A:$H,3,0)</f>
        <v>KRAFTON HQ</v>
      </c>
      <c r="C463" s="209" t="str">
        <f>VLOOKUP($H463,Datadog!$A:$H,4,0)</f>
        <v>KRAFTON HQ</v>
      </c>
      <c r="D463" s="209" t="str">
        <f>VLOOKUP($H463,Datadog!$A:$H,5,0)</f>
        <v>Data Engineering Dept.</v>
      </c>
      <c r="E463" s="209" t="str">
        <f>VLOOKUP($H463,Datadog!$A:$H,6,0)</f>
        <v>OVERHEAD/OTHERS</v>
      </c>
      <c r="F463" s="202">
        <f>VLOOKUP(표9[[#This Row],[Team]],표1[[내역]:[코스트 센터]],2,0)</f>
        <v>100212</v>
      </c>
      <c r="G463" s="202" t="str">
        <f>VLOOKUP(표9[[#This Row],[Project]],표2[],2,0)</f>
        <v>I100099999</v>
      </c>
      <c r="H463" s="209" t="s">
        <v>420</v>
      </c>
      <c r="I463" s="209" t="str">
        <f>VLOOKUP($H463,Datadog!$A:$H,7,0)</f>
        <v>연화음</v>
      </c>
      <c r="J463" s="209" t="str">
        <f>VLOOKUP($H463,Datadog!$A:$H,8,0)</f>
        <v>김시훈</v>
      </c>
      <c r="K463" s="186" t="s">
        <v>29</v>
      </c>
      <c r="L463" s="210">
        <v>16435660</v>
      </c>
      <c r="M463" s="211">
        <v>12622100</v>
      </c>
      <c r="N463" s="212">
        <v>5799012</v>
      </c>
      <c r="O463" s="212">
        <v>5774792</v>
      </c>
      <c r="P463" s="212">
        <v>5023995</v>
      </c>
      <c r="Q463" s="212">
        <v>6369213</v>
      </c>
      <c r="R463" s="212">
        <v>6558196</v>
      </c>
      <c r="S463" s="212">
        <v>7158754</v>
      </c>
      <c r="T463" s="212">
        <v>7338662</v>
      </c>
      <c r="U463" s="212">
        <v>8178742</v>
      </c>
      <c r="V463" s="205">
        <v>6689879</v>
      </c>
      <c r="W463" s="205">
        <f>ROUND(표9[[#This Row],[Apr 2026 (USD or KRW)]],0)</f>
        <v>0</v>
      </c>
      <c r="X463" s="212"/>
      <c r="Y463" s="206">
        <f>표9[[#This Row],[Apr 2027(KRW)]]-표9[[#This Row],[Mar 2026(KRW)]]</f>
        <v>-6689879</v>
      </c>
      <c r="Z463" s="213">
        <f t="shared" si="6"/>
        <v>-1</v>
      </c>
      <c r="AA463" s="208">
        <f>VLOOKUP(표9[[#This Row],[Team]],표1[],3,0)</f>
        <v>1000</v>
      </c>
    </row>
    <row r="464" spans="1:27" s="8" customFormat="1" ht="15">
      <c r="A464" s="209" t="str">
        <f>VLOOKUP($H464,Datadog!$A:$H,2,0)</f>
        <v>Datadog</v>
      </c>
      <c r="B464" s="209" t="str">
        <f>VLOOKUP($H464,Datadog!$A:$H,3,0)</f>
        <v>KRAFTON HQ</v>
      </c>
      <c r="C464" s="209" t="str">
        <f>VLOOKUP($H464,Datadog!$A:$H,4,0)</f>
        <v>KRAFTON HQ</v>
      </c>
      <c r="D464" s="209" t="str">
        <f>VLOOKUP($H464,Datadog!$A:$H,5,0)</f>
        <v>Publishing Tech PM Part</v>
      </c>
      <c r="E464" s="209" t="str">
        <f>VLOOKUP($H464,Datadog!$A:$H,6,0)</f>
        <v>Cookie Run India</v>
      </c>
      <c r="F464" s="202">
        <f>VLOOKUP(표9[[#This Row],[Team]],표1[[내역]:[코스트 센터]],2,0)</f>
        <v>101269</v>
      </c>
      <c r="G464" s="202" t="str">
        <f>VLOOKUP(표9[[#This Row],[Project]],표2[],2,0)</f>
        <v>P100030099</v>
      </c>
      <c r="H464" s="209" t="s">
        <v>421</v>
      </c>
      <c r="I464" s="209" t="str">
        <f>VLOOKUP($H464,Datadog!$A:$H,7,0)</f>
        <v>김정언</v>
      </c>
      <c r="J464" s="209" t="str">
        <f>VLOOKUP($H464,Datadog!$A:$H,8,0)</f>
        <v>김정언</v>
      </c>
      <c r="K464" s="186" t="s">
        <v>29</v>
      </c>
      <c r="L464" s="210">
        <v>1392626</v>
      </c>
      <c r="M464" s="211">
        <v>1433357</v>
      </c>
      <c r="N464" s="212">
        <v>1397615</v>
      </c>
      <c r="O464" s="212">
        <v>1513198</v>
      </c>
      <c r="P464" s="212">
        <v>1321573</v>
      </c>
      <c r="Q464" s="212">
        <v>1187979</v>
      </c>
      <c r="R464" s="212">
        <v>1885335</v>
      </c>
      <c r="S464" s="212">
        <v>2013913</v>
      </c>
      <c r="T464" s="212">
        <v>1899827</v>
      </c>
      <c r="U464" s="212">
        <v>1205408</v>
      </c>
      <c r="V464" s="205">
        <v>1142620</v>
      </c>
      <c r="W464" s="205">
        <f>ROUND(표9[[#This Row],[Apr 2026 (USD or KRW)]],0)</f>
        <v>0</v>
      </c>
      <c r="X464" s="212"/>
      <c r="Y464" s="206">
        <f>표9[[#This Row],[Apr 2027(KRW)]]-표9[[#This Row],[Mar 2026(KRW)]]</f>
        <v>-1142620</v>
      </c>
      <c r="Z464" s="213">
        <f t="shared" si="6"/>
        <v>-1</v>
      </c>
      <c r="AA464" s="208">
        <f>VLOOKUP(표9[[#This Row],[Team]],표1[],3,0)</f>
        <v>1000</v>
      </c>
    </row>
    <row r="465" spans="1:27" s="8" customFormat="1" ht="15">
      <c r="A465" s="209" t="str">
        <f>VLOOKUP($H465,Datadog!$A:$H,2,0)</f>
        <v>Datadog</v>
      </c>
      <c r="B465" s="209" t="str">
        <f>VLOOKUP($H465,Datadog!$A:$H,3,0)</f>
        <v>KRAFTON HQ</v>
      </c>
      <c r="C465" s="209" t="str">
        <f>VLOOKUP($H465,Datadog!$A:$H,4,0)</f>
        <v>KRAFTON HQ</v>
      </c>
      <c r="D465" s="209" t="str">
        <f>VLOOKUP($H465,Datadog!$A:$H,5,0)</f>
        <v>IT Dept.</v>
      </c>
      <c r="E465" s="209" t="str">
        <f>VLOOKUP($H465,Datadog!$A:$H,6,0)</f>
        <v>OVERHEAD/OTHERS</v>
      </c>
      <c r="F465" s="202">
        <f>VLOOKUP(표9[[#This Row],[Team]],표1[[내역]:[코스트 센터]],2,0)</f>
        <v>100036</v>
      </c>
      <c r="G465" s="202" t="str">
        <f>VLOOKUP(표9[[#This Row],[Project]],표2[],2,0)</f>
        <v>I100099999</v>
      </c>
      <c r="H465" s="209" t="s">
        <v>422</v>
      </c>
      <c r="I465" s="209" t="str">
        <f>VLOOKUP($H465,Datadog!$A:$H,7,0)</f>
        <v>홍성철</v>
      </c>
      <c r="J465" s="209" t="str">
        <f>VLOOKUP($H465,Datadog!$A:$H,8,0)</f>
        <v>홍성철</v>
      </c>
      <c r="K465" s="186" t="s">
        <v>29</v>
      </c>
      <c r="L465" s="210">
        <v>1633358</v>
      </c>
      <c r="M465" s="211">
        <v>2079209</v>
      </c>
      <c r="N465" s="212">
        <v>3191360</v>
      </c>
      <c r="O465" s="212">
        <v>2789621</v>
      </c>
      <c r="P465" s="212">
        <v>3043562</v>
      </c>
      <c r="Q465" s="212">
        <v>3299639</v>
      </c>
      <c r="R465" s="212">
        <v>2948201</v>
      </c>
      <c r="S465" s="212">
        <v>2661847</v>
      </c>
      <c r="T465" s="212">
        <v>3198078</v>
      </c>
      <c r="U465" s="212">
        <v>2791158</v>
      </c>
      <c r="V465" s="205">
        <v>2924975</v>
      </c>
      <c r="W465" s="205">
        <f>ROUND(표9[[#This Row],[Apr 2026 (USD or KRW)]],0)</f>
        <v>0</v>
      </c>
      <c r="X465" s="212"/>
      <c r="Y465" s="206">
        <f>표9[[#This Row],[Apr 2027(KRW)]]-표9[[#This Row],[Mar 2026(KRW)]]</f>
        <v>-2924975</v>
      </c>
      <c r="Z465" s="213">
        <f t="shared" si="6"/>
        <v>-1</v>
      </c>
      <c r="AA465" s="208">
        <f>VLOOKUP(표9[[#This Row],[Team]],표1[],3,0)</f>
        <v>1000</v>
      </c>
    </row>
    <row r="466" spans="1:27" s="8" customFormat="1" ht="15">
      <c r="A466" s="209" t="str">
        <f>VLOOKUP($H466,Datadog!$A:$H,2,0)</f>
        <v>Datadog</v>
      </c>
      <c r="B466" s="209" t="str">
        <f>VLOOKUP($H466,Datadog!$A:$H,3,0)</f>
        <v>KRAFTON HQ</v>
      </c>
      <c r="C466" s="209" t="str">
        <f>VLOOKUP($H466,Datadog!$A:$H,4,0)</f>
        <v>KRAFTON HQ</v>
      </c>
      <c r="D466" s="209" t="str">
        <f>VLOOKUP($H466,Datadog!$A:$H,5,0)</f>
        <v>KOS Engineering Dept.</v>
      </c>
      <c r="E466" s="209" t="str">
        <f>VLOOKUP($H466,Datadog!$A:$H,6,0)</f>
        <v>GPP</v>
      </c>
      <c r="F466" s="202">
        <f>VLOOKUP(표9[[#This Row],[Team]],표1[[내역]:[코스트 센터]],2,0)</f>
        <v>100025</v>
      </c>
      <c r="G466" s="202" t="str">
        <f>VLOOKUP(표9[[#This Row],[Project]],표2[],2,0)</f>
        <v>I100090813</v>
      </c>
      <c r="H466" s="209" t="s">
        <v>423</v>
      </c>
      <c r="I466" s="209" t="str">
        <f>VLOOKUP($H466,Datadog!$A:$H,7,0)</f>
        <v>신근우</v>
      </c>
      <c r="J466" s="209" t="str">
        <f>VLOOKUP($H466,Datadog!$A:$H,8,0)</f>
        <v>신근우</v>
      </c>
      <c r="K466" s="186"/>
      <c r="L466" s="210">
        <v>1050583</v>
      </c>
      <c r="M466" s="211">
        <v>1023318</v>
      </c>
      <c r="N466" s="212">
        <v>1185222</v>
      </c>
      <c r="O466" s="212">
        <v>1085177</v>
      </c>
      <c r="P466" s="212">
        <v>1847424</v>
      </c>
      <c r="Q466" s="212">
        <v>3575964</v>
      </c>
      <c r="R466" s="212">
        <v>1222609</v>
      </c>
      <c r="S466" s="212">
        <v>1188837</v>
      </c>
      <c r="T466" s="212">
        <v>2112071</v>
      </c>
      <c r="U466" s="212">
        <v>2132083</v>
      </c>
      <c r="V466" s="205">
        <v>2531830</v>
      </c>
      <c r="W466" s="205">
        <f>ROUND(표9[[#This Row],[Apr 2026 (USD or KRW)]],0)</f>
        <v>0</v>
      </c>
      <c r="X466" s="212"/>
      <c r="Y466" s="206">
        <f>표9[[#This Row],[Apr 2027(KRW)]]-표9[[#This Row],[Mar 2026(KRW)]]</f>
        <v>-2531830</v>
      </c>
      <c r="Z466" s="213">
        <f t="shared" si="6"/>
        <v>-1</v>
      </c>
      <c r="AA466" s="208">
        <f>VLOOKUP(표9[[#This Row],[Team]],표1[],3,0)</f>
        <v>1000</v>
      </c>
    </row>
    <row r="467" spans="1:27" s="8" customFormat="1" ht="15">
      <c r="A467" s="209" t="str">
        <f>VLOOKUP($H467,Datadog!$A:$H,2,0)</f>
        <v>Datadog</v>
      </c>
      <c r="B467" s="209" t="str">
        <f>VLOOKUP($H467,Datadog!$A:$H,3,0)</f>
        <v>KRAFTON HQ</v>
      </c>
      <c r="C467" s="209" t="str">
        <f>VLOOKUP($H467,Datadog!$A:$H,4,0)</f>
        <v>KRAFTON HQ</v>
      </c>
      <c r="D467" s="209" t="str">
        <f>VLOOKUP($H467,Datadog!$A:$H,5,0)</f>
        <v>KOS Engineering Dept.</v>
      </c>
      <c r="E467" s="209" t="str">
        <f>VLOOKUP($H467,Datadog!$A:$H,6,0)</f>
        <v>GPP</v>
      </c>
      <c r="F467" s="202">
        <f>VLOOKUP(표9[[#This Row],[Team]],표1[[내역]:[코스트 센터]],2,0)</f>
        <v>100025</v>
      </c>
      <c r="G467" s="202" t="str">
        <f>VLOOKUP(표9[[#This Row],[Project]],표2[],2,0)</f>
        <v>I100090813</v>
      </c>
      <c r="H467" s="209" t="s">
        <v>424</v>
      </c>
      <c r="I467" s="209" t="str">
        <f>VLOOKUP($H467,Datadog!$A:$H,7,0)</f>
        <v>신근우</v>
      </c>
      <c r="J467" s="209" t="str">
        <f>VLOOKUP($H467,Datadog!$A:$H,8,0)</f>
        <v>신근우</v>
      </c>
      <c r="K467" s="186"/>
      <c r="L467" s="210">
        <v>56518098</v>
      </c>
      <c r="M467" s="211">
        <v>50517732</v>
      </c>
      <c r="N467" s="212">
        <v>51972765</v>
      </c>
      <c r="O467" s="212">
        <v>50346257</v>
      </c>
      <c r="P467" s="212">
        <v>51169607</v>
      </c>
      <c r="Q467" s="212">
        <v>50164562</v>
      </c>
      <c r="R467" s="212">
        <v>65419558</v>
      </c>
      <c r="S467" s="212">
        <v>89476602</v>
      </c>
      <c r="T467" s="212">
        <v>82241572</v>
      </c>
      <c r="U467" s="212">
        <v>75537936</v>
      </c>
      <c r="V467" s="205">
        <v>104207874</v>
      </c>
      <c r="W467" s="205">
        <f>ROUND(표9[[#This Row],[Apr 2026 (USD or KRW)]],0)</f>
        <v>0</v>
      </c>
      <c r="X467" s="212"/>
      <c r="Y467" s="206">
        <f>표9[[#This Row],[Apr 2027(KRW)]]-표9[[#This Row],[Mar 2026(KRW)]]</f>
        <v>-104207874</v>
      </c>
      <c r="Z467" s="213">
        <f t="shared" si="6"/>
        <v>-1</v>
      </c>
      <c r="AA467" s="208">
        <f>VLOOKUP(표9[[#This Row],[Team]],표1[],3,0)</f>
        <v>1000</v>
      </c>
    </row>
    <row r="468" spans="1:27" s="8" customFormat="1" ht="15">
      <c r="A468" s="209" t="str">
        <f>VLOOKUP($H468,Datadog!$A:$H,2,0)</f>
        <v>Datadog</v>
      </c>
      <c r="B468" s="209" t="str">
        <f>VLOOKUP($H468,Datadog!$A:$H,3,0)</f>
        <v>KRAFTON HQ</v>
      </c>
      <c r="C468" s="209" t="str">
        <f>VLOOKUP($H468,Datadog!$A:$H,4,0)</f>
        <v>KRAFTON HQ</v>
      </c>
      <c r="D468" s="209" t="str">
        <f>VLOOKUP($H468,Datadog!$A:$H,5,0)</f>
        <v>IT Dept.</v>
      </c>
      <c r="E468" s="209" t="str">
        <f>VLOOKUP($H468,Datadog!$A:$H,6,0)</f>
        <v>OVERHEAD/OTHERS</v>
      </c>
      <c r="F468" s="202">
        <f>VLOOKUP(표9[[#This Row],[Team]],표1[[내역]:[코스트 센터]],2,0)</f>
        <v>100036</v>
      </c>
      <c r="G468" s="202" t="str">
        <f>VLOOKUP(표9[[#This Row],[Project]],표2[],2,0)</f>
        <v>I100099999</v>
      </c>
      <c r="H468" s="209" t="s">
        <v>425</v>
      </c>
      <c r="I468" s="209" t="str">
        <f>VLOOKUP($H468,Datadog!$A:$H,7,0)</f>
        <v>백용원</v>
      </c>
      <c r="J468" s="209" t="str">
        <f>VLOOKUP($H468,Datadog!$A:$H,8,0)</f>
        <v>백용원</v>
      </c>
      <c r="K468" s="186" t="s">
        <v>29</v>
      </c>
      <c r="L468" s="210">
        <v>15178479</v>
      </c>
      <c r="M468" s="211">
        <v>15750629</v>
      </c>
      <c r="N468" s="212">
        <v>16518476</v>
      </c>
      <c r="O468" s="212">
        <v>16594140</v>
      </c>
      <c r="P468" s="212">
        <v>16436574</v>
      </c>
      <c r="Q468" s="212">
        <v>20458900</v>
      </c>
      <c r="R468" s="212">
        <v>17700612</v>
      </c>
      <c r="S468" s="212">
        <v>16317729</v>
      </c>
      <c r="T468" s="212">
        <v>16156624</v>
      </c>
      <c r="U468" s="212">
        <v>15367189</v>
      </c>
      <c r="V468" s="205">
        <v>16815747</v>
      </c>
      <c r="W468" s="205">
        <f>ROUND(표9[[#This Row],[Apr 2026 (USD or KRW)]],0)</f>
        <v>0</v>
      </c>
      <c r="X468" s="212"/>
      <c r="Y468" s="206">
        <f>표9[[#This Row],[Apr 2027(KRW)]]-표9[[#This Row],[Mar 2026(KRW)]]</f>
        <v>-16815747</v>
      </c>
      <c r="Z468" s="213">
        <f t="shared" si="6"/>
        <v>-1</v>
      </c>
      <c r="AA468" s="208">
        <f>VLOOKUP(표9[[#This Row],[Team]],표1[],3,0)</f>
        <v>1000</v>
      </c>
    </row>
    <row r="469" spans="1:27" s="8" customFormat="1" ht="15">
      <c r="A469" s="209" t="str">
        <f>VLOOKUP($H469,Datadog!$A:$H,2,0)</f>
        <v>Datadog</v>
      </c>
      <c r="B469" s="209" t="str">
        <f>VLOOKUP($H469,Datadog!$A:$H,3,0)</f>
        <v>BLUEHOLE</v>
      </c>
      <c r="C469" s="209" t="str">
        <f>VLOOKUP($H469,Datadog!$A:$H,4,0)</f>
        <v>BLUEHOLE</v>
      </c>
      <c r="D469" s="209" t="str">
        <f>VLOOKUP($H469,Datadog!$A:$H,5,0)</f>
        <v>T_Console Service Part</v>
      </c>
      <c r="E469" s="209" t="str">
        <f>VLOOKUP($H469,Datadog!$A:$H,6,0)</f>
        <v>TERA_Console</v>
      </c>
      <c r="F469" s="202">
        <f>VLOOKUP(표9[[#This Row],[Team]],표1[[내역]:[코스트 센터]],2,0)</f>
        <v>110119</v>
      </c>
      <c r="G469" s="202" t="str">
        <f>VLOOKUP(표9[[#This Row],[Project]],표2[],2,0)</f>
        <v>P100020001</v>
      </c>
      <c r="H469" s="227" t="s">
        <v>426</v>
      </c>
      <c r="I469" s="209" t="str">
        <f>VLOOKUP($H469,Datadog!$A:$H,7,0)</f>
        <v>엄기성</v>
      </c>
      <c r="J469" s="209" t="str">
        <f>VLOOKUP($H469,Datadog!$A:$H,8,0)</f>
        <v>엄기성</v>
      </c>
      <c r="K469" s="186"/>
      <c r="L469" s="210">
        <v>156229</v>
      </c>
      <c r="M469" s="211">
        <v>153395</v>
      </c>
      <c r="N469" s="212">
        <v>167568</v>
      </c>
      <c r="O469" s="212">
        <v>168264</v>
      </c>
      <c r="P469" s="212">
        <v>181235</v>
      </c>
      <c r="Q469" s="212">
        <v>160955</v>
      </c>
      <c r="R469" s="212">
        <v>153826</v>
      </c>
      <c r="S469" s="212">
        <v>150686</v>
      </c>
      <c r="T469" s="212">
        <v>149853</v>
      </c>
      <c r="U469" s="212">
        <v>172608</v>
      </c>
      <c r="V469" s="205">
        <v>146707</v>
      </c>
      <c r="W469" s="205">
        <f>ROUND(표9[[#This Row],[Apr 2026 (USD or KRW)]],0)</f>
        <v>0</v>
      </c>
      <c r="X469" s="212"/>
      <c r="Y469" s="206">
        <f>표9[[#This Row],[Apr 2027(KRW)]]-표9[[#This Row],[Mar 2026(KRW)]]</f>
        <v>-146707</v>
      </c>
      <c r="Z469" s="213">
        <f t="shared" ref="Z469:Z532" si="7">IF(V469=0,"",(W469-V469)/V469)</f>
        <v>-1</v>
      </c>
      <c r="AA469" s="208">
        <f>VLOOKUP(표9[[#This Row],[Team]],표1[],3,0)</f>
        <v>1100</v>
      </c>
    </row>
    <row r="470" spans="1:27" s="8" customFormat="1" ht="15">
      <c r="A470" s="209" t="str">
        <f>VLOOKUP($H470,Datadog!$A:$H,2,0)</f>
        <v>Datadog</v>
      </c>
      <c r="B470" s="209" t="str">
        <f>VLOOKUP($H470,Datadog!$A:$H,3,0)</f>
        <v>KRAFTON HQ</v>
      </c>
      <c r="C470" s="209" t="str">
        <f>VLOOKUP($H470,Datadog!$A:$H,4,0)</f>
        <v>KRAFTON HQ</v>
      </c>
      <c r="D470" s="209" t="str">
        <f>VLOOKUP($H470,Datadog!$A:$H,5,0)</f>
        <v>Experience Engineering Dept.</v>
      </c>
      <c r="E470" s="209" t="str">
        <f>VLOOKUP($H470,Datadog!$A:$H,6,0)</f>
        <v>OVERHEAD/OTHERS</v>
      </c>
      <c r="F470" s="202">
        <f>VLOOKUP(표9[[#This Row],[Team]],표1[[내역]:[코스트 센터]],2,0)</f>
        <v>101752</v>
      </c>
      <c r="G470" s="202" t="str">
        <f>VLOOKUP(표9[[#This Row],[Project]],표2[],2,0)</f>
        <v>I100099999</v>
      </c>
      <c r="H470" s="209" t="s">
        <v>427</v>
      </c>
      <c r="I470" s="209" t="str">
        <f>VLOOKUP($H470,Datadog!$A:$H,7,0)</f>
        <v>이준호</v>
      </c>
      <c r="J470" s="209" t="str">
        <f>VLOOKUP($H470,Datadog!$A:$H,8,0)</f>
        <v>이준호</v>
      </c>
      <c r="K470" s="186"/>
      <c r="L470" s="210">
        <v>785677</v>
      </c>
      <c r="M470" s="211">
        <v>503986</v>
      </c>
      <c r="N470" s="212">
        <v>586879</v>
      </c>
      <c r="O470" s="212">
        <v>643848</v>
      </c>
      <c r="P470" s="212">
        <v>852074</v>
      </c>
      <c r="Q470" s="212">
        <v>1097154</v>
      </c>
      <c r="R470" s="212">
        <v>1083722</v>
      </c>
      <c r="S470" s="212">
        <v>1050148</v>
      </c>
      <c r="T470" s="212">
        <v>579127</v>
      </c>
      <c r="U470" s="212">
        <v>604761</v>
      </c>
      <c r="V470" s="205">
        <v>741437</v>
      </c>
      <c r="W470" s="205">
        <f>ROUND(표9[[#This Row],[Apr 2026 (USD or KRW)]],0)</f>
        <v>0</v>
      </c>
      <c r="X470" s="212"/>
      <c r="Y470" s="206">
        <f>표9[[#This Row],[Apr 2027(KRW)]]-표9[[#This Row],[Mar 2026(KRW)]]</f>
        <v>-741437</v>
      </c>
      <c r="Z470" s="213">
        <f t="shared" si="7"/>
        <v>-1</v>
      </c>
      <c r="AA470" s="208">
        <f>VLOOKUP(표9[[#This Row],[Team]],표1[],3,0)</f>
        <v>1000</v>
      </c>
    </row>
    <row r="471" spans="1:27" s="8" customFormat="1" ht="15">
      <c r="A471" s="209" t="str">
        <f>VLOOKUP($H471,Datadog!$A:$H,2,0)</f>
        <v>Datadog</v>
      </c>
      <c r="B471" s="209" t="str">
        <f>VLOOKUP($H471,Datadog!$A:$H,3,0)</f>
        <v>KRAFTON HQ</v>
      </c>
      <c r="C471" s="209" t="str">
        <f>VLOOKUP($H471,Datadog!$A:$H,4,0)</f>
        <v>KRAFTON HQ</v>
      </c>
      <c r="D471" s="209" t="str">
        <f>VLOOKUP($H471,Datadog!$A:$H,5,0)</f>
        <v>Experience Engineering Dept.</v>
      </c>
      <c r="E471" s="209" t="str">
        <f>VLOOKUP($H471,Datadog!$A:$H,6,0)</f>
        <v>(2022)BATTLEGROUNDS_MOBILE_IN</v>
      </c>
      <c r="F471" s="202">
        <f>VLOOKUP(표9[[#This Row],[Team]],표1[[내역]:[코스트 센터]],2,0)</f>
        <v>101752</v>
      </c>
      <c r="G471" s="202" t="str">
        <f>VLOOKUP(표9[[#This Row],[Project]],표2[],2,0)</f>
        <v>P100130012</v>
      </c>
      <c r="H471" s="209" t="s">
        <v>428</v>
      </c>
      <c r="I471" s="209" t="str">
        <f>VLOOKUP($H471,Datadog!$A:$H,7,0)</f>
        <v>이준호</v>
      </c>
      <c r="J471" s="209" t="str">
        <f>VLOOKUP($H471,Datadog!$A:$H,8,0)</f>
        <v>이준호</v>
      </c>
      <c r="K471" s="186" t="s">
        <v>29</v>
      </c>
      <c r="L471" s="210">
        <v>1342787</v>
      </c>
      <c r="M471" s="211">
        <v>1038929</v>
      </c>
      <c r="N471" s="212">
        <v>977410</v>
      </c>
      <c r="O471" s="212">
        <v>600254</v>
      </c>
      <c r="P471" s="212"/>
      <c r="Q471" s="212">
        <v>1590482</v>
      </c>
      <c r="R471" s="212">
        <v>1693540</v>
      </c>
      <c r="S471" s="212">
        <v>609813</v>
      </c>
      <c r="T471" s="212">
        <v>560510</v>
      </c>
      <c r="U471" s="212">
        <v>1256241</v>
      </c>
      <c r="V471" s="205">
        <v>6704916</v>
      </c>
      <c r="W471" s="205">
        <f>ROUND(표9[[#This Row],[Apr 2026 (USD or KRW)]],0)</f>
        <v>0</v>
      </c>
      <c r="X471" s="212"/>
      <c r="Y471" s="206">
        <f>표9[[#This Row],[Apr 2027(KRW)]]-표9[[#This Row],[Mar 2026(KRW)]]</f>
        <v>-6704916</v>
      </c>
      <c r="Z471" s="213">
        <f t="shared" si="7"/>
        <v>-1</v>
      </c>
      <c r="AA471" s="208">
        <f>VLOOKUP(표9[[#This Row],[Team]],표1[],3,0)</f>
        <v>1000</v>
      </c>
    </row>
    <row r="472" spans="1:27" s="8" customFormat="1" ht="15">
      <c r="A472" s="209" t="str">
        <f>VLOOKUP($H472,Datadog!$A:$H,2,0)</f>
        <v>Datadog</v>
      </c>
      <c r="B472" s="209" t="str">
        <f>VLOOKUP($H472,Datadog!$A:$H,3,0)</f>
        <v>KRAFTON HQ</v>
      </c>
      <c r="C472" s="209" t="str">
        <f>VLOOKUP($H472,Datadog!$A:$H,4,0)</f>
        <v>Mad Glory</v>
      </c>
      <c r="D472" s="209" t="str">
        <f>VLOOKUP($H472,Datadog!$A:$H,5,0)</f>
        <v>Valor Core Tech Team</v>
      </c>
      <c r="E472" s="209" t="str">
        <f>VLOOKUP($H472,Datadog!$A:$H,6,0)</f>
        <v>Valor_Console</v>
      </c>
      <c r="F472" s="202">
        <f>VLOOKUP(표9[[#This Row],[Team]],표1[[내역]:[코스트 센터]],2,0)</f>
        <v>150107</v>
      </c>
      <c r="G472" s="202" t="str">
        <f>VLOOKUP(표9[[#This Row],[Project]],표2[],2,0)</f>
        <v>P100020081</v>
      </c>
      <c r="H472" s="209" t="s">
        <v>429</v>
      </c>
      <c r="I472" s="209" t="str">
        <f>VLOOKUP($H472,Datadog!$A:$H,7,0)</f>
        <v>송영재</v>
      </c>
      <c r="J472" s="209" t="str">
        <f>VLOOKUP($H472,Datadog!$A:$H,8,0)</f>
        <v>송영재</v>
      </c>
      <c r="K472" s="186" t="s">
        <v>29</v>
      </c>
      <c r="L472" s="210"/>
      <c r="M472" s="211"/>
      <c r="N472" s="212"/>
      <c r="O472" s="212"/>
      <c r="P472" s="212"/>
      <c r="Q472" s="212">
        <v>591194</v>
      </c>
      <c r="R472" s="212">
        <v>651070</v>
      </c>
      <c r="S472" s="212">
        <v>777813</v>
      </c>
      <c r="T472" s="212">
        <v>805333</v>
      </c>
      <c r="U472" s="212">
        <v>892829</v>
      </c>
      <c r="V472" s="205">
        <v>921321</v>
      </c>
      <c r="W472" s="205">
        <f>ROUND(표9[[#This Row],[Apr 2026 (USD or KRW)]],0)</f>
        <v>0</v>
      </c>
      <c r="X472" s="212"/>
      <c r="Y472" s="206">
        <f>표9[[#This Row],[Apr 2027(KRW)]]-표9[[#This Row],[Mar 2026(KRW)]]</f>
        <v>-921321</v>
      </c>
      <c r="Z472" s="213">
        <f t="shared" si="7"/>
        <v>-1</v>
      </c>
      <c r="AA472" s="208">
        <f>VLOOKUP(표9[[#This Row],[Team]],표1[],3,0)</f>
        <v>1500</v>
      </c>
    </row>
    <row r="473" spans="1:27" s="8" customFormat="1" ht="15">
      <c r="A473" s="209" t="str">
        <f>VLOOKUP($H473,Datadog!$A:$H,2,0)</f>
        <v>Datadog</v>
      </c>
      <c r="B473" s="209" t="str">
        <f>VLOOKUP($H473,Datadog!$A:$H,3,0)</f>
        <v>KRAFTON HQ</v>
      </c>
      <c r="C473" s="209" t="str">
        <f>VLOOKUP($H473,Datadog!$A:$H,4,0)</f>
        <v>KRAFTON HQ</v>
      </c>
      <c r="D473" s="209" t="str">
        <f>VLOOKUP($H473,Datadog!$A:$H,5,0)</f>
        <v>PUBG PC&amp;Console Dev Div.</v>
      </c>
      <c r="E473" s="209" t="str">
        <f>VLOOKUP($H473,Datadog!$A:$H,6,0)</f>
        <v>BLACK BUDGET</v>
      </c>
      <c r="F473" s="202">
        <f>VLOOKUP(표9[[#This Row],[Team]],표1[[내역]:[코스트 센터]],2,0)</f>
        <v>100414</v>
      </c>
      <c r="G473" s="202" t="str">
        <f>VLOOKUP(표9[[#This Row],[Project]],표2[],2,0)</f>
        <v>P100010048</v>
      </c>
      <c r="H473" s="209" t="s">
        <v>430</v>
      </c>
      <c r="I473" s="209" t="str">
        <f>VLOOKUP($H473,Datadog!$A:$H,7,0)</f>
        <v>김정헌</v>
      </c>
      <c r="J473" s="209" t="str">
        <f>VLOOKUP($H473,Datadog!$A:$H,8,0)</f>
        <v>최준석</v>
      </c>
      <c r="K473" s="186"/>
      <c r="L473" s="210">
        <v>2657940</v>
      </c>
      <c r="M473" s="211">
        <v>3028643</v>
      </c>
      <c r="N473" s="212">
        <v>3559382</v>
      </c>
      <c r="O473" s="212">
        <v>4107254</v>
      </c>
      <c r="P473" s="212">
        <v>2824890</v>
      </c>
      <c r="Q473" s="212">
        <v>3713495</v>
      </c>
      <c r="R473" s="212">
        <v>4534300</v>
      </c>
      <c r="S473" s="212">
        <v>12285441</v>
      </c>
      <c r="T473" s="212">
        <v>9406051</v>
      </c>
      <c r="U473" s="212">
        <v>12194870</v>
      </c>
      <c r="V473" s="205">
        <v>12725276</v>
      </c>
      <c r="W473" s="205">
        <f>ROUND(표9[[#This Row],[Apr 2026 (USD or KRW)]],0)</f>
        <v>0</v>
      </c>
      <c r="X473" s="212"/>
      <c r="Y473" s="206">
        <f>표9[[#This Row],[Apr 2027(KRW)]]-표9[[#This Row],[Mar 2026(KRW)]]</f>
        <v>-12725276</v>
      </c>
      <c r="Z473" s="213">
        <f t="shared" si="7"/>
        <v>-1</v>
      </c>
      <c r="AA473" s="208">
        <f>VLOOKUP(표9[[#This Row],[Team]],표1[],3,0)</f>
        <v>1000</v>
      </c>
    </row>
    <row r="474" spans="1:27" s="8" customFormat="1" ht="15">
      <c r="A474" s="209" t="str">
        <f>VLOOKUP($H474,Datadog!$A:$H,2,0)</f>
        <v>Datadog</v>
      </c>
      <c r="B474" s="209" t="str">
        <f>VLOOKUP($H474,Datadog!$A:$H,3,0)</f>
        <v>KRAFTON HQ</v>
      </c>
      <c r="C474" s="209" t="str">
        <f>VLOOKUP($H474,Datadog!$A:$H,4,0)</f>
        <v>PUBG STUDIO</v>
      </c>
      <c r="D474" s="209" t="str">
        <f>VLOOKUP($H474,Datadog!$A:$H,5,0)</f>
        <v>PUBG PC&amp;Console Dev Div.</v>
      </c>
      <c r="E474" s="209" t="str">
        <f>VLOOKUP($H474,Datadog!$A:$H,6,0)</f>
        <v>BATTLEGROUNDS_PC/CONSOLE</v>
      </c>
      <c r="F474" s="202">
        <f>VLOOKUP(표9[[#This Row],[Team]],표1[[내역]:[코스트 센터]],2,0)</f>
        <v>100414</v>
      </c>
      <c r="G474" s="202" t="str">
        <f>VLOOKUP(표9[[#This Row],[Project]],표2[],2,0)</f>
        <v>P100010012</v>
      </c>
      <c r="H474" s="209" t="s">
        <v>431</v>
      </c>
      <c r="I474" s="209" t="str">
        <f>VLOOKUP($H474,Datadog!$A:$H,7,0)</f>
        <v>김정헌</v>
      </c>
      <c r="J474" s="209" t="str">
        <f>VLOOKUP($H474,Datadog!$A:$H,8,0)</f>
        <v>최준석</v>
      </c>
      <c r="K474" s="186"/>
      <c r="L474" s="210">
        <v>130685365</v>
      </c>
      <c r="M474" s="211">
        <v>207044614</v>
      </c>
      <c r="N474" s="212">
        <v>133943638</v>
      </c>
      <c r="O474" s="212">
        <v>121251557</v>
      </c>
      <c r="P474" s="212">
        <v>116987123</v>
      </c>
      <c r="Q474" s="212">
        <v>133443688</v>
      </c>
      <c r="R474" s="212">
        <v>127189745</v>
      </c>
      <c r="S474" s="212">
        <v>120181299</v>
      </c>
      <c r="T474" s="212">
        <v>142534492</v>
      </c>
      <c r="U474" s="212">
        <v>144426998</v>
      </c>
      <c r="V474" s="205">
        <v>172001439</v>
      </c>
      <c r="W474" s="205">
        <f>ROUND(표9[[#This Row],[Apr 2026 (USD or KRW)]],0)</f>
        <v>0</v>
      </c>
      <c r="X474" s="212"/>
      <c r="Y474" s="206">
        <f>표9[[#This Row],[Apr 2027(KRW)]]-표9[[#This Row],[Mar 2026(KRW)]]</f>
        <v>-172001439</v>
      </c>
      <c r="Z474" s="213">
        <f t="shared" si="7"/>
        <v>-1</v>
      </c>
      <c r="AA474" s="208">
        <f>VLOOKUP(표9[[#This Row],[Team]],표1[],3,0)</f>
        <v>1000</v>
      </c>
    </row>
    <row r="475" spans="1:27" s="8" customFormat="1" ht="15">
      <c r="A475" s="209" t="str">
        <f>VLOOKUP($H475,Datadog!$A:$H,2,0)</f>
        <v>Datadog</v>
      </c>
      <c r="B475" s="209" t="str">
        <f>VLOOKUP($H475,Datadog!$A:$H,3,0)</f>
        <v>KRAFTON HQ</v>
      </c>
      <c r="C475" s="209" t="str">
        <f>VLOOKUP($H475,Datadog!$A:$H,4,0)</f>
        <v>KRAFTON HQ</v>
      </c>
      <c r="D475" s="209" t="str">
        <f>VLOOKUP($H475,Datadog!$A:$H,5,0)</f>
        <v>PUBG PC&amp;Console Dev Div.</v>
      </c>
      <c r="E475" s="209" t="str">
        <f>VLOOKUP($H475,Datadog!$A:$H,6,0)</f>
        <v>BATTLEGROUNDS_PC/CONSOLE</v>
      </c>
      <c r="F475" s="202">
        <f>VLOOKUP(표9[[#This Row],[Team]],표1[[내역]:[코스트 센터]],2,0)</f>
        <v>100414</v>
      </c>
      <c r="G475" s="202" t="str">
        <f>VLOOKUP(표9[[#This Row],[Project]],표2[],2,0)</f>
        <v>P100010012</v>
      </c>
      <c r="H475" s="209" t="s">
        <v>381</v>
      </c>
      <c r="I475" s="209" t="str">
        <f>VLOOKUP($H475,Datadog!$A:$H,7,0)</f>
        <v>김정헌</v>
      </c>
      <c r="J475" s="209" t="str">
        <f>VLOOKUP($H475,Datadog!$A:$H,8,0)</f>
        <v>최준석</v>
      </c>
      <c r="K475" s="186"/>
      <c r="L475" s="210">
        <v>2167270</v>
      </c>
      <c r="M475" s="211">
        <v>1888448</v>
      </c>
      <c r="N475" s="212">
        <v>2608405</v>
      </c>
      <c r="O475" s="212">
        <v>3207434</v>
      </c>
      <c r="P475" s="212">
        <v>11003525</v>
      </c>
      <c r="Q475" s="212">
        <v>9408522</v>
      </c>
      <c r="R475" s="212">
        <v>9919806</v>
      </c>
      <c r="S475" s="212">
        <v>28890298</v>
      </c>
      <c r="T475" s="212">
        <v>11730208</v>
      </c>
      <c r="U475" s="212">
        <v>11344632</v>
      </c>
      <c r="V475" s="205">
        <v>11809578</v>
      </c>
      <c r="W475" s="205">
        <f>ROUND(표9[[#This Row],[Apr 2026 (USD or KRW)]],0)</f>
        <v>0</v>
      </c>
      <c r="X475" s="212"/>
      <c r="Y475" s="206">
        <f>표9[[#This Row],[Apr 2027(KRW)]]-표9[[#This Row],[Mar 2026(KRW)]]</f>
        <v>-11809578</v>
      </c>
      <c r="Z475" s="213">
        <f t="shared" si="7"/>
        <v>-1</v>
      </c>
      <c r="AA475" s="208">
        <f>VLOOKUP(표9[[#This Row],[Team]],표1[],3,0)</f>
        <v>1000</v>
      </c>
    </row>
    <row r="476" spans="1:27" s="8" customFormat="1" ht="15">
      <c r="A476" s="209" t="str">
        <f>VLOOKUP($H476,Datadog!$A:$H,2,0)</f>
        <v>Datadog</v>
      </c>
      <c r="B476" s="209" t="str">
        <f>VLOOKUP($H476,Datadog!$A:$H,3,0)</f>
        <v>KRAFTON HQ</v>
      </c>
      <c r="C476" s="209" t="str">
        <f>VLOOKUP($H476,Datadog!$A:$H,4,0)</f>
        <v>PUBG STUDIO</v>
      </c>
      <c r="D476" s="209" t="str">
        <f>VLOOKUP($H476,Datadog!$A:$H,5,0)</f>
        <v>PUBG PC&amp;Console Dev Div.</v>
      </c>
      <c r="E476" s="209" t="str">
        <f>VLOOKUP($H476,Datadog!$A:$H,6,0)</f>
        <v>BATTLEGROUNDS_PC/CONSOLE</v>
      </c>
      <c r="F476" s="202">
        <f>VLOOKUP(표9[[#This Row],[Team]],표1[[내역]:[코스트 센터]],2,0)</f>
        <v>100414</v>
      </c>
      <c r="G476" s="202" t="str">
        <f>VLOOKUP(표9[[#This Row],[Project]],표2[],2,0)</f>
        <v>P100010012</v>
      </c>
      <c r="H476" s="209" t="s">
        <v>432</v>
      </c>
      <c r="I476" s="209" t="str">
        <f>VLOOKUP($H476,Datadog!$A:$H,7,0)</f>
        <v>김정헌</v>
      </c>
      <c r="J476" s="209" t="str">
        <f>VLOOKUP($H476,Datadog!$A:$H,8,0)</f>
        <v>최준석</v>
      </c>
      <c r="K476" s="186"/>
      <c r="L476" s="210">
        <v>657626</v>
      </c>
      <c r="M476" s="211">
        <v>527725</v>
      </c>
      <c r="N476" s="212">
        <v>621454</v>
      </c>
      <c r="O476" s="212">
        <v>624035</v>
      </c>
      <c r="P476" s="212">
        <v>568909</v>
      </c>
      <c r="Q476" s="212">
        <v>623615</v>
      </c>
      <c r="R476" s="212">
        <v>628011</v>
      </c>
      <c r="S476" s="212">
        <v>621752</v>
      </c>
      <c r="T476" s="212">
        <v>629659</v>
      </c>
      <c r="U476" s="212">
        <v>583084</v>
      </c>
      <c r="V476" s="205">
        <v>621014</v>
      </c>
      <c r="W476" s="205">
        <f>ROUND(표9[[#This Row],[Apr 2026 (USD or KRW)]],0)</f>
        <v>0</v>
      </c>
      <c r="X476" s="212"/>
      <c r="Y476" s="206">
        <f>표9[[#This Row],[Apr 2027(KRW)]]-표9[[#This Row],[Mar 2026(KRW)]]</f>
        <v>-621014</v>
      </c>
      <c r="Z476" s="213">
        <f t="shared" si="7"/>
        <v>-1</v>
      </c>
      <c r="AA476" s="208">
        <f>VLOOKUP(표9[[#This Row],[Team]],표1[],3,0)</f>
        <v>1000</v>
      </c>
    </row>
    <row r="477" spans="1:27" s="8" customFormat="1" ht="15">
      <c r="A477" s="209" t="str">
        <f>VLOOKUP($H477,Datadog!$A:$H,2,0)</f>
        <v>Datadog</v>
      </c>
      <c r="B477" s="209" t="str">
        <f>VLOOKUP($H477,Datadog!$A:$H,3,0)</f>
        <v>KRAFTON HQ</v>
      </c>
      <c r="C477" s="209" t="str">
        <f>VLOOKUP($H477,Datadog!$A:$H,4,0)</f>
        <v>PUBG NewState</v>
      </c>
      <c r="D477" s="209" t="str">
        <f>VLOOKUP($H477,Datadog!$A:$H,5,0)</f>
        <v>Data Engineering Dept.</v>
      </c>
      <c r="E477" s="209" t="str">
        <f>VLOOKUP($H477,Datadog!$A:$H,6,0)</f>
        <v>PUBG:NEW STATE</v>
      </c>
      <c r="F477" s="202">
        <f>VLOOKUP(표9[[#This Row],[Team]],표1[[내역]:[코스트 센터]],2,0)</f>
        <v>100212</v>
      </c>
      <c r="G477" s="202" t="str">
        <f>VLOOKUP(표9[[#This Row],[Project]],표2[],2,0)</f>
        <v>P100030014</v>
      </c>
      <c r="H477" s="209" t="s">
        <v>433</v>
      </c>
      <c r="I477" s="209" t="str">
        <f>VLOOKUP($H477,Datadog!$A:$H,7,0)</f>
        <v>염화음</v>
      </c>
      <c r="J477" s="209" t="str">
        <f>VLOOKUP($H477,Datadog!$A:$H,8,0)</f>
        <v>김시훈</v>
      </c>
      <c r="K477" s="186" t="s">
        <v>29</v>
      </c>
      <c r="L477" s="210">
        <v>106849</v>
      </c>
      <c r="M477" s="211">
        <v>137782</v>
      </c>
      <c r="N477" s="212">
        <v>140478</v>
      </c>
      <c r="O477" s="212">
        <v>107409</v>
      </c>
      <c r="P477" s="212">
        <v>15660</v>
      </c>
      <c r="Q477" s="212">
        <v>6611</v>
      </c>
      <c r="R477" s="212">
        <v>6804</v>
      </c>
      <c r="S477" s="212">
        <v>6665</v>
      </c>
      <c r="T477" s="212">
        <v>6628</v>
      </c>
      <c r="U477" s="212">
        <v>6617</v>
      </c>
      <c r="V477" s="205">
        <v>7030</v>
      </c>
      <c r="W477" s="205">
        <f>ROUND(표9[[#This Row],[Apr 2026 (USD or KRW)]],0)</f>
        <v>0</v>
      </c>
      <c r="X477" s="212"/>
      <c r="Y477" s="206">
        <f>표9[[#This Row],[Apr 2027(KRW)]]-표9[[#This Row],[Mar 2026(KRW)]]</f>
        <v>-7030</v>
      </c>
      <c r="Z477" s="213">
        <f t="shared" si="7"/>
        <v>-1</v>
      </c>
      <c r="AA477" s="208">
        <f>VLOOKUP(표9[[#This Row],[Team]],표1[],3,0)</f>
        <v>1000</v>
      </c>
    </row>
    <row r="478" spans="1:27" s="8" customFormat="1" ht="15">
      <c r="A478" s="209" t="str">
        <f>VLOOKUP($H478,Datadog!$A:$H,2,0)</f>
        <v>Datadog</v>
      </c>
      <c r="B478" s="209" t="str">
        <f>VLOOKUP($H478,Datadog!$A:$H,3,0)</f>
        <v>Unknownworlds</v>
      </c>
      <c r="C478" s="209" t="str">
        <f>VLOOKUP($H478,Datadog!$A:$H,4,0)</f>
        <v>Unknownworlds</v>
      </c>
      <c r="D478" s="209" t="str">
        <f>VLOOKUP($H478,Datadog!$A:$H,5,0)</f>
        <v>Unknownworlds</v>
      </c>
      <c r="E478" s="209" t="str">
        <f>VLOOKUP($H478,Datadog!$A:$H,6,0)</f>
        <v>SUBNAUTICA 2</v>
      </c>
      <c r="F478" s="202" t="e">
        <f>VLOOKUP(표9[[#This Row],[Team]],표1[[내역]:[코스트 센터]],2,0)</f>
        <v>#N/A</v>
      </c>
      <c r="G478" s="202" t="str">
        <f>VLOOKUP(표9[[#This Row],[Project]],표2[],2,0)</f>
        <v>P100010066</v>
      </c>
      <c r="H478" s="209" t="s">
        <v>434</v>
      </c>
      <c r="I478" s="209" t="str">
        <f>VLOOKUP($H478,Datadog!$A:$H,7,0)</f>
        <v>Jack Smith</v>
      </c>
      <c r="J478" s="209" t="str">
        <f>VLOOKUP($H478,Datadog!$A:$H,8,0)</f>
        <v>Jack Smith</v>
      </c>
      <c r="K478" s="186"/>
      <c r="L478" s="210">
        <v>510045</v>
      </c>
      <c r="M478" s="211">
        <v>840058</v>
      </c>
      <c r="N478" s="212">
        <v>823583</v>
      </c>
      <c r="O478" s="212">
        <v>758885</v>
      </c>
      <c r="P478" s="212">
        <v>777386</v>
      </c>
      <c r="Q478" s="212">
        <v>856698</v>
      </c>
      <c r="R478" s="212">
        <v>1009870</v>
      </c>
      <c r="S478" s="212">
        <v>918936</v>
      </c>
      <c r="T478" s="212">
        <v>961354</v>
      </c>
      <c r="U478" s="212">
        <v>1052362</v>
      </c>
      <c r="V478" s="205">
        <v>1313901</v>
      </c>
      <c r="W478" s="205">
        <f>ROUND(표9[[#This Row],[Apr 2026 (USD or KRW)]],0)</f>
        <v>0</v>
      </c>
      <c r="X478" s="212"/>
      <c r="Y478" s="206">
        <f>표9[[#This Row],[Apr 2027(KRW)]]-표9[[#This Row],[Mar 2026(KRW)]]</f>
        <v>-1313901</v>
      </c>
      <c r="Z478" s="213">
        <f t="shared" si="7"/>
        <v>-1</v>
      </c>
      <c r="AA478" s="208" t="e">
        <f>VLOOKUP(표9[[#This Row],[Team]],표1[],3,0)</f>
        <v>#N/A</v>
      </c>
    </row>
    <row r="479" spans="1:27" s="8" customFormat="1" ht="15">
      <c r="A479" s="209" t="str">
        <f>VLOOKUP($H479,Datadog!$A:$H,2,0)</f>
        <v>Datadog</v>
      </c>
      <c r="B479" s="209" t="str">
        <f>VLOOKUP($H479,Datadog!$A:$H,3,0)</f>
        <v>KRAFTON HQ</v>
      </c>
      <c r="C479" s="209" t="str">
        <f>VLOOKUP($H479,Datadog!$A:$H,4,0)</f>
        <v>KRAFTON HQ</v>
      </c>
      <c r="D479" s="209" t="str">
        <f>VLOOKUP($H479,Datadog!$A:$H,5,0)</f>
        <v>[N/A]AI Service Engineering Team</v>
      </c>
      <c r="E479" s="209" t="str">
        <f>VLOOKUP($H479,Datadog!$A:$H,6,0)</f>
        <v>OVERHEAD/OTHERS</v>
      </c>
      <c r="F479" s="202">
        <f>VLOOKUP(표9[[#This Row],[Team]],표1[[내역]:[코스트 센터]],2,0)</f>
        <v>107005</v>
      </c>
      <c r="G479" s="202" t="str">
        <f>VLOOKUP(표9[[#This Row],[Project]],표2[],2,0)</f>
        <v>I100099999</v>
      </c>
      <c r="H479" s="209" t="s">
        <v>435</v>
      </c>
      <c r="I479" s="209" t="str">
        <f>VLOOKUP($H479,Datadog!$A:$H,7,0)</f>
        <v>임지영</v>
      </c>
      <c r="J479" s="209" t="str">
        <f>VLOOKUP($H479,Datadog!$A:$H,8,0)</f>
        <v>임지영</v>
      </c>
      <c r="K479" s="242"/>
      <c r="L479" s="197"/>
      <c r="M479" s="199"/>
      <c r="N479" s="200"/>
      <c r="O479" s="200"/>
      <c r="P479" s="200"/>
      <c r="Q479" s="200"/>
      <c r="R479" s="200"/>
      <c r="S479" s="200"/>
      <c r="T479" s="200"/>
      <c r="U479" s="212">
        <v>0</v>
      </c>
      <c r="V479" s="205">
        <v>2246</v>
      </c>
      <c r="W479" s="205">
        <f>ROUND(표9[[#This Row],[Apr 2026 (USD or KRW)]],0)</f>
        <v>0</v>
      </c>
      <c r="X479" s="212"/>
      <c r="Y479" s="206">
        <f>표9[[#This Row],[Apr 2027(KRW)]]-표9[[#This Row],[Mar 2026(KRW)]]</f>
        <v>-2246</v>
      </c>
      <c r="Z479" s="213">
        <f t="shared" si="7"/>
        <v>-1</v>
      </c>
      <c r="AA479" s="208">
        <f>VLOOKUP(표9[[#This Row],[Team]],표1[],3,0)</f>
        <v>1000</v>
      </c>
    </row>
    <row r="480" spans="1:27" s="8" customFormat="1" ht="15">
      <c r="A480" s="209" t="str">
        <f>VLOOKUP($H480,GCP!$A:$H,2,0)</f>
        <v>GCP</v>
      </c>
      <c r="B480" s="209" t="str">
        <f>VLOOKUP($H480,GCP!$A:$H,3,0)</f>
        <v>KRAFTON HQ</v>
      </c>
      <c r="C480" s="209" t="str">
        <f>VLOOKUP($H480,GCP!$A:$H,4,0)</f>
        <v>PUBG STUDIO</v>
      </c>
      <c r="D480" s="209" t="str">
        <f>VLOOKUP($H480,GCP!$A:$H,5,0)</f>
        <v>PBB_S Platform Team</v>
      </c>
      <c r="E480" s="209" t="str">
        <f>VLOOKUP($H480,GCP!$A:$H,6,0)</f>
        <v>BLACK BUDGET</v>
      </c>
      <c r="F480" s="202">
        <f>VLOOKUP(표9[[#This Row],[Team]],표1[[내역]:[코스트 센터]],2,0)</f>
        <v>101056</v>
      </c>
      <c r="G480" s="202" t="str">
        <f>VLOOKUP(표9[[#This Row],[Project]],표2[],2,0)</f>
        <v>P100010048</v>
      </c>
      <c r="H480" s="209" t="s">
        <v>436</v>
      </c>
      <c r="I480" s="209" t="str">
        <f>VLOOKUP($H480,GCP!$A:$H,7,0)</f>
        <v>조원빈</v>
      </c>
      <c r="J480" s="209" t="str">
        <f>VLOOKUP($H480,GCP!$A:$H,8,0)</f>
        <v>조원빈</v>
      </c>
      <c r="K480" s="186" t="s">
        <v>29</v>
      </c>
      <c r="L480" s="210">
        <v>0</v>
      </c>
      <c r="M480" s="211">
        <v>1894451</v>
      </c>
      <c r="N480" s="212">
        <v>2611215</v>
      </c>
      <c r="O480" s="212">
        <f>ROUND(VLOOKUP(H480,'[1]Summary_BY Project'!$C:$N,12,0),0)</f>
        <v>1408489</v>
      </c>
      <c r="P480" s="212">
        <v>2509878</v>
      </c>
      <c r="Q480" s="212">
        <v>228591.48155885801</v>
      </c>
      <c r="R480" s="212">
        <v>627911</v>
      </c>
      <c r="S480" s="212">
        <v>388893</v>
      </c>
      <c r="T480" s="212">
        <v>63317</v>
      </c>
      <c r="U480" s="212">
        <v>80343</v>
      </c>
      <c r="V480" s="205">
        <v>67723</v>
      </c>
      <c r="W480" s="205">
        <f>ROUND(표9[[#This Row],[Apr 2026 (USD or KRW)]],0)</f>
        <v>0</v>
      </c>
      <c r="X480" s="212"/>
      <c r="Y480" s="206">
        <f>표9[[#This Row],[Apr 2027(KRW)]]-표9[[#This Row],[Mar 2026(KRW)]]</f>
        <v>-67723</v>
      </c>
      <c r="Z480" s="213">
        <f t="shared" si="7"/>
        <v>-1</v>
      </c>
      <c r="AA480" s="208">
        <f>VLOOKUP(표9[[#This Row],[Team]],표1[],3,0)</f>
        <v>1000</v>
      </c>
    </row>
    <row r="481" spans="1:27" s="8" customFormat="1" ht="15">
      <c r="A481" s="209" t="str">
        <f>VLOOKUP($H481,GCP!$A:$H,2,0)</f>
        <v>GCP</v>
      </c>
      <c r="B481" s="209" t="str">
        <f>VLOOKUP($H481,GCP!$A:$H,3,0)</f>
        <v>KRAFTON HQ</v>
      </c>
      <c r="C481" s="209" t="str">
        <f>VLOOKUP($H481,GCP!$A:$H,4,0)</f>
        <v>KRAFTON HQ</v>
      </c>
      <c r="D481" s="209" t="str">
        <f>VLOOKUP($H481,GCP!$A:$H,5,0)</f>
        <v>AI Transformation Team</v>
      </c>
      <c r="E481" s="209" t="str">
        <f>VLOOKUP($H481,GCP!$A:$H,6,0)</f>
        <v>OVERHEAD/OTHERS</v>
      </c>
      <c r="F481" s="202">
        <f>VLOOKUP(표9[[#This Row],[Team]],표1[[내역]:[코스트 센터]],2,0)</f>
        <v>101651</v>
      </c>
      <c r="G481" s="202" t="str">
        <f>VLOOKUP(표9[[#This Row],[Project]],표2[],2,0)</f>
        <v>I100099999</v>
      </c>
      <c r="H481" s="246" t="s">
        <v>437</v>
      </c>
      <c r="I481" s="209" t="str">
        <f>VLOOKUP($H481,GCP!$A:$H,7,0)</f>
        <v>김도균</v>
      </c>
      <c r="J481" s="209" t="str">
        <f>VLOOKUP($H481,GCP!$A:$H,8,0)</f>
        <v>김도균</v>
      </c>
      <c r="K481" s="186" t="s">
        <v>29</v>
      </c>
      <c r="L481" s="210"/>
      <c r="M481" s="211"/>
      <c r="N481" s="212"/>
      <c r="O481" s="212"/>
      <c r="P481" s="212"/>
      <c r="Q481" s="212">
        <v>256977.01901900599</v>
      </c>
      <c r="R481" s="212">
        <v>132833</v>
      </c>
      <c r="S481" s="212">
        <v>497634</v>
      </c>
      <c r="T481" s="212">
        <v>803045</v>
      </c>
      <c r="U481" s="212">
        <v>342429</v>
      </c>
      <c r="V481" s="205">
        <v>12346</v>
      </c>
      <c r="W481" s="205">
        <f>ROUND(표9[[#This Row],[Apr 2026 (USD or KRW)]],0)</f>
        <v>0</v>
      </c>
      <c r="X481" s="212"/>
      <c r="Y481" s="206">
        <f>표9[[#This Row],[Apr 2027(KRW)]]-표9[[#This Row],[Mar 2026(KRW)]]</f>
        <v>-12346</v>
      </c>
      <c r="Z481" s="213">
        <f t="shared" si="7"/>
        <v>-1</v>
      </c>
      <c r="AA481" s="208">
        <f>VLOOKUP(표9[[#This Row],[Team]],표1[],3,0)</f>
        <v>1000</v>
      </c>
    </row>
    <row r="482" spans="1:27" s="8" customFormat="1" ht="15">
      <c r="A482" s="209" t="str">
        <f>VLOOKUP($H482,GCP!$A:$H,2,0)</f>
        <v>GCP</v>
      </c>
      <c r="B482" s="209" t="str">
        <f>VLOOKUP($H482,GCP!$A:$H,3,0)</f>
        <v>KRAFTON HQ</v>
      </c>
      <c r="C482" s="209" t="str">
        <f>VLOOKUP($H482,GCP!$A:$H,4,0)</f>
        <v>KRAFTON HQ</v>
      </c>
      <c r="D482" s="209" t="str">
        <f>VLOOKUP($H482,GCP!$A:$H,5,0)</f>
        <v>CEO's Office</v>
      </c>
      <c r="E482" s="209" t="str">
        <f>VLOOKUP($H482,GCP!$A:$H,6,0)</f>
        <v>OVERHEAD/OTHERS</v>
      </c>
      <c r="F482" s="202">
        <f>VLOOKUP(표9[[#This Row],[Team]],표1[[내역]:[코스트 센터]],2,0)</f>
        <v>100013</v>
      </c>
      <c r="G482" s="202" t="str">
        <f>VLOOKUP(표9[[#This Row],[Project]],표2[],2,0)</f>
        <v>I100099999</v>
      </c>
      <c r="H482" s="209" t="s">
        <v>438</v>
      </c>
      <c r="I482" s="209" t="str">
        <f>VLOOKUP($H482,GCP!$A:$H,7,0)</f>
        <v>양윤상</v>
      </c>
      <c r="J482" s="209" t="str">
        <f>VLOOKUP($H482,GCP!$A:$H,8,0)</f>
        <v>양윤상</v>
      </c>
      <c r="K482" s="186"/>
      <c r="L482" s="210"/>
      <c r="M482" s="211"/>
      <c r="N482" s="212"/>
      <c r="O482" s="212"/>
      <c r="P482" s="212">
        <v>1458</v>
      </c>
      <c r="Q482" s="212">
        <v>3154.01712890831</v>
      </c>
      <c r="R482" s="212">
        <v>1297</v>
      </c>
      <c r="S482" s="212">
        <v>621</v>
      </c>
      <c r="T482" s="212">
        <v>1797</v>
      </c>
      <c r="U482" s="212">
        <v>0</v>
      </c>
      <c r="V482" s="205">
        <v>4389</v>
      </c>
      <c r="W482" s="205">
        <f>ROUND(표9[[#This Row],[Apr 2026 (USD or KRW)]],0)</f>
        <v>0</v>
      </c>
      <c r="X482" s="212"/>
      <c r="Y482" s="206">
        <f>표9[[#This Row],[Apr 2027(KRW)]]-표9[[#This Row],[Mar 2026(KRW)]]</f>
        <v>-4389</v>
      </c>
      <c r="Z482" s="213">
        <f t="shared" si="7"/>
        <v>-1</v>
      </c>
      <c r="AA482" s="208">
        <f>VLOOKUP(표9[[#This Row],[Team]],표1[],3,0)</f>
        <v>1000</v>
      </c>
    </row>
    <row r="483" spans="1:27" s="8" customFormat="1" ht="15">
      <c r="A483" s="209" t="str">
        <f>VLOOKUP($H483,GCP!$A:$H,2,0)</f>
        <v>GCP</v>
      </c>
      <c r="B483" s="209" t="str">
        <f>VLOOKUP($H483,GCP!$A:$H,3,0)</f>
        <v>KRAFTON HQ</v>
      </c>
      <c r="C483" s="209" t="str">
        <f>VLOOKUP($H483,GCP!$A:$H,4,0)</f>
        <v>PUBG STUDIO</v>
      </c>
      <c r="D483" s="209" t="str">
        <f>VLOOKUP($H483,GCP!$A:$H,5,0)</f>
        <v>Platform Management Team</v>
      </c>
      <c r="E483" s="209" t="str">
        <f>VLOOKUP($H483,GCP!$A:$H,6,0)</f>
        <v>OVERHEAD/OTHERS</v>
      </c>
      <c r="F483" s="202">
        <f>VLOOKUP(표9[[#This Row],[Team]],표1[[내역]:[코스트 센터]],2,0)</f>
        <v>101323</v>
      </c>
      <c r="G483" s="202" t="str">
        <f>VLOOKUP(표9[[#This Row],[Project]],표2[],2,0)</f>
        <v>I100099999</v>
      </c>
      <c r="H483" s="209" t="s">
        <v>439</v>
      </c>
      <c r="I483" s="209" t="str">
        <f>VLOOKUP($H483,GCP!$A:$H,7,0)</f>
        <v>신지호</v>
      </c>
      <c r="J483" s="209" t="str">
        <f>VLOOKUP($H483,GCP!$A:$H,8,0)</f>
        <v>신지호</v>
      </c>
      <c r="K483" s="186" t="s">
        <v>29</v>
      </c>
      <c r="L483" s="210">
        <v>597110</v>
      </c>
      <c r="M483" s="211">
        <v>577154</v>
      </c>
      <c r="N483" s="212">
        <v>585781</v>
      </c>
      <c r="O483" s="212">
        <f>ROUND(VLOOKUP(H483,'[1]Summary_BY Project'!$C:$N,12,0),0)</f>
        <v>633921</v>
      </c>
      <c r="P483" s="212">
        <v>675058</v>
      </c>
      <c r="Q483" s="212">
        <v>561954.89277823002</v>
      </c>
      <c r="R483" s="212">
        <v>377672</v>
      </c>
      <c r="S483" s="212">
        <v>288672</v>
      </c>
      <c r="T483" s="212">
        <v>666609</v>
      </c>
      <c r="U483" s="212">
        <v>24</v>
      </c>
      <c r="V483" s="205">
        <v>292087</v>
      </c>
      <c r="W483" s="205">
        <f>ROUND(표9[[#This Row],[Apr 2026 (USD or KRW)]],0)</f>
        <v>0</v>
      </c>
      <c r="X483" s="212"/>
      <c r="Y483" s="206">
        <f>표9[[#This Row],[Apr 2027(KRW)]]-표9[[#This Row],[Mar 2026(KRW)]]</f>
        <v>-292087</v>
      </c>
      <c r="Z483" s="213">
        <f t="shared" si="7"/>
        <v>-1</v>
      </c>
      <c r="AA483" s="208">
        <f>VLOOKUP(표9[[#This Row],[Team]],표1[],3,0)</f>
        <v>1000</v>
      </c>
    </row>
    <row r="484" spans="1:27" s="8" customFormat="1" ht="15">
      <c r="A484" s="209" t="str">
        <f>VLOOKUP($H484,GCP!$A:$H,2,0)</f>
        <v>GCP</v>
      </c>
      <c r="B484" s="209" t="str">
        <f>VLOOKUP($H484,GCP!$A:$H,3,0)</f>
        <v>KRAFTON HQ</v>
      </c>
      <c r="C484" s="209" t="str">
        <f>VLOOKUP($H484,GCP!$A:$H,4,0)</f>
        <v>KRAFTON HQ</v>
      </c>
      <c r="D484" s="209" t="str">
        <f>VLOOKUP($H484,GCP!$A:$H,5,0)</f>
        <v>India Publishing Dept._HQ</v>
      </c>
      <c r="E484" s="209" t="str">
        <f>VLOOKUP($H484,GCP!$A:$H,6,0)</f>
        <v>OVERHEAD/OTHERS</v>
      </c>
      <c r="F484" s="202">
        <f>VLOOKUP(표9[[#This Row],[Team]],표1[[내역]:[코스트 센터]],2,0)</f>
        <v>100522</v>
      </c>
      <c r="G484" s="202" t="str">
        <f>VLOOKUP(표9[[#This Row],[Project]],표2[],2,0)</f>
        <v>I100099999</v>
      </c>
      <c r="H484" s="209" t="s">
        <v>440</v>
      </c>
      <c r="I484" s="209" t="str">
        <f>VLOOKUP($H484,GCP!$A:$H,7,0)</f>
        <v>신지호</v>
      </c>
      <c r="J484" s="209" t="str">
        <f>VLOOKUP($H484,GCP!$A:$H,8,0)</f>
        <v>신지호</v>
      </c>
      <c r="K484" s="186" t="s">
        <v>29</v>
      </c>
      <c r="L484" s="210">
        <v>115026</v>
      </c>
      <c r="M484" s="211">
        <v>89031</v>
      </c>
      <c r="N484" s="212">
        <v>107740</v>
      </c>
      <c r="O484" s="212">
        <f>ROUND(VLOOKUP(H484,'[1]Summary_BY Project'!$C:$N,12,0),0)</f>
        <v>138610</v>
      </c>
      <c r="P484" s="212">
        <v>853144</v>
      </c>
      <c r="Q484" s="212">
        <v>154577.72614118399</v>
      </c>
      <c r="R484" s="212">
        <v>37216</v>
      </c>
      <c r="S484" s="212">
        <v>75675</v>
      </c>
      <c r="T484" s="212">
        <v>28767</v>
      </c>
      <c r="U484" s="212">
        <v>1</v>
      </c>
      <c r="V484" s="205">
        <v>19157</v>
      </c>
      <c r="W484" s="205">
        <f>ROUND(표9[[#This Row],[Apr 2026 (USD or KRW)]],0)</f>
        <v>0</v>
      </c>
      <c r="X484" s="212"/>
      <c r="Y484" s="206">
        <f>표9[[#This Row],[Apr 2027(KRW)]]-표9[[#This Row],[Mar 2026(KRW)]]</f>
        <v>-19157</v>
      </c>
      <c r="Z484" s="213">
        <f t="shared" si="7"/>
        <v>-1</v>
      </c>
      <c r="AA484" s="208">
        <f>VLOOKUP(표9[[#This Row],[Team]],표1[],3,0)</f>
        <v>1000</v>
      </c>
    </row>
    <row r="485" spans="1:27" s="8" customFormat="1" ht="15">
      <c r="A485" s="209" t="str">
        <f>VLOOKUP($H485,GCP!$A:$H,2,0)</f>
        <v>GCP</v>
      </c>
      <c r="B485" s="209" t="str">
        <f>VLOOKUP($H485,GCP!$A:$H,3,0)</f>
        <v>KRAFTON HQ</v>
      </c>
      <c r="C485" s="209" t="str">
        <f>VLOOKUP($H485,GCP!$A:$H,4,0)</f>
        <v>KRAFTON HQ</v>
      </c>
      <c r="D485" s="209" t="str">
        <f>VLOOKUP($H485,GCP!$A:$H,5,0)</f>
        <v>AI Applied Research Dept.</v>
      </c>
      <c r="E485" s="209" t="str">
        <f>VLOOKUP($H485,GCP!$A:$H,6,0)</f>
        <v>DEEP LEARNING</v>
      </c>
      <c r="F485" s="202">
        <f>VLOOKUP(표9[[#This Row],[Team]],표1[[내역]:[코스트 센터]],2,0)</f>
        <v>101315</v>
      </c>
      <c r="G485" s="202" t="str">
        <f>VLOOKUP(표9[[#This Row],[Project]],표2[],2,0)</f>
        <v>I100090817</v>
      </c>
      <c r="H485" s="209" t="s">
        <v>441</v>
      </c>
      <c r="I485" s="209" t="str">
        <f>VLOOKUP($H485,GCP!$A:$H,7,0)</f>
        <v>김재욱</v>
      </c>
      <c r="J485" s="209" t="str">
        <f>VLOOKUP($H485,GCP!$A:$H,8,0)</f>
        <v>김재욱</v>
      </c>
      <c r="K485" s="186"/>
      <c r="L485" s="210"/>
      <c r="M485" s="211"/>
      <c r="N485" s="212"/>
      <c r="O485" s="212"/>
      <c r="P485" s="212">
        <v>4455803</v>
      </c>
      <c r="Q485" s="212">
        <v>1593198.4656271101</v>
      </c>
      <c r="R485" s="212">
        <v>2110719</v>
      </c>
      <c r="S485" s="212">
        <v>13277874</v>
      </c>
      <c r="T485" s="212">
        <v>9986820</v>
      </c>
      <c r="U485" s="212">
        <v>20057738</v>
      </c>
      <c r="V485" s="205">
        <v>132552275</v>
      </c>
      <c r="W485" s="205">
        <f>ROUND(표9[[#This Row],[Apr 2026 (USD or KRW)]],0)</f>
        <v>0</v>
      </c>
      <c r="X485" s="212"/>
      <c r="Y485" s="206">
        <f>표9[[#This Row],[Apr 2027(KRW)]]-표9[[#This Row],[Mar 2026(KRW)]]</f>
        <v>-132552275</v>
      </c>
      <c r="Z485" s="213">
        <f t="shared" si="7"/>
        <v>-1</v>
      </c>
      <c r="AA485" s="208">
        <f>VLOOKUP(표9[[#This Row],[Team]],표1[],3,0)</f>
        <v>1000</v>
      </c>
    </row>
    <row r="486" spans="1:27" s="8" customFormat="1" ht="15">
      <c r="A486" s="209" t="str">
        <f>VLOOKUP($H486,GCP!$A:$H,2,0)</f>
        <v>GCP</v>
      </c>
      <c r="B486" s="209" t="str">
        <f>VLOOKUP($H486,GCP!$A:$H,3,0)</f>
        <v>KRAFTON HQ</v>
      </c>
      <c r="C486" s="209" t="str">
        <f>VLOOKUP($H486,GCP!$A:$H,4,0)</f>
        <v>5minLab</v>
      </c>
      <c r="D486" s="209">
        <f>VLOOKUP($H486,GCP!$A:$H,5,0)</f>
        <v>0</v>
      </c>
      <c r="E486" s="209" t="str">
        <f>VLOOKUP($H486,GCP!$A:$H,6,0)</f>
        <v>OVERHEAD/OTHERS</v>
      </c>
      <c r="F486" s="202" t="e">
        <f>VLOOKUP(표9[[#This Row],[Team]],표1[[내역]:[코스트 센터]],2,0)</f>
        <v>#N/A</v>
      </c>
      <c r="G486" s="202" t="str">
        <f>VLOOKUP(표9[[#This Row],[Project]],표2[],2,0)</f>
        <v>I100099999</v>
      </c>
      <c r="H486" s="246" t="s">
        <v>442</v>
      </c>
      <c r="I486" s="209">
        <f>VLOOKUP($H486,GCP!$A:$H,7,0)</f>
        <v>0</v>
      </c>
      <c r="J486" s="209">
        <f>VLOOKUP($H486,GCP!$A:$H,8,0)</f>
        <v>0</v>
      </c>
      <c r="K486" s="186"/>
      <c r="L486" s="210"/>
      <c r="M486" s="211"/>
      <c r="N486" s="212"/>
      <c r="O486" s="212">
        <f>ROUND(VLOOKUP(H486,'[1]Summary_BY Project'!$C:$N,12,0),0)</f>
        <v>3601</v>
      </c>
      <c r="P486" s="212">
        <v>4989</v>
      </c>
      <c r="Q486" s="212">
        <v>8927.6190289999904</v>
      </c>
      <c r="R486" s="212">
        <v>53039</v>
      </c>
      <c r="S486" s="212">
        <v>166144</v>
      </c>
      <c r="T486" s="212">
        <v>115509</v>
      </c>
      <c r="U486" s="212">
        <v>128823</v>
      </c>
      <c r="V486" s="205">
        <v>410938</v>
      </c>
      <c r="W486" s="205">
        <f>ROUND(표9[[#This Row],[Apr 2026 (USD or KRW)]],0)</f>
        <v>0</v>
      </c>
      <c r="X486" s="212"/>
      <c r="Y486" s="206">
        <f>표9[[#This Row],[Apr 2027(KRW)]]-표9[[#This Row],[Mar 2026(KRW)]]</f>
        <v>-410938</v>
      </c>
      <c r="Z486" s="213">
        <f t="shared" si="7"/>
        <v>-1</v>
      </c>
      <c r="AA486" s="208" t="e">
        <f>VLOOKUP(표9[[#This Row],[Team]],표1[],3,0)</f>
        <v>#N/A</v>
      </c>
    </row>
    <row r="487" spans="1:27" s="8" customFormat="1" ht="15">
      <c r="A487" s="209" t="str">
        <f>VLOOKUP($H487,GCP!$A:$H,2,0)</f>
        <v>GCP</v>
      </c>
      <c r="B487" s="209" t="str">
        <f>VLOOKUP($H487,GCP!$A:$H,3,0)</f>
        <v>KRAFTON HQ</v>
      </c>
      <c r="C487" s="209" t="str">
        <f>VLOOKUP($H487,GCP!$A:$H,4,0)</f>
        <v>KRAFTON HQ</v>
      </c>
      <c r="D487" s="209" t="str">
        <f>VLOOKUP($H487,GCP!$A:$H,5,0)</f>
        <v>BGMI DevOps Team</v>
      </c>
      <c r="E487" s="209" t="str">
        <f>VLOOKUP($H487,GCP!$A:$H,6,0)</f>
        <v>(2022)BATTLEGROUNDS_MOBILE_IN</v>
      </c>
      <c r="F487" s="202">
        <f>VLOOKUP(표9[[#This Row],[Team]],표1[[내역]:[코스트 센터]],2,0)</f>
        <v>100553</v>
      </c>
      <c r="G487" s="202" t="str">
        <f>VLOOKUP(표9[[#This Row],[Project]],표2[],2,0)</f>
        <v>P100130012</v>
      </c>
      <c r="H487" s="246" t="s">
        <v>443</v>
      </c>
      <c r="I487" s="209" t="str">
        <f>VLOOKUP($H487,GCP!$A:$H,7,0)</f>
        <v>송창규</v>
      </c>
      <c r="J487" s="209" t="str">
        <f>VLOOKUP($H487,GCP!$A:$H,8,0)</f>
        <v>이준</v>
      </c>
      <c r="K487" s="186"/>
      <c r="L487" s="210"/>
      <c r="M487" s="211"/>
      <c r="N487" s="212"/>
      <c r="O487" s="212"/>
      <c r="P487" s="212"/>
      <c r="Q487" s="212"/>
      <c r="R487" s="212"/>
      <c r="S487" s="212"/>
      <c r="T487" s="212">
        <v>149</v>
      </c>
      <c r="U487" s="212">
        <v>0</v>
      </c>
      <c r="V487" s="205">
        <v>5</v>
      </c>
      <c r="W487" s="205">
        <f>ROUND(표9[[#This Row],[Apr 2026 (USD or KRW)]],0)</f>
        <v>0</v>
      </c>
      <c r="X487" s="212"/>
      <c r="Y487" s="206">
        <f>표9[[#This Row],[Apr 2027(KRW)]]-표9[[#This Row],[Mar 2026(KRW)]]</f>
        <v>-5</v>
      </c>
      <c r="Z487" s="213">
        <f t="shared" si="7"/>
        <v>-1</v>
      </c>
      <c r="AA487" s="208">
        <f>VLOOKUP(표9[[#This Row],[Team]],표1[],3,0)</f>
        <v>1000</v>
      </c>
    </row>
    <row r="488" spans="1:27" s="8" customFormat="1" ht="15">
      <c r="A488" s="209" t="str">
        <f>VLOOKUP($H488,GCP!$A:$H,2,0)</f>
        <v>GCP</v>
      </c>
      <c r="B488" s="209" t="str">
        <f>VLOOKUP($H488,GCP!$A:$H,3,0)</f>
        <v>KRAFTON HQ</v>
      </c>
      <c r="C488" s="209" t="str">
        <f>VLOOKUP($H488,GCP!$A:$H,4,0)</f>
        <v>KRAFTON HQ</v>
      </c>
      <c r="D488" s="209" t="str">
        <f>VLOOKUP($H488,GCP!$A:$H,5,0)</f>
        <v>BGMI DevOps Team</v>
      </c>
      <c r="E488" s="209" t="str">
        <f>VLOOKUP($H488,GCP!$A:$H,6,0)</f>
        <v>(2022)BATTLEGROUNDS_MOBILE_IN</v>
      </c>
      <c r="F488" s="202">
        <f>VLOOKUP(표9[[#This Row],[Team]],표1[[내역]:[코스트 센터]],2,0)</f>
        <v>100553</v>
      </c>
      <c r="G488" s="202" t="str">
        <f>VLOOKUP(표9[[#This Row],[Project]],표2[],2,0)</f>
        <v>P100130012</v>
      </c>
      <c r="H488" s="209" t="s">
        <v>444</v>
      </c>
      <c r="I488" s="209" t="str">
        <f>VLOOKUP($H488,GCP!$A:$H,7,0)</f>
        <v>조동현</v>
      </c>
      <c r="J488" s="209" t="str">
        <f>VLOOKUP($H488,GCP!$A:$H,8,0)</f>
        <v>조동현</v>
      </c>
      <c r="K488" s="186"/>
      <c r="L488" s="210"/>
      <c r="M488" s="211"/>
      <c r="N488" s="212"/>
      <c r="O488" s="212"/>
      <c r="P488" s="212"/>
      <c r="Q488" s="212"/>
      <c r="R488" s="212"/>
      <c r="S488" s="212"/>
      <c r="T488" s="212">
        <v>0</v>
      </c>
      <c r="U488" s="212">
        <v>2684</v>
      </c>
      <c r="V488" s="205">
        <v>661267602</v>
      </c>
      <c r="W488" s="205">
        <f>ROUND(표9[[#This Row],[Apr 2026 (USD or KRW)]],0)</f>
        <v>0</v>
      </c>
      <c r="X488" s="212"/>
      <c r="Y488" s="206">
        <f>표9[[#This Row],[Apr 2027(KRW)]]-표9[[#This Row],[Mar 2026(KRW)]]</f>
        <v>-661267602</v>
      </c>
      <c r="Z488" s="213">
        <f t="shared" si="7"/>
        <v>-1</v>
      </c>
      <c r="AA488" s="208">
        <f>VLOOKUP(표9[[#This Row],[Team]],표1[],3,0)</f>
        <v>1000</v>
      </c>
    </row>
    <row r="489" spans="1:27" s="8" customFormat="1" ht="15">
      <c r="A489" s="209" t="str">
        <f>VLOOKUP($H489,GCP!$A:$H,2,0)</f>
        <v>GCP</v>
      </c>
      <c r="B489" s="209" t="str">
        <f>VLOOKUP($H489,GCP!$A:$H,3,0)</f>
        <v>KRAFTON HQ</v>
      </c>
      <c r="C489" s="209" t="str">
        <f>VLOOKUP($H489,GCP!$A:$H,4,0)</f>
        <v>KRAFTON HQ</v>
      </c>
      <c r="D489" s="209" t="str">
        <f>VLOOKUP($H489,GCP!$A:$H,5,0)</f>
        <v>Foundation Model Research Team</v>
      </c>
      <c r="E489" s="209" t="str">
        <f>VLOOKUP($H489,GCP!$A:$H,6,0)</f>
        <v>OVERHEAD/OTHERS</v>
      </c>
      <c r="F489" s="202" t="e">
        <f>VLOOKUP(표9[[#This Row],[Team]],표1[[내역]:[코스트 센터]],2,0)</f>
        <v>#N/A</v>
      </c>
      <c r="G489" s="202" t="str">
        <f>VLOOKUP(표9[[#This Row],[Project]],표2[],2,0)</f>
        <v>I100099999</v>
      </c>
      <c r="H489" s="246" t="s">
        <v>445</v>
      </c>
      <c r="I489" s="209" t="str">
        <f>VLOOKUP($H489,GCP!$A:$H,7,0)</f>
        <v>최민석</v>
      </c>
      <c r="J489" s="209" t="str">
        <f>VLOOKUP($H489,GCP!$A:$H,8,0)</f>
        <v>최민석</v>
      </c>
      <c r="K489" s="186"/>
      <c r="L489" s="210"/>
      <c r="M489" s="211"/>
      <c r="N489" s="212"/>
      <c r="O489" s="212"/>
      <c r="P489" s="212"/>
      <c r="Q489" s="212"/>
      <c r="R489" s="212"/>
      <c r="S489" s="212"/>
      <c r="T489" s="212">
        <v>5242</v>
      </c>
      <c r="U489" s="212">
        <v>0</v>
      </c>
      <c r="V489" s="205">
        <v>0</v>
      </c>
      <c r="W489" s="205">
        <f>ROUND(표9[[#This Row],[Apr 2026 (USD or KRW)]],0)</f>
        <v>0</v>
      </c>
      <c r="X489" s="212"/>
      <c r="Y489" s="206">
        <f>표9[[#This Row],[Apr 2027(KRW)]]-표9[[#This Row],[Mar 2026(KRW)]]</f>
        <v>0</v>
      </c>
      <c r="Z489" s="213" t="str">
        <f t="shared" si="7"/>
        <v/>
      </c>
      <c r="AA489" s="208" t="e">
        <f>VLOOKUP(표9[[#This Row],[Team]],표1[],3,0)</f>
        <v>#N/A</v>
      </c>
    </row>
    <row r="490" spans="1:27" s="8" customFormat="1" ht="15">
      <c r="A490" s="209" t="str">
        <f>VLOOKUP($H490,GCP!$A:$H,2,0)</f>
        <v>GCP</v>
      </c>
      <c r="B490" s="209" t="str">
        <f>VLOOKUP($H490,GCP!$A:$H,3,0)</f>
        <v>KRAFTON HQ</v>
      </c>
      <c r="C490" s="209" t="str">
        <f>VLOOKUP($H490,GCP!$A:$H,4,0)</f>
        <v>KRAFTON HQ</v>
      </c>
      <c r="D490" s="209" t="str">
        <f>VLOOKUP($H490,GCP!$A:$H,5,0)</f>
        <v>IT Dept.</v>
      </c>
      <c r="E490" s="209" t="str">
        <f>VLOOKUP($H490,GCP!$A:$H,6,0)</f>
        <v>OVERHEAD/OTHERS</v>
      </c>
      <c r="F490" s="202">
        <f>VLOOKUP(표9[[#This Row],[Team]],표1[[내역]:[코스트 센터]],2,0)</f>
        <v>100036</v>
      </c>
      <c r="G490" s="202" t="str">
        <f>VLOOKUP(표9[[#This Row],[Project]],표2[],2,0)</f>
        <v>I100099999</v>
      </c>
      <c r="H490" s="209" t="s">
        <v>446</v>
      </c>
      <c r="I490" s="209" t="str">
        <f>VLOOKUP($H490,GCP!$A:$H,7,0)</f>
        <v>백용원</v>
      </c>
      <c r="J490" s="209" t="str">
        <f>VLOOKUP($H490,GCP!$A:$H,8,0)</f>
        <v>백용원</v>
      </c>
      <c r="K490" s="186" t="s">
        <v>29</v>
      </c>
      <c r="L490" s="210">
        <v>0</v>
      </c>
      <c r="M490" s="211">
        <v>0</v>
      </c>
      <c r="N490" s="212">
        <v>1</v>
      </c>
      <c r="O490" s="212">
        <f>ROUND(VLOOKUP(H490,'[1]Summary_BY Project'!$C:$N,12,0),0)+2</f>
        <v>3</v>
      </c>
      <c r="P490" s="212">
        <v>5</v>
      </c>
      <c r="Q490" s="212">
        <v>0.89483713234818996</v>
      </c>
      <c r="R490" s="212">
        <v>1</v>
      </c>
      <c r="S490" s="212">
        <v>0</v>
      </c>
      <c r="T490" s="212">
        <v>1</v>
      </c>
      <c r="U490" s="212">
        <v>0</v>
      </c>
      <c r="V490" s="205">
        <v>1</v>
      </c>
      <c r="W490" s="205">
        <f>ROUND(표9[[#This Row],[Apr 2026 (USD or KRW)]],0)</f>
        <v>0</v>
      </c>
      <c r="X490" s="212"/>
      <c r="Y490" s="206">
        <f>표9[[#This Row],[Apr 2027(KRW)]]-표9[[#This Row],[Mar 2026(KRW)]]</f>
        <v>-1</v>
      </c>
      <c r="Z490" s="213">
        <f t="shared" si="7"/>
        <v>-1</v>
      </c>
      <c r="AA490" s="208">
        <f>VLOOKUP(표9[[#This Row],[Team]],표1[],3,0)</f>
        <v>1000</v>
      </c>
    </row>
    <row r="491" spans="1:27" s="8" customFormat="1" ht="15">
      <c r="A491" s="209" t="str">
        <f>VLOOKUP($H491,GCP!$A:$H,2,0)</f>
        <v>GCP</v>
      </c>
      <c r="B491" s="209" t="str">
        <f>VLOOKUP($H491,GCP!$A:$H,3,0)</f>
        <v>KRAFTON HQ</v>
      </c>
      <c r="C491" s="209" t="str">
        <f>VLOOKUP($H491,GCP!$A:$H,4,0)</f>
        <v>KRAFTON HQ</v>
      </c>
      <c r="D491" s="209" t="str">
        <f>VLOOKUP($H491,GCP!$A:$H,5,0)</f>
        <v>DevData Engineering Team</v>
      </c>
      <c r="E491" s="209" t="str">
        <f>VLOOKUP($H491,GCP!$A:$H,6,0)</f>
        <v>OVERHEAD/OTHERS</v>
      </c>
      <c r="F491" s="202">
        <f>VLOOKUP(표9[[#This Row],[Team]],표1[[내역]:[코스트 센터]],2,0)</f>
        <v>101721</v>
      </c>
      <c r="G491" s="202" t="str">
        <f>VLOOKUP(표9[[#This Row],[Project]],표2[],2,0)</f>
        <v>I100099999</v>
      </c>
      <c r="H491" s="209" t="s">
        <v>447</v>
      </c>
      <c r="I491" s="209" t="str">
        <f>VLOOKUP($H491,GCP!$A:$H,7,0)</f>
        <v>이동준</v>
      </c>
      <c r="J491" s="209" t="str">
        <f>VLOOKUP($H491,GCP!$A:$H,8,0)</f>
        <v>이동준</v>
      </c>
      <c r="K491" s="186" t="s">
        <v>29</v>
      </c>
      <c r="L491" s="210">
        <v>27793</v>
      </c>
      <c r="M491" s="211">
        <v>30630</v>
      </c>
      <c r="N491" s="212">
        <v>34099</v>
      </c>
      <c r="O491" s="212">
        <f>ROUND(VLOOKUP(H491,'[1]Summary_BY Project'!$C:$N,12,0),0)</f>
        <v>34149</v>
      </c>
      <c r="P491" s="212">
        <v>32510</v>
      </c>
      <c r="Q491" s="212">
        <v>33139.061804389799</v>
      </c>
      <c r="R491" s="212">
        <v>21327</v>
      </c>
      <c r="S491" s="212">
        <v>34679</v>
      </c>
      <c r="T491" s="212">
        <v>33942</v>
      </c>
      <c r="U491" s="212">
        <v>1</v>
      </c>
      <c r="V491" s="205">
        <v>29173</v>
      </c>
      <c r="W491" s="205">
        <f>ROUND(표9[[#This Row],[Apr 2026 (USD or KRW)]],0)</f>
        <v>0</v>
      </c>
      <c r="X491" s="212"/>
      <c r="Y491" s="206">
        <f>표9[[#This Row],[Apr 2027(KRW)]]-표9[[#This Row],[Mar 2026(KRW)]]</f>
        <v>-29173</v>
      </c>
      <c r="Z491" s="213">
        <f t="shared" si="7"/>
        <v>-1</v>
      </c>
      <c r="AA491" s="208">
        <f>VLOOKUP(표9[[#This Row],[Team]],표1[],3,0)</f>
        <v>1000</v>
      </c>
    </row>
    <row r="492" spans="1:27" s="8" customFormat="1" ht="15">
      <c r="A492" s="209" t="str">
        <f>VLOOKUP($H492,GCP!$A:$H,2,0)</f>
        <v>GCP</v>
      </c>
      <c r="B492" s="209" t="str">
        <f>VLOOKUP($H492,GCP!$A:$H,3,0)</f>
        <v>KRAFTON HQ</v>
      </c>
      <c r="C492" s="209" t="str">
        <f>VLOOKUP($H492,GCP!$A:$H,4,0)</f>
        <v>KRAFTON HQ</v>
      </c>
      <c r="D492" s="209" t="str">
        <f>VLOOKUP($H492,GCP!$A:$H,5,0)</f>
        <v>Publishing Launchpad Team</v>
      </c>
      <c r="E492" s="209" t="str">
        <f>VLOOKUP($H492,GCP!$A:$H,6,0)</f>
        <v>Dinkum</v>
      </c>
      <c r="F492" s="202">
        <f>VLOOKUP(표9[[#This Row],[Team]],표1[[내역]:[코스트 센터]],2,0)</f>
        <v>105027</v>
      </c>
      <c r="G492" s="202" t="str">
        <f>VLOOKUP(표9[[#This Row],[Project]],표2[],2,0)</f>
        <v>P100010105</v>
      </c>
      <c r="H492" s="246" t="s">
        <v>448</v>
      </c>
      <c r="I492" s="209" t="str">
        <f>VLOOKUP($H492,GCP!$A:$H,7,0)</f>
        <v>라샛별</v>
      </c>
      <c r="J492" s="209" t="str">
        <f>VLOOKUP($H492,GCP!$A:$H,8,0)</f>
        <v>라샛별</v>
      </c>
      <c r="K492" s="186"/>
      <c r="L492" s="210"/>
      <c r="M492" s="211"/>
      <c r="N492" s="212"/>
      <c r="O492" s="212"/>
      <c r="P492" s="212"/>
      <c r="Q492" s="212"/>
      <c r="R492" s="212">
        <v>276</v>
      </c>
      <c r="S492" s="212">
        <v>542</v>
      </c>
      <c r="T492" s="212">
        <v>586</v>
      </c>
      <c r="U492" s="212">
        <v>0</v>
      </c>
      <c r="V492" s="205">
        <v>404</v>
      </c>
      <c r="W492" s="205">
        <f>ROUND(표9[[#This Row],[Apr 2026 (USD or KRW)]],0)</f>
        <v>0</v>
      </c>
      <c r="X492" s="212"/>
      <c r="Y492" s="206">
        <f>표9[[#This Row],[Apr 2027(KRW)]]-표9[[#This Row],[Mar 2026(KRW)]]</f>
        <v>-404</v>
      </c>
      <c r="Z492" s="213">
        <f t="shared" si="7"/>
        <v>-1</v>
      </c>
      <c r="AA492" s="208">
        <f>VLOOKUP(표9[[#This Row],[Team]],표1[],3,0)</f>
        <v>1000</v>
      </c>
    </row>
    <row r="493" spans="1:27" s="8" customFormat="1" ht="15">
      <c r="A493" s="209" t="str">
        <f>VLOOKUP($H493,GCP!$A:$H,2,0)</f>
        <v>GCP</v>
      </c>
      <c r="B493" s="209" t="str">
        <f>VLOOKUP($H493,GCP!$A:$H,3,0)</f>
        <v>KRAFTON HQ</v>
      </c>
      <c r="C493" s="209" t="str">
        <f>VLOOKUP($H493,GCP!$A:$H,4,0)</f>
        <v>KRAFTON HQ</v>
      </c>
      <c r="D493" s="209" t="str">
        <f>VLOOKUP($H493,GCP!$A:$H,5,0)</f>
        <v>AI Agent Research Team</v>
      </c>
      <c r="E493" s="209" t="str">
        <f>VLOOKUP($H493,GCP!$A:$H,6,0)</f>
        <v>OVERHEAD/OTHERS</v>
      </c>
      <c r="F493" s="202">
        <f>VLOOKUP(표9[[#This Row],[Team]],표1[[내역]:[코스트 센터]],2,0)</f>
        <v>101216</v>
      </c>
      <c r="G493" s="202" t="str">
        <f>VLOOKUP(표9[[#This Row],[Project]],표2[],2,0)</f>
        <v>I100099999</v>
      </c>
      <c r="H493" s="209" t="s">
        <v>449</v>
      </c>
      <c r="I493" s="209" t="str">
        <f>VLOOKUP($H493,GCP!$A:$H,7,0)</f>
        <v>정기영</v>
      </c>
      <c r="J493" s="209" t="str">
        <f>VLOOKUP($H493,GCP!$A:$H,8,0)</f>
        <v>정기영</v>
      </c>
      <c r="K493" s="186"/>
      <c r="L493" s="210">
        <v>0</v>
      </c>
      <c r="M493" s="211">
        <v>590995</v>
      </c>
      <c r="N493" s="212">
        <v>1252175</v>
      </c>
      <c r="O493" s="212">
        <f>ROUND(VLOOKUP(H493,'[1]Summary_BY Project'!$C:$N,12,0),0)</f>
        <v>323491</v>
      </c>
      <c r="P493" s="212">
        <v>1089308</v>
      </c>
      <c r="Q493" s="212">
        <v>11158017.7894341</v>
      </c>
      <c r="R493" s="212">
        <v>33938240</v>
      </c>
      <c r="S493" s="212">
        <v>25843796</v>
      </c>
      <c r="T493" s="212">
        <v>25271242</v>
      </c>
      <c r="U493" s="212">
        <v>140820309</v>
      </c>
      <c r="V493" s="205">
        <v>104997164</v>
      </c>
      <c r="W493" s="205">
        <f>ROUND(표9[[#This Row],[Apr 2026 (USD or KRW)]],0)</f>
        <v>0</v>
      </c>
      <c r="X493" s="212"/>
      <c r="Y493" s="206">
        <f>표9[[#This Row],[Apr 2027(KRW)]]-표9[[#This Row],[Mar 2026(KRW)]]</f>
        <v>-104997164</v>
      </c>
      <c r="Z493" s="213">
        <f t="shared" si="7"/>
        <v>-1</v>
      </c>
      <c r="AA493" s="208">
        <f>VLOOKUP(표9[[#This Row],[Team]],표1[],3,0)</f>
        <v>1000</v>
      </c>
    </row>
    <row r="494" spans="1:27" s="8" customFormat="1" ht="15">
      <c r="A494" s="209" t="str">
        <f>VLOOKUP($H494,GCP!$A:$H,2,0)</f>
        <v>GCP</v>
      </c>
      <c r="B494" s="209" t="str">
        <f>VLOOKUP($H494,GCP!$A:$H,3,0)</f>
        <v>KRAFTON HQ</v>
      </c>
      <c r="C494" s="209" t="str">
        <f>VLOOKUP($H494,GCP!$A:$H,4,0)</f>
        <v>KRAFTON HQ</v>
      </c>
      <c r="D494" s="209" t="str">
        <f>VLOOKUP($H494,GCP!$A:$H,5,0)</f>
        <v>AI Applied Research Dept.</v>
      </c>
      <c r="E494" s="209" t="str">
        <f>VLOOKUP($H494,GCP!$A:$H,6,0)</f>
        <v>DEEP LEARNING</v>
      </c>
      <c r="F494" s="202">
        <f>VLOOKUP(표9[[#This Row],[Team]],표1[[내역]:[코스트 센터]],2,0)</f>
        <v>101315</v>
      </c>
      <c r="G494" s="202" t="str">
        <f>VLOOKUP(표9[[#This Row],[Project]],표2[],2,0)</f>
        <v>I100090817</v>
      </c>
      <c r="H494" s="209" t="s">
        <v>450</v>
      </c>
      <c r="I494" s="209" t="str">
        <f>VLOOKUP($H494,GCP!$A:$H,7,0)</f>
        <v>이혁</v>
      </c>
      <c r="J494" s="209" t="str">
        <f>VLOOKUP($H494,GCP!$A:$H,8,0)</f>
        <v>이혁</v>
      </c>
      <c r="K494" s="186" t="s">
        <v>29</v>
      </c>
      <c r="L494" s="210"/>
      <c r="M494" s="211"/>
      <c r="N494" s="212"/>
      <c r="O494" s="212">
        <f>ROUND(VLOOKUP(H494,'[1]Summary_BY Project'!$C:$N,12,0),0)</f>
        <v>254078</v>
      </c>
      <c r="P494" s="212">
        <v>1223654</v>
      </c>
      <c r="Q494" s="212">
        <v>86725.247026520898</v>
      </c>
      <c r="R494" s="212">
        <v>3809775</v>
      </c>
      <c r="S494" s="212">
        <v>13264435</v>
      </c>
      <c r="T494" s="212">
        <v>19018304</v>
      </c>
      <c r="U494" s="212">
        <v>580238</v>
      </c>
      <c r="V494" s="205">
        <v>11747021</v>
      </c>
      <c r="W494" s="205">
        <f>ROUND(표9[[#This Row],[Apr 2026 (USD or KRW)]],0)</f>
        <v>0</v>
      </c>
      <c r="X494" s="212"/>
      <c r="Y494" s="206">
        <f>표9[[#This Row],[Apr 2027(KRW)]]-표9[[#This Row],[Mar 2026(KRW)]]</f>
        <v>-11747021</v>
      </c>
      <c r="Z494" s="213">
        <f t="shared" si="7"/>
        <v>-1</v>
      </c>
      <c r="AA494" s="208">
        <f>VLOOKUP(표9[[#This Row],[Team]],표1[],3,0)</f>
        <v>1000</v>
      </c>
    </row>
    <row r="495" spans="1:27" s="8" customFormat="1" ht="15">
      <c r="A495" s="209" t="str">
        <f>VLOOKUP($H495,GCP!$A:$H,2,0)</f>
        <v>GCP</v>
      </c>
      <c r="B495" s="209" t="str">
        <f>VLOOKUP($H495,GCP!$A:$H,3,0)</f>
        <v>KRAFTON HQ</v>
      </c>
      <c r="C495" s="209" t="str">
        <f>VLOOKUP($H495,GCP!$A:$H,4,0)</f>
        <v>KRAFTON HQ</v>
      </c>
      <c r="D495" s="209" t="str">
        <f>VLOOKUP($H495,GCP!$A:$H,5,0)</f>
        <v>Robot Learning Team</v>
      </c>
      <c r="E495" s="209" t="str">
        <f>VLOOKUP($H495,GCP!$A:$H,6,0)</f>
        <v>DEEP LEARNING</v>
      </c>
      <c r="F495" s="202">
        <f>VLOOKUP(표9[[#This Row],[Team]],표1[[내역]:[코스트 센터]],2,0)</f>
        <v>101968</v>
      </c>
      <c r="G495" s="202" t="str">
        <f>VLOOKUP(표9[[#This Row],[Project]],표2[],2,0)</f>
        <v>I100090817</v>
      </c>
      <c r="H495" s="246" t="s">
        <v>451</v>
      </c>
      <c r="I495" s="209" t="str">
        <f>VLOOKUP($H495,GCP!$A:$H,7,0)</f>
        <v>이영도</v>
      </c>
      <c r="J495" s="209" t="str">
        <f>VLOOKUP($H495,GCP!$A:$H,8,0)</f>
        <v>이영도</v>
      </c>
      <c r="K495" s="186"/>
      <c r="L495" s="210"/>
      <c r="M495" s="211"/>
      <c r="N495" s="212"/>
      <c r="O495" s="212"/>
      <c r="P495" s="212"/>
      <c r="Q495" s="212">
        <v>880.76671506899697</v>
      </c>
      <c r="R495" s="212">
        <v>7</v>
      </c>
      <c r="S495" s="212">
        <v>1403</v>
      </c>
      <c r="T495" s="212">
        <v>18724</v>
      </c>
      <c r="U495" s="212">
        <v>2</v>
      </c>
      <c r="V495" s="205">
        <v>42239</v>
      </c>
      <c r="W495" s="205">
        <f>ROUND(표9[[#This Row],[Apr 2026 (USD or KRW)]],0)</f>
        <v>0</v>
      </c>
      <c r="X495" s="212"/>
      <c r="Y495" s="206">
        <f>표9[[#This Row],[Apr 2027(KRW)]]-표9[[#This Row],[Mar 2026(KRW)]]</f>
        <v>-42239</v>
      </c>
      <c r="Z495" s="213">
        <f t="shared" si="7"/>
        <v>-1</v>
      </c>
      <c r="AA495" s="208">
        <f>VLOOKUP(표9[[#This Row],[Team]],표1[],3,0)</f>
        <v>1000</v>
      </c>
    </row>
    <row r="496" spans="1:27" s="8" customFormat="1" ht="15">
      <c r="A496" s="209" t="str">
        <f>VLOOKUP($H496,GCP!$A:$H,2,0)</f>
        <v>GCP</v>
      </c>
      <c r="B496" s="209" t="str">
        <f>VLOOKUP($H496,GCP!$A:$H,3,0)</f>
        <v>KRAFTON HQ</v>
      </c>
      <c r="C496" s="209" t="str">
        <f>VLOOKUP($H496,GCP!$A:$H,4,0)</f>
        <v>KRAFTON HQ</v>
      </c>
      <c r="D496" s="209" t="str">
        <f>VLOOKUP($H496,GCP!$A:$H,5,0)</f>
        <v>ML Sys &amp; Ops Team</v>
      </c>
      <c r="E496" s="209" t="str">
        <f>VLOOKUP($H496,GCP!$A:$H,6,0)</f>
        <v>OVERHEAD/OTHERS</v>
      </c>
      <c r="F496" s="202">
        <f>VLOOKUP(표9[[#This Row],[Team]],표1[[내역]:[코스트 센터]],2,0)</f>
        <v>100810</v>
      </c>
      <c r="G496" s="202" t="str">
        <f>VLOOKUP(표9[[#This Row],[Project]],표2[],2,0)</f>
        <v>I100099999</v>
      </c>
      <c r="H496" s="209" t="s">
        <v>452</v>
      </c>
      <c r="I496" s="209" t="str">
        <f>VLOOKUP($H496,GCP!$A:$H,7,0)</f>
        <v>김동원</v>
      </c>
      <c r="J496" s="209" t="str">
        <f>VLOOKUP($H496,GCP!$A:$H,8,0)</f>
        <v>김동원</v>
      </c>
      <c r="K496" s="186" t="s">
        <v>29</v>
      </c>
      <c r="L496" s="210"/>
      <c r="M496" s="211"/>
      <c r="N496" s="212"/>
      <c r="O496" s="212">
        <f>ROUND(VLOOKUP(H496,'[1]Summary_BY Project'!$C:$N,12,0),0)</f>
        <v>3834504</v>
      </c>
      <c r="P496" s="212">
        <v>898636</v>
      </c>
      <c r="Q496" s="212">
        <v>713354.59964023496</v>
      </c>
      <c r="R496" s="212">
        <v>693356</v>
      </c>
      <c r="S496" s="212">
        <v>1673187</v>
      </c>
      <c r="T496" s="212">
        <v>9840181</v>
      </c>
      <c r="U496" s="212">
        <v>8828663</v>
      </c>
      <c r="V496" s="205">
        <v>32381</v>
      </c>
      <c r="W496" s="205">
        <f>ROUND(표9[[#This Row],[Apr 2026 (USD or KRW)]],0)</f>
        <v>0</v>
      </c>
      <c r="X496" s="212"/>
      <c r="Y496" s="206">
        <f>표9[[#This Row],[Apr 2027(KRW)]]-표9[[#This Row],[Mar 2026(KRW)]]</f>
        <v>-32381</v>
      </c>
      <c r="Z496" s="213">
        <f t="shared" si="7"/>
        <v>-1</v>
      </c>
      <c r="AA496" s="208">
        <f>VLOOKUP(표9[[#This Row],[Team]],표1[],3,0)</f>
        <v>1000</v>
      </c>
    </row>
    <row r="497" spans="1:27" s="8" customFormat="1" ht="15">
      <c r="A497" s="209" t="str">
        <f>VLOOKUP($H497,GCP!$A:$H,2,0)</f>
        <v>GCP</v>
      </c>
      <c r="B497" s="209" t="str">
        <f>VLOOKUP($H497,GCP!$A:$H,3,0)</f>
        <v>KRAFTON HQ</v>
      </c>
      <c r="C497" s="209" t="str">
        <f>VLOOKUP($H497,GCP!$A:$H,4,0)</f>
        <v>KRAFTON HQ</v>
      </c>
      <c r="D497" s="209" t="str">
        <f>VLOOKUP($H497,GCP!$A:$H,5,0)</f>
        <v>India Publishing Dept._HQ</v>
      </c>
      <c r="E497" s="209" t="str">
        <f>VLOOKUP($H497,GCP!$A:$H,6,0)</f>
        <v>OVERHEAD/OTHERS</v>
      </c>
      <c r="F497" s="202">
        <f>VLOOKUP(표9[[#This Row],[Team]],표1[[내역]:[코스트 센터]],2,0)</f>
        <v>100522</v>
      </c>
      <c r="G497" s="202" t="str">
        <f>VLOOKUP(표9[[#This Row],[Project]],표2[],2,0)</f>
        <v>I100099999</v>
      </c>
      <c r="H497" s="209" t="s">
        <v>453</v>
      </c>
      <c r="I497" s="209" t="str">
        <f>VLOOKUP($H497,GCP!$A:$H,7,0)</f>
        <v>신지호</v>
      </c>
      <c r="J497" s="209" t="str">
        <f>VLOOKUP($H497,GCP!$A:$H,8,0)</f>
        <v>신지호</v>
      </c>
      <c r="K497" s="186" t="s">
        <v>29</v>
      </c>
      <c r="L497" s="210">
        <v>0</v>
      </c>
      <c r="M497" s="211">
        <v>7</v>
      </c>
      <c r="N497" s="212">
        <v>0</v>
      </c>
      <c r="O497" s="212">
        <f>ROUND(VLOOKUP(H497,'[1]Summary_BY Project'!$C:$N,12,0),0)</f>
        <v>18</v>
      </c>
      <c r="P497" s="212">
        <v>62</v>
      </c>
      <c r="Q497" s="212">
        <v>59.340001743129903</v>
      </c>
      <c r="R497" s="212">
        <v>8</v>
      </c>
      <c r="S497" s="212">
        <v>0</v>
      </c>
      <c r="T497" s="212">
        <v>0</v>
      </c>
      <c r="U497" s="212">
        <v>0</v>
      </c>
      <c r="V497" s="205">
        <v>0</v>
      </c>
      <c r="W497" s="205">
        <f>ROUND(표9[[#This Row],[Apr 2026 (USD or KRW)]],0)</f>
        <v>0</v>
      </c>
      <c r="X497" s="212"/>
      <c r="Y497" s="206">
        <f>표9[[#This Row],[Apr 2027(KRW)]]-표9[[#This Row],[Mar 2026(KRW)]]</f>
        <v>0</v>
      </c>
      <c r="Z497" s="213" t="str">
        <f t="shared" si="7"/>
        <v/>
      </c>
      <c r="AA497" s="208">
        <f>VLOOKUP(표9[[#This Row],[Team]],표1[],3,0)</f>
        <v>1000</v>
      </c>
    </row>
    <row r="498" spans="1:27" s="8" customFormat="1" ht="15">
      <c r="A498" s="209" t="str">
        <f>VLOOKUP($H498,GCP!$A:$H,2,0)</f>
        <v>GCP</v>
      </c>
      <c r="B498" s="209" t="str">
        <f>VLOOKUP($H498,GCP!$A:$H,3,0)</f>
        <v>KRAFTON HQ</v>
      </c>
      <c r="C498" s="209" t="str">
        <f>VLOOKUP($H498,GCP!$A:$H,4,0)</f>
        <v>KRAFTON HQ</v>
      </c>
      <c r="D498" s="209" t="str">
        <f>VLOOKUP($H498,GCP!$A:$H,5,0)</f>
        <v>Risk Management Team</v>
      </c>
      <c r="E498" s="209" t="str">
        <f>VLOOKUP($H498,GCP!$A:$H,6,0)</f>
        <v>OVERHEAD/OTHERS</v>
      </c>
      <c r="F498" s="202">
        <f>VLOOKUP(표9[[#This Row],[Team]],표1[[내역]:[코스트 센터]],2,0)</f>
        <v>100079</v>
      </c>
      <c r="G498" s="202" t="str">
        <f>VLOOKUP(표9[[#This Row],[Project]],표2[],2,0)</f>
        <v>I100099999</v>
      </c>
      <c r="H498" s="246" t="s">
        <v>454</v>
      </c>
      <c r="I498" s="209" t="str">
        <f>VLOOKUP($H498,GCP!$A:$H,7,0)</f>
        <v>최솔지</v>
      </c>
      <c r="J498" s="209" t="str">
        <f>VLOOKUP($H498,GCP!$A:$H,8,0)</f>
        <v>최솔지</v>
      </c>
      <c r="K498" s="186"/>
      <c r="L498" s="210"/>
      <c r="M498" s="211"/>
      <c r="N498" s="212"/>
      <c r="O498" s="212"/>
      <c r="P498" s="212"/>
      <c r="Q498" s="212"/>
      <c r="R498" s="212">
        <v>333</v>
      </c>
      <c r="S498" s="212">
        <v>0</v>
      </c>
      <c r="T498" s="212">
        <v>0</v>
      </c>
      <c r="U498" s="212">
        <v>0</v>
      </c>
      <c r="V498" s="205">
        <v>0</v>
      </c>
      <c r="W498" s="205">
        <f>ROUND(표9[[#This Row],[Apr 2026 (USD or KRW)]],0)</f>
        <v>0</v>
      </c>
      <c r="X498" s="212"/>
      <c r="Y498" s="206">
        <f>표9[[#This Row],[Apr 2027(KRW)]]-표9[[#This Row],[Mar 2026(KRW)]]</f>
        <v>0</v>
      </c>
      <c r="Z498" s="213" t="str">
        <f t="shared" si="7"/>
        <v/>
      </c>
      <c r="AA498" s="208">
        <f>VLOOKUP(표9[[#This Row],[Team]],표1[],3,0)</f>
        <v>1000</v>
      </c>
    </row>
    <row r="499" spans="1:27" s="8" customFormat="1" ht="15">
      <c r="A499" s="209" t="str">
        <f>VLOOKUP($H499,GCP!$A:$H,2,0)</f>
        <v>GCP</v>
      </c>
      <c r="B499" s="209" t="str">
        <f>VLOOKUP($H499,GCP!$A:$H,3,0)</f>
        <v>KRAFTON HQ</v>
      </c>
      <c r="C499" s="209" t="str">
        <f>VLOOKUP($H499,GCP!$A:$H,4,0)</f>
        <v>KRAFTON HQ</v>
      </c>
      <c r="D499" s="209" t="str">
        <f>VLOOKUP($H499,GCP!$A:$H,5,0)</f>
        <v>Financial Planning Team</v>
      </c>
      <c r="E499" s="209" t="str">
        <f>VLOOKUP($H499,GCP!$A:$H,6,0)</f>
        <v>OVERHEAD/OTHERS</v>
      </c>
      <c r="F499" s="202">
        <f>VLOOKUP(표9[[#This Row],[Team]],표1[[내역]:[코스트 센터]],2,0)</f>
        <v>100085</v>
      </c>
      <c r="G499" s="202" t="str">
        <f>VLOOKUP(표9[[#This Row],[Project]],표2[],2,0)</f>
        <v>I100099999</v>
      </c>
      <c r="H499" s="246" t="s">
        <v>455</v>
      </c>
      <c r="I499" s="209" t="str">
        <f>VLOOKUP($H499,GCP!$A:$H,7,0)</f>
        <v>신현미</v>
      </c>
      <c r="J499" s="209" t="str">
        <f>VLOOKUP($H499,GCP!$A:$H,8,0)</f>
        <v>신현미</v>
      </c>
      <c r="K499" s="186"/>
      <c r="L499" s="210"/>
      <c r="M499" s="211"/>
      <c r="N499" s="212"/>
      <c r="O499" s="212"/>
      <c r="P499" s="212"/>
      <c r="Q499" s="212"/>
      <c r="R499" s="212">
        <v>1</v>
      </c>
      <c r="S499" s="212">
        <v>28</v>
      </c>
      <c r="T499" s="212">
        <v>7</v>
      </c>
      <c r="U499" s="212">
        <v>0</v>
      </c>
      <c r="V499" s="205">
        <v>108</v>
      </c>
      <c r="W499" s="205">
        <f>ROUND(표9[[#This Row],[Apr 2026 (USD or KRW)]],0)</f>
        <v>0</v>
      </c>
      <c r="X499" s="212"/>
      <c r="Y499" s="206">
        <f>표9[[#This Row],[Apr 2027(KRW)]]-표9[[#This Row],[Mar 2026(KRW)]]</f>
        <v>-108</v>
      </c>
      <c r="Z499" s="213">
        <f t="shared" si="7"/>
        <v>-1</v>
      </c>
      <c r="AA499" s="208">
        <f>VLOOKUP(표9[[#This Row],[Team]],표1[],3,0)</f>
        <v>1000</v>
      </c>
    </row>
    <row r="500" spans="1:27" s="8" customFormat="1" ht="15">
      <c r="A500" s="209" t="str">
        <f>VLOOKUP($H500,GCP!$A:$H,2,0)</f>
        <v>GCP</v>
      </c>
      <c r="B500" s="209" t="str">
        <f>VLOOKUP($H500,GCP!$A:$H,3,0)</f>
        <v>KRAFTON HQ</v>
      </c>
      <c r="C500" s="209" t="str">
        <f>VLOOKUP($H500,GCP!$A:$H,4,0)</f>
        <v>KRAFTON HQ</v>
      </c>
      <c r="D500" s="209" t="str">
        <f>VLOOKUP($H500,GCP!$A:$H,5,0)</f>
        <v>AI Model Research Dept.</v>
      </c>
      <c r="E500" s="209" t="str">
        <f>VLOOKUP($H500,GCP!$A:$H,6,0)</f>
        <v>OVERHEAD/OTHERS</v>
      </c>
      <c r="F500" s="202">
        <f>VLOOKUP(표9[[#This Row],[Team]],표1[[내역]:[코스트 센터]],2,0)</f>
        <v>101316</v>
      </c>
      <c r="G500" s="202" t="str">
        <f>VLOOKUP(표9[[#This Row],[Project]],표2[],2,0)</f>
        <v>I100099999</v>
      </c>
      <c r="H500" s="209" t="s">
        <v>456</v>
      </c>
      <c r="I500" s="209" t="str">
        <f>VLOOKUP($H500,GCP!$A:$H,7,0)</f>
        <v>박동민</v>
      </c>
      <c r="J500" s="209" t="str">
        <f>VLOOKUP($H500,GCP!$A:$H,8,0)</f>
        <v>박동민</v>
      </c>
      <c r="K500" s="186"/>
      <c r="L500" s="210">
        <v>2907699</v>
      </c>
      <c r="M500" s="211">
        <v>584876</v>
      </c>
      <c r="N500" s="212">
        <v>85482</v>
      </c>
      <c r="O500" s="212">
        <f>ROUND(VLOOKUP(H500,'[1]Summary_BY Project'!$C:$N,12,0),0)</f>
        <v>527489</v>
      </c>
      <c r="P500" s="212">
        <v>1284729</v>
      </c>
      <c r="Q500" s="212">
        <v>222180.384419571</v>
      </c>
      <c r="R500" s="212">
        <v>1552534</v>
      </c>
      <c r="S500" s="212">
        <v>917512</v>
      </c>
      <c r="T500" s="212">
        <v>718592</v>
      </c>
      <c r="U500" s="212">
        <v>3</v>
      </c>
      <c r="V500" s="205">
        <v>2053</v>
      </c>
      <c r="W500" s="205">
        <f>ROUND(표9[[#This Row],[Apr 2026 (USD or KRW)]],0)</f>
        <v>0</v>
      </c>
      <c r="X500" s="212"/>
      <c r="Y500" s="206">
        <f>표9[[#This Row],[Apr 2027(KRW)]]-표9[[#This Row],[Mar 2026(KRW)]]</f>
        <v>-2053</v>
      </c>
      <c r="Z500" s="213">
        <f t="shared" si="7"/>
        <v>-1</v>
      </c>
      <c r="AA500" s="208">
        <f>VLOOKUP(표9[[#This Row],[Team]],표1[],3,0)</f>
        <v>1000</v>
      </c>
    </row>
    <row r="501" spans="1:27" s="8" customFormat="1" ht="15">
      <c r="A501" s="209" t="str">
        <f>VLOOKUP($H501,GCP!$A:$H,2,0)</f>
        <v>GCP</v>
      </c>
      <c r="B501" s="209" t="str">
        <f>VLOOKUP($H501,GCP!$A:$H,3,0)</f>
        <v>KRAFTON HQ</v>
      </c>
      <c r="C501" s="209" t="str">
        <f>VLOOKUP($H501,GCP!$A:$H,4,0)</f>
        <v>KRAFTON HQ</v>
      </c>
      <c r="D501" s="209" t="str">
        <f>VLOOKUP($H501,GCP!$A:$H,5,0)</f>
        <v>India Publishing Dept._HQ</v>
      </c>
      <c r="E501" s="209" t="str">
        <f>VLOOKUP($H501,GCP!$A:$H,6,0)</f>
        <v>OVERHEAD/OTHERS</v>
      </c>
      <c r="F501" s="202">
        <f>VLOOKUP(표9[[#This Row],[Team]],표1[[내역]:[코스트 센터]],2,0)</f>
        <v>100522</v>
      </c>
      <c r="G501" s="202" t="str">
        <f>VLOOKUP(표9[[#This Row],[Project]],표2[],2,0)</f>
        <v>I100099999</v>
      </c>
      <c r="H501" s="209" t="s">
        <v>457</v>
      </c>
      <c r="I501" s="209" t="str">
        <f>VLOOKUP($H501,GCP!$A:$H,7,0)</f>
        <v>신지호</v>
      </c>
      <c r="J501" s="209" t="str">
        <f>VLOOKUP($H501,GCP!$A:$H,8,0)</f>
        <v>신지호</v>
      </c>
      <c r="K501" s="186" t="s">
        <v>29</v>
      </c>
      <c r="L501" s="210">
        <v>327988</v>
      </c>
      <c r="M501" s="211">
        <v>354012</v>
      </c>
      <c r="N501" s="212">
        <v>404616</v>
      </c>
      <c r="O501" s="212">
        <f>ROUND(VLOOKUP(H501,'[1]Summary_BY Project'!$C:$N,12,0),0)</f>
        <v>400684</v>
      </c>
      <c r="P501" s="212">
        <v>376377</v>
      </c>
      <c r="Q501" s="212">
        <v>391111.87868487299</v>
      </c>
      <c r="R501" s="212">
        <v>247273</v>
      </c>
      <c r="S501" s="212">
        <v>409143</v>
      </c>
      <c r="T501" s="212">
        <v>402782</v>
      </c>
      <c r="U501" s="212">
        <v>16</v>
      </c>
      <c r="V501" s="205">
        <v>285679</v>
      </c>
      <c r="W501" s="205">
        <f>ROUND(표9[[#This Row],[Apr 2026 (USD or KRW)]],0)</f>
        <v>0</v>
      </c>
      <c r="X501" s="212"/>
      <c r="Y501" s="206">
        <f>표9[[#This Row],[Apr 2027(KRW)]]-표9[[#This Row],[Mar 2026(KRW)]]</f>
        <v>-285679</v>
      </c>
      <c r="Z501" s="213">
        <f t="shared" si="7"/>
        <v>-1</v>
      </c>
      <c r="AA501" s="208">
        <f>VLOOKUP(표9[[#This Row],[Team]],표1[],3,0)</f>
        <v>1000</v>
      </c>
    </row>
    <row r="502" spans="1:27" s="8" customFormat="1" ht="15">
      <c r="A502" s="229" t="str">
        <f>VLOOKUP($H502,GCP!$A:$H,2,0)</f>
        <v>GCP</v>
      </c>
      <c r="B502" s="229" t="str">
        <f>VLOOKUP($H502,GCP!$A:$H,3,0)</f>
        <v>KRAFTON HQ</v>
      </c>
      <c r="C502" s="229" t="str">
        <f>VLOOKUP($H502,GCP!$A:$H,4,0)</f>
        <v>KRAFTON HQ</v>
      </c>
      <c r="D502" s="229" t="str">
        <f>VLOOKUP($H502,GCP!$A:$H,5,0)</f>
        <v>IT Dept.</v>
      </c>
      <c r="E502" s="229" t="str">
        <f>VLOOKUP($H502,GCP!$A:$H,6,0)</f>
        <v>OVERHEAD/OTHERS</v>
      </c>
      <c r="F502" s="202">
        <f>VLOOKUP(표9[[#This Row],[Team]],표1[[내역]:[코스트 센터]],2,0)</f>
        <v>100036</v>
      </c>
      <c r="G502" s="202" t="str">
        <f>VLOOKUP(표9[[#This Row],[Project]],표2[],2,0)</f>
        <v>I100099999</v>
      </c>
      <c r="H502" s="229" t="s">
        <v>458</v>
      </c>
      <c r="I502" s="229" t="str">
        <f>VLOOKUP($H502,GCP!$A:$H,7,0)</f>
        <v>백용원</v>
      </c>
      <c r="J502" s="229" t="str">
        <f>VLOOKUP($H502,GCP!$A:$H,8,0)</f>
        <v>Deleted</v>
      </c>
      <c r="K502" s="186"/>
      <c r="L502" s="210"/>
      <c r="M502" s="211"/>
      <c r="N502" s="212"/>
      <c r="O502" s="212"/>
      <c r="P502" s="212"/>
      <c r="Q502" s="212"/>
      <c r="R502" s="212"/>
      <c r="S502" s="212">
        <v>0</v>
      </c>
      <c r="T502" s="212">
        <v>0</v>
      </c>
      <c r="U502" s="212">
        <v>0</v>
      </c>
      <c r="V502" s="205">
        <v>0</v>
      </c>
      <c r="W502" s="205">
        <f>ROUND(표9[[#This Row],[Apr 2026 (USD or KRW)]],0)</f>
        <v>0</v>
      </c>
      <c r="X502" s="212"/>
      <c r="Y502" s="206">
        <f>표9[[#This Row],[Apr 2027(KRW)]]-표9[[#This Row],[Mar 2026(KRW)]]</f>
        <v>0</v>
      </c>
      <c r="Z502" s="213" t="str">
        <f t="shared" si="7"/>
        <v/>
      </c>
      <c r="AA502" s="208">
        <f>VLOOKUP(표9[[#This Row],[Team]],표1[],3,0)</f>
        <v>1000</v>
      </c>
    </row>
    <row r="503" spans="1:27" s="8" customFormat="1" ht="15">
      <c r="A503" s="209" t="str">
        <f>VLOOKUP($H503,GCP!$A:$H,2,0)</f>
        <v>GCP</v>
      </c>
      <c r="B503" s="209" t="str">
        <f>VLOOKUP($H503,GCP!$A:$H,3,0)</f>
        <v>KRAFTON HQ</v>
      </c>
      <c r="C503" s="209" t="str">
        <f>VLOOKUP($H503,GCP!$A:$H,4,0)</f>
        <v>KRAFTON HQ</v>
      </c>
      <c r="D503" s="209" t="str">
        <f>VLOOKUP($H503,GCP!$A:$H,5,0)</f>
        <v>KDC Team</v>
      </c>
      <c r="E503" s="209" t="str">
        <f>VLOOKUP($H503,GCP!$A:$H,6,0)</f>
        <v>OVERHEAD/OTHERS</v>
      </c>
      <c r="F503" s="202">
        <f>VLOOKUP(표9[[#This Row],[Team]],표1[[내역]:[코스트 센터]],2,0)</f>
        <v>101050</v>
      </c>
      <c r="G503" s="202" t="str">
        <f>VLOOKUP(표9[[#This Row],[Project]],표2[],2,0)</f>
        <v>I100099999</v>
      </c>
      <c r="H503" s="246" t="s">
        <v>459</v>
      </c>
      <c r="I503" s="209" t="str">
        <f>VLOOKUP($H503,GCP!$A:$H,7,0)</f>
        <v>황영욱</v>
      </c>
      <c r="J503" s="209" t="str">
        <f>VLOOKUP($H503,GCP!$A:$H,8,0)</f>
        <v>황영욱</v>
      </c>
      <c r="K503" s="186"/>
      <c r="L503" s="210"/>
      <c r="M503" s="211"/>
      <c r="N503" s="212"/>
      <c r="O503" s="212"/>
      <c r="P503" s="212"/>
      <c r="Q503" s="212"/>
      <c r="R503" s="212"/>
      <c r="S503" s="212"/>
      <c r="T503" s="212">
        <v>146882</v>
      </c>
      <c r="U503" s="212">
        <v>2</v>
      </c>
      <c r="V503" s="205">
        <v>3705</v>
      </c>
      <c r="W503" s="205">
        <f>ROUND(표9[[#This Row],[Apr 2026 (USD or KRW)]],0)</f>
        <v>0</v>
      </c>
      <c r="X503" s="212"/>
      <c r="Y503" s="206">
        <f>표9[[#This Row],[Apr 2027(KRW)]]-표9[[#This Row],[Mar 2026(KRW)]]</f>
        <v>-3705</v>
      </c>
      <c r="Z503" s="213">
        <f t="shared" si="7"/>
        <v>-1</v>
      </c>
      <c r="AA503" s="208">
        <f>VLOOKUP(표9[[#This Row],[Team]],표1[],3,0)</f>
        <v>1000</v>
      </c>
    </row>
    <row r="504" spans="1:27" s="8" customFormat="1" ht="15">
      <c r="A504" s="209" t="str">
        <f>VLOOKUP($H504,GCP!$A:$H,2,0)</f>
        <v>GCP</v>
      </c>
      <c r="B504" s="209" t="str">
        <f>VLOOKUP($H504,GCP!$A:$H,3,0)</f>
        <v>KRAFTON HQ</v>
      </c>
      <c r="C504" s="209" t="str">
        <f>VLOOKUP($H504,GCP!$A:$H,4,0)</f>
        <v>PUBG STUDIO</v>
      </c>
      <c r="D504" s="209" t="str">
        <f>VLOOKUP($H504,GCP!$A:$H,5,0)</f>
        <v>MS DevOps Team</v>
      </c>
      <c r="E504" s="209" t="str">
        <f>VLOOKUP($H504,GCP!$A:$H,6,0)</f>
        <v>OVERHEAD/OTHERS</v>
      </c>
      <c r="F504" s="202">
        <f>VLOOKUP(표9[[#This Row],[Team]],표1[[내역]:[코스트 센터]],2,0)</f>
        <v>100774</v>
      </c>
      <c r="G504" s="202" t="str">
        <f>VLOOKUP(표9[[#This Row],[Project]],표2[],2,0)</f>
        <v>I100099999</v>
      </c>
      <c r="H504" s="246" t="s">
        <v>460</v>
      </c>
      <c r="I504" s="209" t="str">
        <f>VLOOKUP($H504,GCP!$A:$H,7,0)</f>
        <v>천궁원</v>
      </c>
      <c r="J504" s="209" t="str">
        <f>VLOOKUP($H504,GCP!$A:$H,8,0)</f>
        <v>배시은</v>
      </c>
      <c r="K504" s="186"/>
      <c r="L504" s="210"/>
      <c r="M504" s="211"/>
      <c r="N504" s="212"/>
      <c r="O504" s="212"/>
      <c r="P504" s="212"/>
      <c r="Q504" s="212">
        <v>178521.32227758801</v>
      </c>
      <c r="R504" s="212">
        <v>543362</v>
      </c>
      <c r="S504" s="212">
        <v>0</v>
      </c>
      <c r="T504" s="212">
        <v>0</v>
      </c>
      <c r="U504" s="212">
        <v>0</v>
      </c>
      <c r="V504" s="205">
        <v>0</v>
      </c>
      <c r="W504" s="205">
        <f>ROUND(표9[[#This Row],[Apr 2026 (USD or KRW)]],0)</f>
        <v>0</v>
      </c>
      <c r="X504" s="212"/>
      <c r="Y504" s="206">
        <f>표9[[#This Row],[Apr 2027(KRW)]]-표9[[#This Row],[Mar 2026(KRW)]]</f>
        <v>0</v>
      </c>
      <c r="Z504" s="213" t="str">
        <f t="shared" si="7"/>
        <v/>
      </c>
      <c r="AA504" s="208">
        <f>VLOOKUP(표9[[#This Row],[Team]],표1[],3,0)</f>
        <v>1000</v>
      </c>
    </row>
    <row r="505" spans="1:27" s="8" customFormat="1" ht="15">
      <c r="A505" s="209" t="str">
        <f>VLOOKUP($H505,GCP!$A:$H,2,0)</f>
        <v>GCP</v>
      </c>
      <c r="B505" s="209" t="str">
        <f>VLOOKUP($H505,GCP!$A:$H,3,0)</f>
        <v>KRAFTON HQ</v>
      </c>
      <c r="C505" s="209" t="str">
        <f>VLOOKUP($H505,GCP!$A:$H,4,0)</f>
        <v>KRAFTON HQ</v>
      </c>
      <c r="D505" s="209" t="str">
        <f>VLOOKUP($H505,GCP!$A:$H,5,0)</f>
        <v>KRAFTON HQ</v>
      </c>
      <c r="E505" s="209" t="str">
        <f>VLOOKUP($H505,GCP!$A:$H,6,0)</f>
        <v>OVERHEAD/OTHERS</v>
      </c>
      <c r="F505" s="202">
        <f>VLOOKUP(표9[[#This Row],[Team]],표1[[내역]:[코스트 센터]],2,0)</f>
        <v>100009</v>
      </c>
      <c r="G505" s="202" t="str">
        <f>VLOOKUP(표9[[#This Row],[Project]],표2[],2,0)</f>
        <v>I100099999</v>
      </c>
      <c r="H505" s="209" t="s">
        <v>461</v>
      </c>
      <c r="I505" s="209">
        <f>VLOOKUP($H505,GCP!$A:$H,7,0)</f>
        <v>0</v>
      </c>
      <c r="J505" s="209">
        <f>VLOOKUP($H505,GCP!$A:$H,8,0)</f>
        <v>0</v>
      </c>
      <c r="K505" s="186"/>
      <c r="L505" s="210"/>
      <c r="M505" s="211"/>
      <c r="N505" s="212"/>
      <c r="O505" s="212"/>
      <c r="P505" s="212"/>
      <c r="Q505" s="212"/>
      <c r="R505" s="212"/>
      <c r="S505" s="212"/>
      <c r="T505" s="212"/>
      <c r="U505" s="212">
        <v>1119</v>
      </c>
      <c r="V505" s="205">
        <v>8661502</v>
      </c>
      <c r="W505" s="205">
        <f>ROUND(표9[[#This Row],[Apr 2026 (USD or KRW)]],0)</f>
        <v>0</v>
      </c>
      <c r="X505" s="212"/>
      <c r="Y505" s="206">
        <f>표9[[#This Row],[Apr 2027(KRW)]]-표9[[#This Row],[Mar 2026(KRW)]]</f>
        <v>-8661502</v>
      </c>
      <c r="Z505" s="213">
        <f t="shared" si="7"/>
        <v>-1</v>
      </c>
      <c r="AA505" s="208">
        <f>VLOOKUP(표9[[#This Row],[Team]],표1[],3,0)</f>
        <v>1000</v>
      </c>
    </row>
    <row r="506" spans="1:27" s="8" customFormat="1" ht="15">
      <c r="A506" s="209" t="str">
        <f>VLOOKUP($H506,GCP!$A:$H,2,0)</f>
        <v>GCP</v>
      </c>
      <c r="B506" s="209" t="str">
        <f>VLOOKUP($H506,GCP!$A:$H,3,0)</f>
        <v>KRAFTON HQ</v>
      </c>
      <c r="C506" s="209" t="str">
        <f>VLOOKUP($H506,GCP!$A:$H,4,0)</f>
        <v>KRAFTON HQ</v>
      </c>
      <c r="D506" s="209" t="str">
        <f>VLOOKUP($H506,GCP!$A:$H,5,0)</f>
        <v>AI Transformation Team</v>
      </c>
      <c r="E506" s="209" t="str">
        <f>VLOOKUP($H506,GCP!$A:$H,6,0)</f>
        <v>OVERHEAD/OTHERS</v>
      </c>
      <c r="F506" s="202">
        <f>VLOOKUP(표9[[#This Row],[Team]],표1[[내역]:[코스트 센터]],2,0)</f>
        <v>101651</v>
      </c>
      <c r="G506" s="202" t="str">
        <f>VLOOKUP(표9[[#This Row],[Project]],표2[],2,0)</f>
        <v>I100099999</v>
      </c>
      <c r="H506" s="209" t="s">
        <v>462</v>
      </c>
      <c r="I506" s="209" t="str">
        <f>VLOOKUP($H506,GCP!$A:$H,6,0)</f>
        <v>OVERHEAD/OTHERS</v>
      </c>
      <c r="J506" s="209" t="str">
        <f>VLOOKUP($H506,GCP!$A:$H,8,0)</f>
        <v>김도균</v>
      </c>
      <c r="K506" s="242"/>
      <c r="L506" s="197"/>
      <c r="M506" s="199"/>
      <c r="N506" s="200"/>
      <c r="O506" s="200"/>
      <c r="P506" s="200"/>
      <c r="Q506" s="200"/>
      <c r="R506" s="200"/>
      <c r="S506" s="200"/>
      <c r="T506" s="200"/>
      <c r="U506" s="200">
        <v>0</v>
      </c>
      <c r="V506" s="205">
        <v>4761924</v>
      </c>
      <c r="W506" s="205">
        <f>ROUND(표9[[#This Row],[Apr 2026 (USD or KRW)]],0)</f>
        <v>0</v>
      </c>
      <c r="X506" s="212"/>
      <c r="Y506" s="253">
        <f>표9[[#This Row],[Apr 2027(KRW)]]-표9[[#This Row],[Mar 2026(KRW)]]</f>
        <v>-4761924</v>
      </c>
      <c r="Z506" s="240">
        <f t="shared" si="7"/>
        <v>-1</v>
      </c>
      <c r="AA506" s="231">
        <f>VLOOKUP(표9[[#This Row],[Team]],표1[],3,0)</f>
        <v>1000</v>
      </c>
    </row>
    <row r="507" spans="1:27" s="8" customFormat="1" ht="15">
      <c r="A507" s="209" t="str">
        <f>VLOOKUP($H507,GCP!$A:$H,2,0)</f>
        <v>GCP</v>
      </c>
      <c r="B507" s="209" t="str">
        <f>VLOOKUP($H507,GCP!$A:$H,3,0)</f>
        <v>KRAFTON HQ</v>
      </c>
      <c r="C507" s="209" t="str">
        <f>VLOOKUP($H507,GCP!$A:$H,4,0)</f>
        <v>KRAFTON HQ</v>
      </c>
      <c r="D507" s="209" t="str">
        <f>VLOOKUP($H507,GCP!$A:$H,5,0)</f>
        <v>KRAFTON HQ</v>
      </c>
      <c r="E507" s="209" t="str">
        <f>VLOOKUP($H507,GCP!$A:$H,6,0)</f>
        <v>OVERHEAD/OTHERS</v>
      </c>
      <c r="F507" s="202">
        <f>VLOOKUP(표9[[#This Row],[Team]],표1[[내역]:[코스트 센터]],2,0)</f>
        <v>100009</v>
      </c>
      <c r="G507" s="202" t="str">
        <f>VLOOKUP(표9[[#This Row],[Project]],표2[],2,0)</f>
        <v>I100099999</v>
      </c>
      <c r="H507" s="209" t="s">
        <v>463</v>
      </c>
      <c r="I507" s="209" t="str">
        <f>VLOOKUP($H507,GCP!$A:$H,7,0)</f>
        <v>정채원</v>
      </c>
      <c r="J507" s="209" t="str">
        <f>VLOOKUP($H507,GCP!$A:$H,8,0)</f>
        <v>사용완료</v>
      </c>
      <c r="K507" s="186"/>
      <c r="L507" s="210"/>
      <c r="M507" s="211"/>
      <c r="N507" s="212"/>
      <c r="O507" s="212"/>
      <c r="P507" s="212"/>
      <c r="Q507" s="212"/>
      <c r="R507" s="212"/>
      <c r="S507" s="212">
        <v>102601463</v>
      </c>
      <c r="T507" s="212">
        <v>0</v>
      </c>
      <c r="U507" s="212">
        <v>0</v>
      </c>
      <c r="V507" s="205">
        <v>0</v>
      </c>
      <c r="W507" s="205">
        <f>ROUND(표9[[#This Row],[Apr 2026 (USD or KRW)]],0)</f>
        <v>0</v>
      </c>
      <c r="X507" s="212"/>
      <c r="Y507" s="206">
        <f>표9[[#This Row],[Apr 2027(KRW)]]-표9[[#This Row],[Mar 2026(KRW)]]</f>
        <v>0</v>
      </c>
      <c r="Z507" s="213" t="str">
        <f t="shared" si="7"/>
        <v/>
      </c>
      <c r="AA507" s="208">
        <f>VLOOKUP(표9[[#This Row],[Team]],표1[],3,0)</f>
        <v>1000</v>
      </c>
    </row>
    <row r="508" spans="1:27" s="8" customFormat="1" ht="15">
      <c r="A508" s="209" t="str">
        <f>VLOOKUP($H508,GCP!$A:$H,2,0)</f>
        <v>GCP</v>
      </c>
      <c r="B508" s="209" t="str">
        <f>VLOOKUP($H508,GCP!$A:$H,3,0)</f>
        <v>KRAFTON HQ</v>
      </c>
      <c r="C508" s="209" t="str">
        <f>VLOOKUP($H508,GCP!$A:$H,4,0)</f>
        <v>KRAFTON HQ</v>
      </c>
      <c r="D508" s="209" t="str">
        <f>VLOOKUP($H508,GCP!$A:$H,5,0)</f>
        <v>Recruiting Operations Part</v>
      </c>
      <c r="E508" s="209" t="str">
        <f>VLOOKUP($H508,GCP!$A:$H,6,0)</f>
        <v>OVERHEAD/OTHERS</v>
      </c>
      <c r="F508" s="202">
        <f>VLOOKUP(표9[[#This Row],[Team]],표1[[내역]:[코스트 센터]],2,0)</f>
        <v>101802</v>
      </c>
      <c r="G508" s="202" t="str">
        <f>VLOOKUP(표9[[#This Row],[Project]],표2[],2,0)</f>
        <v>I100099999</v>
      </c>
      <c r="H508" s="246" t="s">
        <v>464</v>
      </c>
      <c r="I508" s="209" t="str">
        <f>VLOOKUP($H508,GCP!$A:$H,7,0)</f>
        <v>이태민</v>
      </c>
      <c r="J508" s="209" t="str">
        <f>VLOOKUP($H508,GCP!$A:$H,8,0)</f>
        <v>이태민</v>
      </c>
      <c r="K508" s="186"/>
      <c r="L508" s="210"/>
      <c r="M508" s="211"/>
      <c r="N508" s="212"/>
      <c r="O508" s="212"/>
      <c r="P508" s="212"/>
      <c r="Q508" s="212"/>
      <c r="R508" s="212"/>
      <c r="S508" s="212"/>
      <c r="T508" s="212">
        <v>4884</v>
      </c>
      <c r="U508" s="212">
        <v>1</v>
      </c>
      <c r="V508" s="205">
        <v>26867</v>
      </c>
      <c r="W508" s="205">
        <f>ROUND(표9[[#This Row],[Apr 2026 (USD or KRW)]],0)</f>
        <v>0</v>
      </c>
      <c r="X508" s="212"/>
      <c r="Y508" s="206">
        <f>표9[[#This Row],[Apr 2027(KRW)]]-표9[[#This Row],[Mar 2026(KRW)]]</f>
        <v>-26867</v>
      </c>
      <c r="Z508" s="213">
        <f t="shared" si="7"/>
        <v>-1</v>
      </c>
      <c r="AA508" s="208">
        <f>VLOOKUP(표9[[#This Row],[Team]],표1[],3,0)</f>
        <v>1000</v>
      </c>
    </row>
    <row r="509" spans="1:27" s="8" customFormat="1" ht="15">
      <c r="A509" s="209" t="str">
        <f>VLOOKUP($H509,GCP!$A:$H,2,0)</f>
        <v>GCP</v>
      </c>
      <c r="B509" s="209" t="str">
        <f>VLOOKUP($H509,GCP!$A:$H,3,0)</f>
        <v>KRAFTON HQ</v>
      </c>
      <c r="C509" s="209" t="str">
        <f>VLOOKUP($H509,GCP!$A:$H,4,0)</f>
        <v>KRAFTON HQ</v>
      </c>
      <c r="D509" s="209" t="str">
        <f>VLOOKUP($H509,GCP!$A:$H,5,0)</f>
        <v>KRAFTON HQ</v>
      </c>
      <c r="E509" s="209" t="str">
        <f>VLOOKUP($H509,GCP!$A:$H,6,0)</f>
        <v>OVERHEAD/OTHERS</v>
      </c>
      <c r="F509" s="202">
        <f>VLOOKUP(표9[[#This Row],[Team]],표1[[내역]:[코스트 센터]],2,0)</f>
        <v>100009</v>
      </c>
      <c r="G509" s="202" t="str">
        <f>VLOOKUP(표9[[#This Row],[Project]],표2[],2,0)</f>
        <v>I100099999</v>
      </c>
      <c r="H509" s="246" t="s">
        <v>465</v>
      </c>
      <c r="I509" s="209">
        <f>VLOOKUP($H509,GCP!$A:$H,7,0)</f>
        <v>0</v>
      </c>
      <c r="J509" s="209">
        <f>VLOOKUP($H509,GCP!$A:$H,8,0)</f>
        <v>0</v>
      </c>
      <c r="K509" s="186"/>
      <c r="L509" s="210"/>
      <c r="M509" s="211"/>
      <c r="N509" s="212"/>
      <c r="O509" s="212"/>
      <c r="P509" s="212"/>
      <c r="Q509" s="212"/>
      <c r="R509" s="212"/>
      <c r="S509" s="212"/>
      <c r="T509" s="212">
        <v>1</v>
      </c>
      <c r="U509" s="212">
        <v>5</v>
      </c>
      <c r="V509" s="205">
        <v>0</v>
      </c>
      <c r="W509" s="205">
        <f>ROUND(표9[[#This Row],[Apr 2026 (USD or KRW)]],0)</f>
        <v>0</v>
      </c>
      <c r="X509" s="212"/>
      <c r="Y509" s="206">
        <f>표9[[#This Row],[Apr 2027(KRW)]]-표9[[#This Row],[Mar 2026(KRW)]]</f>
        <v>0</v>
      </c>
      <c r="Z509" s="213" t="str">
        <f t="shared" si="7"/>
        <v/>
      </c>
      <c r="AA509" s="208">
        <f>VLOOKUP(표9[[#This Row],[Team]],표1[],3,0)</f>
        <v>1000</v>
      </c>
    </row>
    <row r="510" spans="1:27" s="8" customFormat="1" ht="15">
      <c r="A510" s="209" t="str">
        <f>VLOOKUP($H510,GCP!$A:$H,2,0)</f>
        <v>GCP</v>
      </c>
      <c r="B510" s="209" t="str">
        <f>VLOOKUP($H510,GCP!$A:$H,3,0)</f>
        <v>KRAFTON HQ</v>
      </c>
      <c r="C510" s="209" t="str">
        <f>VLOOKUP($H510,GCP!$A:$H,4,0)</f>
        <v>KRAFTON India</v>
      </c>
      <c r="D510" s="209">
        <f>VLOOKUP($H510,GCP!$A:$H,5,0)</f>
        <v>0</v>
      </c>
      <c r="E510" s="209" t="str">
        <f>VLOOKUP($H510,GCP!$A:$H,6,0)</f>
        <v>OVERHEAD/OTHERS</v>
      </c>
      <c r="F510" s="202" t="e">
        <f>VLOOKUP(표9[[#This Row],[Team]],표1[[내역]:[코스트 센터]],2,0)</f>
        <v>#N/A</v>
      </c>
      <c r="G510" s="202" t="str">
        <f>VLOOKUP(표9[[#This Row],[Project]],표2[],2,0)</f>
        <v>I100099999</v>
      </c>
      <c r="H510" s="246" t="s">
        <v>466</v>
      </c>
      <c r="I510" s="209" t="str">
        <f>VLOOKUP($H510,GCP!$A:$H,7,0)</f>
        <v>Abhishek Chavan</v>
      </c>
      <c r="J510" s="209" t="str">
        <f>VLOOKUP($H510,GCP!$A:$H,8,0)</f>
        <v>Abhishek Chavan</v>
      </c>
      <c r="K510" s="186"/>
      <c r="L510" s="210"/>
      <c r="M510" s="211"/>
      <c r="N510" s="212"/>
      <c r="O510" s="212"/>
      <c r="P510" s="212"/>
      <c r="Q510" s="212"/>
      <c r="R510" s="212"/>
      <c r="S510" s="212"/>
      <c r="T510" s="212">
        <v>881</v>
      </c>
      <c r="U510" s="212">
        <v>0</v>
      </c>
      <c r="V510" s="205">
        <v>68</v>
      </c>
      <c r="W510" s="205">
        <f>ROUND(표9[[#This Row],[Apr 2026 (USD or KRW)]],0)</f>
        <v>0</v>
      </c>
      <c r="X510" s="212"/>
      <c r="Y510" s="206">
        <f>표9[[#This Row],[Apr 2027(KRW)]]-표9[[#This Row],[Mar 2026(KRW)]]</f>
        <v>-68</v>
      </c>
      <c r="Z510" s="213">
        <f t="shared" si="7"/>
        <v>-1</v>
      </c>
      <c r="AA510" s="208" t="e">
        <f>VLOOKUP(표9[[#This Row],[Team]],표1[],3,0)</f>
        <v>#N/A</v>
      </c>
    </row>
    <row r="511" spans="1:27" s="8" customFormat="1" ht="15">
      <c r="A511" s="209" t="str">
        <f>VLOOKUP($H511,GCP!$A:$H,2,0)</f>
        <v>GCP</v>
      </c>
      <c r="B511" s="209" t="str">
        <f>VLOOKUP($H511,GCP!$A:$H,3,0)</f>
        <v>KRAFTON HQ</v>
      </c>
      <c r="C511" s="209" t="str">
        <f>VLOOKUP($H511,GCP!$A:$H,4,0)</f>
        <v>INZOI Studio</v>
      </c>
      <c r="D511" s="209" t="str">
        <f>VLOOKUP($H511,GCP!$A:$H,5,0)</f>
        <v>inZOI Server Team</v>
      </c>
      <c r="E511" s="209" t="str">
        <f>VLOOKUP($H511,GCP!$A:$H,6,0)</f>
        <v>INZOI</v>
      </c>
      <c r="F511" s="202" t="e">
        <f>VLOOKUP(표9[[#This Row],[Team]],표1[[내역]:[코스트 센터]],2,0)</f>
        <v>#N/A</v>
      </c>
      <c r="G511" s="202" t="str">
        <f>VLOOKUP(표9[[#This Row],[Project]],표2[],2,0)</f>
        <v>P100010055</v>
      </c>
      <c r="H511" s="209" t="s">
        <v>467</v>
      </c>
      <c r="I511" s="209" t="str">
        <f>VLOOKUP($H511,GCP!$A:$H,7,0)</f>
        <v>조재욱</v>
      </c>
      <c r="J511" s="209" t="str">
        <f>VLOOKUP($H511,GCP!$A:$H,8,0)</f>
        <v>조재욱</v>
      </c>
      <c r="K511" s="186"/>
      <c r="L511" s="210"/>
      <c r="M511" s="211"/>
      <c r="N511" s="212"/>
      <c r="O511" s="212"/>
      <c r="P511" s="212"/>
      <c r="Q511" s="212"/>
      <c r="R511" s="212">
        <v>21</v>
      </c>
      <c r="S511" s="212">
        <v>574</v>
      </c>
      <c r="T511" s="212">
        <v>1267</v>
      </c>
      <c r="U511" s="212">
        <v>0</v>
      </c>
      <c r="V511" s="205">
        <v>2051</v>
      </c>
      <c r="W511" s="205">
        <f>ROUND(표9[[#This Row],[Apr 2026 (USD or KRW)]],0)</f>
        <v>0</v>
      </c>
      <c r="X511" s="212"/>
      <c r="Y511" s="206">
        <f>표9[[#This Row],[Apr 2027(KRW)]]-표9[[#This Row],[Mar 2026(KRW)]]</f>
        <v>-2051</v>
      </c>
      <c r="Z511" s="213">
        <f t="shared" si="7"/>
        <v>-1</v>
      </c>
      <c r="AA511" s="208" t="e">
        <f>VLOOKUP(표9[[#This Row],[Team]],표1[],3,0)</f>
        <v>#N/A</v>
      </c>
    </row>
    <row r="512" spans="1:27" s="8" customFormat="1" ht="15">
      <c r="A512" s="209" t="str">
        <f>VLOOKUP($H512,GCP!$A:$H,2,0)</f>
        <v>GCP</v>
      </c>
      <c r="B512" s="209" t="str">
        <f>VLOOKUP($H512,GCP!$A:$H,3,0)</f>
        <v>KRAFTON HQ</v>
      </c>
      <c r="C512" s="209" t="str">
        <f>VLOOKUP($H512,GCP!$A:$H,4,0)</f>
        <v>INZOI Studio</v>
      </c>
      <c r="D512" s="209" t="str">
        <f>VLOOKUP($H512,GCP!$A:$H,5,0)</f>
        <v>inZOI Dev R&amp;D Team</v>
      </c>
      <c r="E512" s="209" t="str">
        <f>VLOOKUP($H512,GCP!$A:$H,6,0)</f>
        <v>INZOI</v>
      </c>
      <c r="F512" s="202">
        <f>VLOOKUP(표9[[#This Row],[Team]],표1[[내역]:[코스트 센터]],2,0)</f>
        <v>500034</v>
      </c>
      <c r="G512" s="202" t="str">
        <f>VLOOKUP(표9[[#This Row],[Project]],표2[],2,0)</f>
        <v>P100010055</v>
      </c>
      <c r="H512" s="209" t="s">
        <v>468</v>
      </c>
      <c r="I512" s="209" t="str">
        <f>VLOOKUP($H512,GCP!$A:$H,7,0)</f>
        <v>이상문</v>
      </c>
      <c r="J512" s="209" t="str">
        <f>VLOOKUP($H512,GCP!$A:$H,8,0)</f>
        <v>이상문</v>
      </c>
      <c r="K512" s="186"/>
      <c r="L512" s="210">
        <v>0</v>
      </c>
      <c r="M512" s="211">
        <v>210375</v>
      </c>
      <c r="N512" s="212">
        <v>323715</v>
      </c>
      <c r="O512" s="212">
        <f>ROUND(VLOOKUP(H512,'[1]Summary_BY Project'!$C:$N,12,0),0)</f>
        <v>319654</v>
      </c>
      <c r="P512" s="212">
        <v>305018</v>
      </c>
      <c r="Q512" s="212">
        <v>327145.55034830398</v>
      </c>
      <c r="R512" s="212">
        <v>211489</v>
      </c>
      <c r="S512" s="212">
        <v>344421</v>
      </c>
      <c r="T512" s="212">
        <v>199054</v>
      </c>
      <c r="U512" s="212">
        <v>0</v>
      </c>
      <c r="V512" s="205">
        <v>25215</v>
      </c>
      <c r="W512" s="205">
        <f>ROUND(표9[[#This Row],[Apr 2026 (USD or KRW)]],0)</f>
        <v>0</v>
      </c>
      <c r="X512" s="212"/>
      <c r="Y512" s="206">
        <f>표9[[#This Row],[Apr 2027(KRW)]]-표9[[#This Row],[Mar 2026(KRW)]]</f>
        <v>-25215</v>
      </c>
      <c r="Z512" s="213">
        <f t="shared" si="7"/>
        <v>-1</v>
      </c>
      <c r="AA512" s="208">
        <f>VLOOKUP(표9[[#This Row],[Team]],표1[],3,0)</f>
        <v>5000</v>
      </c>
    </row>
    <row r="513" spans="1:27" s="8" customFormat="1" ht="15">
      <c r="A513" s="209" t="str">
        <f>VLOOKUP($H513,GCP!$A:$H,2,0)</f>
        <v>GCP</v>
      </c>
      <c r="B513" s="209" t="str">
        <f>VLOOKUP($H513,GCP!$A:$H,3,0)</f>
        <v>KRAFTON HQ</v>
      </c>
      <c r="C513" s="209" t="str">
        <f>VLOOKUP($H513,GCP!$A:$H,4,0)</f>
        <v>KRAFTON HQ</v>
      </c>
      <c r="D513" s="209" t="str">
        <f>VLOOKUP($H513,GCP!$A:$H,5,0)</f>
        <v>IT Service &amp; Mgmt Part</v>
      </c>
      <c r="E513" s="209" t="str">
        <f>VLOOKUP($H513,GCP!$A:$H,6,0)</f>
        <v>OVERHEAD/OTHERS</v>
      </c>
      <c r="F513" s="202">
        <f>VLOOKUP(표9[[#This Row],[Team]],표1[[내역]:[코스트 센터]],2,0)</f>
        <v>101883</v>
      </c>
      <c r="G513" s="202" t="str">
        <f>VLOOKUP(표9[[#This Row],[Project]],표2[],2,0)</f>
        <v>I100099999</v>
      </c>
      <c r="H513" s="246" t="s">
        <v>469</v>
      </c>
      <c r="I513" s="209" t="str">
        <f>VLOOKUP($H513,GCP!$A:$H,7,0)</f>
        <v>김승태</v>
      </c>
      <c r="J513" s="209" t="str">
        <f>VLOOKUP($H513,GCP!$A:$H,8,0)</f>
        <v>김승태</v>
      </c>
      <c r="K513" s="186"/>
      <c r="L513" s="210"/>
      <c r="M513" s="211"/>
      <c r="N513" s="212"/>
      <c r="O513" s="212"/>
      <c r="P513" s="212"/>
      <c r="Q513" s="212"/>
      <c r="R513" s="212"/>
      <c r="S513" s="212"/>
      <c r="T513" s="212">
        <v>0</v>
      </c>
      <c r="U513" s="212">
        <v>0</v>
      </c>
      <c r="V513" s="205">
        <v>13</v>
      </c>
      <c r="W513" s="205">
        <f>ROUND(표9[[#This Row],[Apr 2026 (USD or KRW)]],0)</f>
        <v>0</v>
      </c>
      <c r="X513" s="212"/>
      <c r="Y513" s="206">
        <f>표9[[#This Row],[Apr 2027(KRW)]]-표9[[#This Row],[Mar 2026(KRW)]]</f>
        <v>-13</v>
      </c>
      <c r="Z513" s="213">
        <f t="shared" si="7"/>
        <v>-1</v>
      </c>
      <c r="AA513" s="208">
        <f>VLOOKUP(표9[[#This Row],[Team]],표1[],3,0)</f>
        <v>1000</v>
      </c>
    </row>
    <row r="514" spans="1:27" s="8" customFormat="1" ht="15">
      <c r="A514" s="209" t="str">
        <f>VLOOKUP($H514,GCP!$A:$H,2,0)</f>
        <v>GCP</v>
      </c>
      <c r="B514" s="209" t="str">
        <f>VLOOKUP($H514,GCP!$A:$H,3,0)</f>
        <v>KRAFTON HQ</v>
      </c>
      <c r="C514" s="209" t="str">
        <f>VLOOKUP($H514,GCP!$A:$H,4,0)</f>
        <v>KRAFTON HQ</v>
      </c>
      <c r="D514" s="209" t="str">
        <f>VLOOKUP($H514,GCP!$A:$H,5,0)</f>
        <v>KRAFTON HQ</v>
      </c>
      <c r="E514" s="209" t="str">
        <f>VLOOKUP($H514,GCP!$A:$H,6,0)</f>
        <v>OVERHEAD/OTHERS</v>
      </c>
      <c r="F514" s="202">
        <f>VLOOKUP(표9[[#This Row],[Team]],표1[[내역]:[코스트 센터]],2,0)</f>
        <v>100009</v>
      </c>
      <c r="G514" s="202" t="str">
        <f>VLOOKUP(표9[[#This Row],[Project]],표2[],2,0)</f>
        <v>I100099999</v>
      </c>
      <c r="H514" s="209" t="s">
        <v>470</v>
      </c>
      <c r="I514" s="209" t="str">
        <f>VLOOKUP($H514,GCP!$A:$H,7,0)</f>
        <v>송은석</v>
      </c>
      <c r="J514" s="209" t="str">
        <f>VLOOKUP($H514,GCP!$A:$H,8,0)</f>
        <v>사용완료</v>
      </c>
      <c r="K514" s="186"/>
      <c r="L514" s="210"/>
      <c r="M514" s="211"/>
      <c r="N514" s="212"/>
      <c r="O514" s="212"/>
      <c r="P514" s="212"/>
      <c r="Q514" s="212"/>
      <c r="R514" s="212">
        <v>333340053</v>
      </c>
      <c r="S514" s="212">
        <v>0</v>
      </c>
      <c r="T514" s="212">
        <v>0</v>
      </c>
      <c r="U514" s="212">
        <v>0</v>
      </c>
      <c r="V514" s="205">
        <v>0</v>
      </c>
      <c r="W514" s="205">
        <f>ROUND(표9[[#This Row],[Apr 2026 (USD or KRW)]],0)</f>
        <v>0</v>
      </c>
      <c r="X514" s="212"/>
      <c r="Y514" s="206">
        <f>표9[[#This Row],[Apr 2027(KRW)]]-표9[[#This Row],[Mar 2026(KRW)]]</f>
        <v>0</v>
      </c>
      <c r="Z514" s="213" t="str">
        <f t="shared" si="7"/>
        <v/>
      </c>
      <c r="AA514" s="208">
        <f>VLOOKUP(표9[[#This Row],[Team]],표1[],3,0)</f>
        <v>1000</v>
      </c>
    </row>
    <row r="515" spans="1:27" s="8" customFormat="1" ht="15">
      <c r="A515" s="209" t="str">
        <f>VLOOKUP($H515,GCP!$A:$H,2,0)</f>
        <v>GCP</v>
      </c>
      <c r="B515" s="209" t="str">
        <f>VLOOKUP($H515,GCP!$A:$H,3,0)</f>
        <v>KRAFTON HQ</v>
      </c>
      <c r="C515" s="209" t="str">
        <f>VLOOKUP($H515,GCP!$A:$H,4,0)</f>
        <v>KRAFTON HQ</v>
      </c>
      <c r="D515" s="209" t="str">
        <f>VLOOKUP($H515,GCP!$A:$H,5,0)</f>
        <v>KOS Engineering Dept.</v>
      </c>
      <c r="E515" s="209" t="str">
        <f>VLOOKUP($H515,GCP!$A:$H,6,0)</f>
        <v>OVERHEAD/OTHERS</v>
      </c>
      <c r="F515" s="202">
        <f>VLOOKUP(표9[[#This Row],[Team]],표1[[내역]:[코스트 센터]],2,0)</f>
        <v>100025</v>
      </c>
      <c r="G515" s="202" t="str">
        <f>VLOOKUP(표9[[#This Row],[Project]],표2[],2,0)</f>
        <v>I100099999</v>
      </c>
      <c r="H515" s="209" t="s">
        <v>471</v>
      </c>
      <c r="I515" s="209" t="str">
        <f>VLOOKUP($H515,GCP!$A:$H,7,0)</f>
        <v>이동호</v>
      </c>
      <c r="J515" s="209" t="str">
        <f>VLOOKUP($H515,GCP!$A:$H,8,0)</f>
        <v>이동호</v>
      </c>
      <c r="K515" s="186"/>
      <c r="L515" s="210">
        <v>9369</v>
      </c>
      <c r="M515" s="211">
        <v>9045</v>
      </c>
      <c r="N515" s="212">
        <v>9834</v>
      </c>
      <c r="O515" s="212">
        <f>ROUND(VLOOKUP(H515,'[1]Summary_BY Project'!$C:$N,12,0),0)</f>
        <v>9907</v>
      </c>
      <c r="P515" s="212">
        <v>9663</v>
      </c>
      <c r="Q515" s="212">
        <v>9861.9023866261505</v>
      </c>
      <c r="R515" s="212">
        <v>6434</v>
      </c>
      <c r="S515" s="212">
        <v>10311</v>
      </c>
      <c r="T515" s="212">
        <v>10150</v>
      </c>
      <c r="U515" s="212">
        <v>0</v>
      </c>
      <c r="V515" s="205">
        <v>8704</v>
      </c>
      <c r="W515" s="205">
        <f>ROUND(표9[[#This Row],[Apr 2026 (USD or KRW)]],0)</f>
        <v>0</v>
      </c>
      <c r="X515" s="212"/>
      <c r="Y515" s="206">
        <f>표9[[#This Row],[Apr 2027(KRW)]]-표9[[#This Row],[Mar 2026(KRW)]]</f>
        <v>-8704</v>
      </c>
      <c r="Z515" s="213">
        <f t="shared" si="7"/>
        <v>-1</v>
      </c>
      <c r="AA515" s="208">
        <f>VLOOKUP(표9[[#This Row],[Team]],표1[],3,0)</f>
        <v>1000</v>
      </c>
    </row>
    <row r="516" spans="1:27" s="8" customFormat="1" ht="15">
      <c r="A516" s="209" t="str">
        <f>VLOOKUP($H516,GCP!$A:$H,2,0)</f>
        <v>GCP</v>
      </c>
      <c r="B516" s="209" t="str">
        <f>VLOOKUP($H516,GCP!$A:$H,3,0)</f>
        <v>KRAFTON HQ</v>
      </c>
      <c r="C516" s="209" t="str">
        <f>VLOOKUP($H516,GCP!$A:$H,4,0)</f>
        <v>KRAFTON HQ</v>
      </c>
      <c r="D516" s="209" t="str">
        <f>VLOOKUP($H516,GCP!$A:$H,5,0)</f>
        <v>Data Engineering Dept.</v>
      </c>
      <c r="E516" s="209" t="str">
        <f>VLOOKUP($H516,GCP!$A:$H,6,0)</f>
        <v>OVERHEAD/OTHERS</v>
      </c>
      <c r="F516" s="202">
        <f>VLOOKUP(표9[[#This Row],[Team]],표1[[내역]:[코스트 센터]],2,0)</f>
        <v>100212</v>
      </c>
      <c r="G516" s="202" t="str">
        <f>VLOOKUP(표9[[#This Row],[Project]],표2[],2,0)</f>
        <v>I100099999</v>
      </c>
      <c r="H516" s="209" t="s">
        <v>472</v>
      </c>
      <c r="I516" s="209" t="str">
        <f>VLOOKUP($H516,GCP!$A:$H,7,0)</f>
        <v>염화음</v>
      </c>
      <c r="J516" s="209" t="str">
        <f>VLOOKUP($H516,GCP!$A:$H,8,0)</f>
        <v>문중현</v>
      </c>
      <c r="K516" s="186"/>
      <c r="L516" s="210">
        <v>24733486</v>
      </c>
      <c r="M516" s="211">
        <v>29149119</v>
      </c>
      <c r="N516" s="212">
        <v>5952482</v>
      </c>
      <c r="O516" s="212">
        <f>ROUND(VLOOKUP(H516,'[1]Summary_BY Project'!$C:$N,12,0),0)</f>
        <v>6976333</v>
      </c>
      <c r="P516" s="212">
        <v>6614497</v>
      </c>
      <c r="Q516" s="212">
        <v>6047131.0123658199</v>
      </c>
      <c r="R516" s="212">
        <v>5896039</v>
      </c>
      <c r="S516" s="212">
        <v>6569267</v>
      </c>
      <c r="T516" s="212">
        <v>10132977</v>
      </c>
      <c r="U516" s="212">
        <v>3789167</v>
      </c>
      <c r="V516" s="205">
        <v>14184776</v>
      </c>
      <c r="W516" s="205">
        <f>ROUND(표9[[#This Row],[Apr 2026 (USD or KRW)]],0)</f>
        <v>0</v>
      </c>
      <c r="X516" s="212"/>
      <c r="Y516" s="206">
        <f>표9[[#This Row],[Apr 2027(KRW)]]-표9[[#This Row],[Mar 2026(KRW)]]</f>
        <v>-14184776</v>
      </c>
      <c r="Z516" s="213">
        <f t="shared" si="7"/>
        <v>-1</v>
      </c>
      <c r="AA516" s="208">
        <f>VLOOKUP(표9[[#This Row],[Team]],표1[],3,0)</f>
        <v>1000</v>
      </c>
    </row>
    <row r="517" spans="1:27" s="8" customFormat="1" ht="15">
      <c r="A517" s="209" t="str">
        <f>VLOOKUP($H517,GCP!$A:$H,2,0)</f>
        <v>GCP</v>
      </c>
      <c r="B517" s="209" t="str">
        <f>VLOOKUP($H517,GCP!$A:$H,3,0)</f>
        <v>KRAFTON HQ</v>
      </c>
      <c r="C517" s="209" t="str">
        <f>VLOOKUP($H517,GCP!$A:$H,4,0)</f>
        <v>KRAFTON HQ</v>
      </c>
      <c r="D517" s="209" t="str">
        <f>VLOOKUP($H517,GCP!$A:$H,5,0)</f>
        <v>Data Engineering Dept.</v>
      </c>
      <c r="E517" s="209" t="str">
        <f>VLOOKUP($H517,GCP!$A:$H,6,0)</f>
        <v>OVERHEAD/OTHERS</v>
      </c>
      <c r="F517" s="202">
        <f>VLOOKUP(표9[[#This Row],[Team]],표1[[내역]:[코스트 센터]],2,0)</f>
        <v>100212</v>
      </c>
      <c r="G517" s="202" t="str">
        <f>VLOOKUP(표9[[#This Row],[Project]],표2[],2,0)</f>
        <v>I100099999</v>
      </c>
      <c r="H517" s="209" t="s">
        <v>473</v>
      </c>
      <c r="I517" s="209" t="str">
        <f>VLOOKUP($H517,GCP!$A:$H,7,0)</f>
        <v>염화음</v>
      </c>
      <c r="J517" s="209" t="str">
        <f>VLOOKUP($H517,GCP!$A:$H,8,0)</f>
        <v>김시훈</v>
      </c>
      <c r="K517" s="186" t="s">
        <v>29</v>
      </c>
      <c r="L517" s="210">
        <v>599</v>
      </c>
      <c r="M517" s="211">
        <v>1299</v>
      </c>
      <c r="N517" s="212">
        <v>1997</v>
      </c>
      <c r="O517" s="212">
        <f>ROUND(VLOOKUP(H517,'[1]Summary_BY Project'!$C:$N,12,0),0)</f>
        <v>2590</v>
      </c>
      <c r="P517" s="212">
        <v>2943</v>
      </c>
      <c r="Q517" s="212">
        <v>4534.8052599422999</v>
      </c>
      <c r="R517" s="212">
        <v>4189</v>
      </c>
      <c r="S517" s="212">
        <v>5712</v>
      </c>
      <c r="T517" s="212">
        <v>5331</v>
      </c>
      <c r="U517" s="212">
        <v>0</v>
      </c>
      <c r="V517" s="205">
        <v>1814</v>
      </c>
      <c r="W517" s="205">
        <f>ROUND(표9[[#This Row],[Apr 2026 (USD or KRW)]],0)</f>
        <v>0</v>
      </c>
      <c r="X517" s="212"/>
      <c r="Y517" s="206">
        <f>표9[[#This Row],[Apr 2027(KRW)]]-표9[[#This Row],[Mar 2026(KRW)]]</f>
        <v>-1814</v>
      </c>
      <c r="Z517" s="213">
        <f t="shared" si="7"/>
        <v>-1</v>
      </c>
      <c r="AA517" s="208">
        <f>VLOOKUP(표9[[#This Row],[Team]],표1[],3,0)</f>
        <v>1000</v>
      </c>
    </row>
    <row r="518" spans="1:27" s="8" customFormat="1" ht="15">
      <c r="A518" s="209" t="str">
        <f>VLOOKUP($H518,GCP!$A:$H,2,0)</f>
        <v>GCP</v>
      </c>
      <c r="B518" s="209" t="str">
        <f>VLOOKUP($H518,GCP!$A:$H,3,0)</f>
        <v>KRAFTON HQ</v>
      </c>
      <c r="C518" s="209" t="str">
        <f>VLOOKUP($H518,GCP!$A:$H,4,0)</f>
        <v>KRAFTON HQ</v>
      </c>
      <c r="D518" s="209" t="str">
        <f>VLOOKUP($H518,GCP!$A:$H,5,0)</f>
        <v>AI Product Dev Chapter Dept.</v>
      </c>
      <c r="E518" s="209" t="str">
        <f>VLOOKUP($H518,GCP!$A:$H,6,0)</f>
        <v>DEEP LEARNING</v>
      </c>
      <c r="F518" s="202">
        <f>VLOOKUP(표9[[#This Row],[Team]],표1[[내역]:[코스트 센터]],2,0)</f>
        <v>102159</v>
      </c>
      <c r="G518" s="202" t="str">
        <f>VLOOKUP(표9[[#This Row],[Project]],표2[],2,0)</f>
        <v>I100090817</v>
      </c>
      <c r="H518" s="209" t="s">
        <v>474</v>
      </c>
      <c r="I518" s="209" t="str">
        <f>VLOOKUP($H518,GCP!$A:$H,7,0)</f>
        <v>이에나</v>
      </c>
      <c r="J518" s="209" t="str">
        <f>VLOOKUP($H518,GCP!$A:$H,8,0)</f>
        <v>이에나</v>
      </c>
      <c r="K518" s="186" t="s">
        <v>29</v>
      </c>
      <c r="L518" s="210">
        <v>210979</v>
      </c>
      <c r="M518" s="211">
        <v>2328869</v>
      </c>
      <c r="N518" s="212">
        <v>2499826</v>
      </c>
      <c r="O518" s="212">
        <f>ROUND(VLOOKUP(H518,'[1]Summary_BY Project'!$C:$N,12,0),0)</f>
        <v>2031655</v>
      </c>
      <c r="P518" s="212">
        <v>1300190</v>
      </c>
      <c r="Q518" s="212">
        <v>1787961.0715483599</v>
      </c>
      <c r="R518" s="212">
        <v>625376</v>
      </c>
      <c r="S518" s="212">
        <v>2249474</v>
      </c>
      <c r="T518" s="212">
        <v>699985</v>
      </c>
      <c r="U518" s="212">
        <v>0</v>
      </c>
      <c r="V518" s="205">
        <v>45474370</v>
      </c>
      <c r="W518" s="205">
        <f>ROUND(표9[[#This Row],[Apr 2026 (USD or KRW)]],0)</f>
        <v>0</v>
      </c>
      <c r="X518" s="212"/>
      <c r="Y518" s="206">
        <f>표9[[#This Row],[Apr 2027(KRW)]]-표9[[#This Row],[Mar 2026(KRW)]]</f>
        <v>-45474370</v>
      </c>
      <c r="Z518" s="213">
        <f t="shared" si="7"/>
        <v>-1</v>
      </c>
      <c r="AA518" s="208">
        <f>VLOOKUP(표9[[#This Row],[Team]],표1[],3,0)</f>
        <v>1000</v>
      </c>
    </row>
    <row r="519" spans="1:27" s="8" customFormat="1" ht="15">
      <c r="A519" s="209" t="str">
        <f>VLOOKUP($H519,GCP!$A:$H,2,0)</f>
        <v>GCP</v>
      </c>
      <c r="B519" s="209" t="str">
        <f>VLOOKUP($H519,GCP!$A:$H,3,0)</f>
        <v>KRAFTON HQ</v>
      </c>
      <c r="C519" s="209" t="str">
        <f>VLOOKUP($H519,GCP!$A:$H,4,0)</f>
        <v>KRAFTON HQ</v>
      </c>
      <c r="D519" s="209" t="str">
        <f>VLOOKUP($H519,GCP!$A:$H,5,0)</f>
        <v>AI Product Dev Chapter Dept.</v>
      </c>
      <c r="E519" s="209" t="str">
        <f>VLOOKUP($H519,GCP!$A:$H,6,0)</f>
        <v>OVERHEAD/OTHERS</v>
      </c>
      <c r="F519" s="202">
        <f>VLOOKUP(표9[[#This Row],[Team]],표1[[내역]:[코스트 센터]],2,0)</f>
        <v>102159</v>
      </c>
      <c r="G519" s="202" t="str">
        <f>VLOOKUP(표9[[#This Row],[Project]],표2[],2,0)</f>
        <v>I100099999</v>
      </c>
      <c r="H519" s="246" t="s">
        <v>475</v>
      </c>
      <c r="I519" s="209" t="str">
        <f>VLOOKUP($H519,GCP!$A:$H,7,0)</f>
        <v>나민주</v>
      </c>
      <c r="J519" s="209" t="str">
        <f>VLOOKUP($H519,GCP!$A:$H,8,0)</f>
        <v>나민주</v>
      </c>
      <c r="K519" s="186"/>
      <c r="L519" s="210"/>
      <c r="M519" s="211"/>
      <c r="N519" s="212"/>
      <c r="O519" s="212"/>
      <c r="P519" s="212"/>
      <c r="Q519" s="212"/>
      <c r="R519" s="212"/>
      <c r="S519" s="212"/>
      <c r="T519" s="212">
        <v>613287</v>
      </c>
      <c r="U519" s="212">
        <v>1</v>
      </c>
      <c r="V519" s="205">
        <v>6564</v>
      </c>
      <c r="W519" s="205">
        <f>ROUND(표9[[#This Row],[Apr 2026 (USD or KRW)]],0)</f>
        <v>0</v>
      </c>
      <c r="X519" s="212"/>
      <c r="Y519" s="206">
        <f>표9[[#This Row],[Apr 2027(KRW)]]-표9[[#This Row],[Mar 2026(KRW)]]</f>
        <v>-6564</v>
      </c>
      <c r="Z519" s="213">
        <f t="shared" si="7"/>
        <v>-1</v>
      </c>
      <c r="AA519" s="208">
        <f>VLOOKUP(표9[[#This Row],[Team]],표1[],3,0)</f>
        <v>1000</v>
      </c>
    </row>
    <row r="520" spans="1:27" s="8" customFormat="1" ht="15">
      <c r="A520" s="209" t="str">
        <f>VLOOKUP($H520,GCP!$A:$H,2,0)</f>
        <v>GCP</v>
      </c>
      <c r="B520" s="209" t="str">
        <f>VLOOKUP($H520,GCP!$A:$H,3,0)</f>
        <v>KRAFTON HQ</v>
      </c>
      <c r="C520" s="209" t="str">
        <f>VLOOKUP($H520,GCP!$A:$H,4,0)</f>
        <v>KRAFTON HQ</v>
      </c>
      <c r="D520" s="209" t="str">
        <f>VLOOKUP($H520,GCP!$A:$H,5,0)</f>
        <v>L10N Team</v>
      </c>
      <c r="E520" s="209" t="str">
        <f>VLOOKUP($H520,GCP!$A:$H,6,0)</f>
        <v>OVERHEAD/OTHERS</v>
      </c>
      <c r="F520" s="202">
        <f>VLOOKUP(표9[[#This Row],[Team]],표1[[내역]:[코스트 센터]],2,0)</f>
        <v>100092</v>
      </c>
      <c r="G520" s="202" t="str">
        <f>VLOOKUP(표9[[#This Row],[Project]],표2[],2,0)</f>
        <v>I100099999</v>
      </c>
      <c r="H520" s="209" t="s">
        <v>476</v>
      </c>
      <c r="I520" s="209" t="str">
        <f>VLOOKUP($H520,GCP!$A:$H,7,0)</f>
        <v>김재헌</v>
      </c>
      <c r="J520" s="209" t="str">
        <f>VLOOKUP($H520,GCP!$A:$H,8,0)</f>
        <v>전평준</v>
      </c>
      <c r="K520" s="186" t="s">
        <v>29</v>
      </c>
      <c r="L520" s="210">
        <v>12</v>
      </c>
      <c r="M520" s="211">
        <v>109</v>
      </c>
      <c r="N520" s="212">
        <v>2178</v>
      </c>
      <c r="O520" s="212">
        <f>ROUND(VLOOKUP(H520,'[1]Summary_BY Project'!$C:$N,12,0),0)</f>
        <v>14</v>
      </c>
      <c r="P520" s="212">
        <v>14</v>
      </c>
      <c r="Q520" s="212">
        <v>14.2590177364624</v>
      </c>
      <c r="R520" s="212">
        <v>260</v>
      </c>
      <c r="S520" s="212">
        <v>15</v>
      </c>
      <c r="T520" s="212">
        <v>15</v>
      </c>
      <c r="U520" s="212">
        <v>0</v>
      </c>
      <c r="V520" s="205">
        <v>118542</v>
      </c>
      <c r="W520" s="205">
        <f>ROUND(표9[[#This Row],[Apr 2026 (USD or KRW)]],0)</f>
        <v>0</v>
      </c>
      <c r="X520" s="212"/>
      <c r="Y520" s="206">
        <f>표9[[#This Row],[Apr 2027(KRW)]]-표9[[#This Row],[Mar 2026(KRW)]]</f>
        <v>-118542</v>
      </c>
      <c r="Z520" s="213">
        <f t="shared" si="7"/>
        <v>-1</v>
      </c>
      <c r="AA520" s="208">
        <f>VLOOKUP(표9[[#This Row],[Team]],표1[],3,0)</f>
        <v>1000</v>
      </c>
    </row>
    <row r="521" spans="1:27" s="8" customFormat="1" ht="15">
      <c r="A521" s="209" t="str">
        <f>VLOOKUP($H521,GCP!$A:$H,2,0)</f>
        <v>GCP</v>
      </c>
      <c r="B521" s="209" t="str">
        <f>VLOOKUP($H521,GCP!$A:$H,3,0)</f>
        <v>KRAFTON HQ</v>
      </c>
      <c r="C521" s="209" t="str">
        <f>VLOOKUP($H521,GCP!$A:$H,4,0)</f>
        <v>KRAFTON HQ</v>
      </c>
      <c r="D521" s="209" t="str">
        <f>VLOOKUP($H521,GCP!$A:$H,5,0)</f>
        <v>AI Research Design Team</v>
      </c>
      <c r="E521" s="209" t="str">
        <f>VLOOKUP($H521,GCP!$A:$H,6,0)</f>
        <v>OVERHEAD/OTHERS</v>
      </c>
      <c r="F521" s="202">
        <f>VLOOKUP(표9[[#This Row],[Team]],표1[[내역]:[코스트 센터]],2,0)</f>
        <v>102081</v>
      </c>
      <c r="G521" s="202" t="str">
        <f>VLOOKUP(표9[[#This Row],[Project]],표2[],2,0)</f>
        <v>I100099999</v>
      </c>
      <c r="H521" s="209" t="s">
        <v>477</v>
      </c>
      <c r="I521" s="209" t="str">
        <f>VLOOKUP($H521,GCP!$A:$H,7,0)</f>
        <v>이에나</v>
      </c>
      <c r="J521" s="209" t="str">
        <f>VLOOKUP($H521,GCP!$A:$H,8,0)</f>
        <v>이에나</v>
      </c>
      <c r="K521" s="186"/>
      <c r="L521" s="210">
        <v>0</v>
      </c>
      <c r="M521" s="211">
        <v>0</v>
      </c>
      <c r="N521" s="212"/>
      <c r="O521" s="212"/>
      <c r="P521" s="212"/>
      <c r="Q521" s="212"/>
      <c r="R521" s="212"/>
      <c r="S521" s="212">
        <v>0</v>
      </c>
      <c r="T521" s="212">
        <v>0</v>
      </c>
      <c r="U521" s="212">
        <v>0</v>
      </c>
      <c r="V521" s="205">
        <v>0</v>
      </c>
      <c r="W521" s="205">
        <f>ROUND(표9[[#This Row],[Apr 2026 (USD or KRW)]],0)</f>
        <v>0</v>
      </c>
      <c r="X521" s="212"/>
      <c r="Y521" s="206">
        <f>표9[[#This Row],[Apr 2027(KRW)]]-표9[[#This Row],[Mar 2026(KRW)]]</f>
        <v>0</v>
      </c>
      <c r="Z521" s="213" t="str">
        <f t="shared" si="7"/>
        <v/>
      </c>
      <c r="AA521" s="208">
        <f>VLOOKUP(표9[[#This Row],[Team]],표1[],3,0)</f>
        <v>1000</v>
      </c>
    </row>
    <row r="522" spans="1:27" s="8" customFormat="1" ht="15">
      <c r="A522" s="209" t="str">
        <f>VLOOKUP($H522,GCP!$A:$H,2,0)</f>
        <v>GCP</v>
      </c>
      <c r="B522" s="209" t="str">
        <f>VLOOKUP($H522,GCP!$A:$H,3,0)</f>
        <v>KRAFTON HQ</v>
      </c>
      <c r="C522" s="209" t="str">
        <f>VLOOKUP($H522,GCP!$A:$H,4,0)</f>
        <v>KRAFTON HQ</v>
      </c>
      <c r="D522" s="209" t="str">
        <f>VLOOKUP($H522,GCP!$A:$H,5,0)</f>
        <v>KOS Engineering Dept.</v>
      </c>
      <c r="E522" s="209" t="str">
        <f>VLOOKUP($H522,GCP!$A:$H,6,0)</f>
        <v>GPP</v>
      </c>
      <c r="F522" s="202">
        <f>VLOOKUP(표9[[#This Row],[Team]],표1[[내역]:[코스트 센터]],2,0)</f>
        <v>100025</v>
      </c>
      <c r="G522" s="202" t="str">
        <f>VLOOKUP(표9[[#This Row],[Project]],표2[],2,0)</f>
        <v>I100090813</v>
      </c>
      <c r="H522" s="201" t="s">
        <v>478</v>
      </c>
      <c r="I522" s="209" t="str">
        <f>VLOOKUP($H522,GCP!$A:$H,7,0)</f>
        <v>조국환</v>
      </c>
      <c r="J522" s="209" t="str">
        <f>VLOOKUP($H522,GCP!$A:$H,8,0)</f>
        <v>조국환</v>
      </c>
      <c r="K522" s="186"/>
      <c r="L522" s="210"/>
      <c r="M522" s="211"/>
      <c r="N522" s="212"/>
      <c r="O522" s="212"/>
      <c r="P522" s="212">
        <v>124975</v>
      </c>
      <c r="Q522" s="212">
        <v>3521019.7342272601</v>
      </c>
      <c r="R522" s="212">
        <v>5072145</v>
      </c>
      <c r="S522" s="212">
        <v>7578282</v>
      </c>
      <c r="T522" s="212">
        <v>9586962</v>
      </c>
      <c r="U522" s="212">
        <v>11393808</v>
      </c>
      <c r="V522" s="205">
        <v>14002368</v>
      </c>
      <c r="W522" s="205">
        <f>ROUND(표9[[#This Row],[Apr 2026 (USD or KRW)]],0)</f>
        <v>0</v>
      </c>
      <c r="X522" s="212"/>
      <c r="Y522" s="206">
        <f>표9[[#This Row],[Apr 2027(KRW)]]-표9[[#This Row],[Mar 2026(KRW)]]</f>
        <v>-14002368</v>
      </c>
      <c r="Z522" s="213">
        <f t="shared" si="7"/>
        <v>-1</v>
      </c>
      <c r="AA522" s="208">
        <f>VLOOKUP(표9[[#This Row],[Team]],표1[],3,0)</f>
        <v>1000</v>
      </c>
    </row>
    <row r="523" spans="1:27" s="8" customFormat="1" ht="15">
      <c r="A523" s="209" t="str">
        <f>VLOOKUP($H523,GCP!$A:$H,2,0)</f>
        <v>GCP</v>
      </c>
      <c r="B523" s="209" t="str">
        <f>VLOOKUP($H523,GCP!$A:$H,3,0)</f>
        <v>KRAFTON HQ</v>
      </c>
      <c r="C523" s="209" t="str">
        <f>VLOOKUP($H523,GCP!$A:$H,4,0)</f>
        <v>KRAFTON HQ</v>
      </c>
      <c r="D523" s="209" t="str">
        <f>VLOOKUP($H523,GCP!$A:$H,5,0)</f>
        <v>Security Dept.</v>
      </c>
      <c r="E523" s="209" t="str">
        <f>VLOOKUP($H523,GCP!$A:$H,6,0)</f>
        <v>OVERHEAD/OTHERS</v>
      </c>
      <c r="F523" s="202">
        <f>VLOOKUP(표9[[#This Row],[Team]],표1[[내역]:[코스트 센터]],2,0)</f>
        <v>101451</v>
      </c>
      <c r="G523" s="202" t="str">
        <f>VLOOKUP(표9[[#This Row],[Project]],표2[],2,0)</f>
        <v>I100099999</v>
      </c>
      <c r="H523" s="247" t="s">
        <v>479</v>
      </c>
      <c r="I523" s="209" t="str">
        <f>VLOOKUP($H523,GCP!$A:$H,7,0)</f>
        <v>홍준화</v>
      </c>
      <c r="J523" s="209" t="str">
        <f>VLOOKUP($H523,GCP!$A:$H,8,0)</f>
        <v>홍준화</v>
      </c>
      <c r="K523" s="186" t="s">
        <v>29</v>
      </c>
      <c r="L523" s="210"/>
      <c r="M523" s="211"/>
      <c r="N523" s="212"/>
      <c r="O523" s="212"/>
      <c r="P523" s="212"/>
      <c r="Q523" s="212"/>
      <c r="R523" s="212">
        <v>6336</v>
      </c>
      <c r="S523" s="212">
        <v>274392</v>
      </c>
      <c r="T523" s="212">
        <v>297422</v>
      </c>
      <c r="U523" s="212">
        <v>31</v>
      </c>
      <c r="V523" s="205">
        <v>1967700</v>
      </c>
      <c r="W523" s="205">
        <f>ROUND(표9[[#This Row],[Apr 2026 (USD or KRW)]],0)</f>
        <v>0</v>
      </c>
      <c r="X523" s="212"/>
      <c r="Y523" s="206">
        <f>표9[[#This Row],[Apr 2027(KRW)]]-표9[[#This Row],[Mar 2026(KRW)]]</f>
        <v>-1967700</v>
      </c>
      <c r="Z523" s="213">
        <f t="shared" si="7"/>
        <v>-1</v>
      </c>
      <c r="AA523" s="208">
        <f>VLOOKUP(표9[[#This Row],[Team]],표1[],3,0)</f>
        <v>1000</v>
      </c>
    </row>
    <row r="524" spans="1:27" s="8" customFormat="1" ht="15">
      <c r="A524" s="209" t="str">
        <f>VLOOKUP($H524,GCP!$A:$H,2,0)</f>
        <v>GCP</v>
      </c>
      <c r="B524" s="209" t="str">
        <f>VLOOKUP($H524,GCP!$A:$H,3,0)</f>
        <v>KRAFTON HQ</v>
      </c>
      <c r="C524" s="209" t="str">
        <f>VLOOKUP($H524,GCP!$A:$H,4,0)</f>
        <v>KRAFTON HQ</v>
      </c>
      <c r="D524" s="209" t="str">
        <f>VLOOKUP($H524,GCP!$A:$H,5,0)</f>
        <v>Security Dept.</v>
      </c>
      <c r="E524" s="209" t="str">
        <f>VLOOKUP($H524,GCP!$A:$H,6,0)</f>
        <v>OVERHEAD/OTHERS</v>
      </c>
      <c r="F524" s="202">
        <f>VLOOKUP(표9[[#This Row],[Team]],표1[[내역]:[코스트 센터]],2,0)</f>
        <v>101451</v>
      </c>
      <c r="G524" s="202" t="str">
        <f>VLOOKUP(표9[[#This Row],[Project]],표2[],2,0)</f>
        <v>I100099999</v>
      </c>
      <c r="H524" s="247" t="s">
        <v>480</v>
      </c>
      <c r="I524" s="209" t="str">
        <f>VLOOKUP($H524,GCP!$A:$H,7,0)</f>
        <v>홍준화</v>
      </c>
      <c r="J524" s="209" t="str">
        <f>VLOOKUP($H524,GCP!$A:$H,8,0)</f>
        <v>홍준화</v>
      </c>
      <c r="K524" s="186" t="s">
        <v>29</v>
      </c>
      <c r="L524" s="210"/>
      <c r="M524" s="211"/>
      <c r="N524" s="212"/>
      <c r="O524" s="212"/>
      <c r="P524" s="212"/>
      <c r="Q524" s="212"/>
      <c r="R524" s="212">
        <v>11519</v>
      </c>
      <c r="S524" s="212">
        <v>267992</v>
      </c>
      <c r="T524" s="212">
        <v>1558</v>
      </c>
      <c r="U524" s="212">
        <v>0</v>
      </c>
      <c r="V524" s="205">
        <v>0</v>
      </c>
      <c r="W524" s="205">
        <f>ROUND(표9[[#This Row],[Apr 2026 (USD or KRW)]],0)</f>
        <v>0</v>
      </c>
      <c r="X524" s="212"/>
      <c r="Y524" s="206">
        <f>표9[[#This Row],[Apr 2027(KRW)]]-표9[[#This Row],[Mar 2026(KRW)]]</f>
        <v>0</v>
      </c>
      <c r="Z524" s="213" t="str">
        <f t="shared" si="7"/>
        <v/>
      </c>
      <c r="AA524" s="208">
        <f>VLOOKUP(표9[[#This Row],[Team]],표1[],3,0)</f>
        <v>1000</v>
      </c>
    </row>
    <row r="525" spans="1:27" s="8" customFormat="1" ht="15">
      <c r="A525" s="209" t="str">
        <f>VLOOKUP($H525,GCP!$A:$H,2,0)</f>
        <v>GCP</v>
      </c>
      <c r="B525" s="209" t="str">
        <f>VLOOKUP($H525,GCP!$A:$H,3,0)</f>
        <v>KRAFTON HQ</v>
      </c>
      <c r="C525" s="209" t="str">
        <f>VLOOKUP($H525,GCP!$A:$H,4,0)</f>
        <v>KRAFTON HQ</v>
      </c>
      <c r="D525" s="209" t="str">
        <f>VLOOKUP($H525,GCP!$A:$H,5,0)</f>
        <v>Jungle Coaching Dept.</v>
      </c>
      <c r="E525" s="209" t="str">
        <f>VLOOKUP($H525,GCP!$A:$H,6,0)</f>
        <v>PROJECT JUNGLE</v>
      </c>
      <c r="F525" s="202">
        <f>VLOOKUP(표9[[#This Row],[Team]],표1[[내역]:[코스트 센터]],2,0)</f>
        <v>101145</v>
      </c>
      <c r="G525" s="202" t="str">
        <f>VLOOKUP(표9[[#This Row],[Project]],표2[],2,0)</f>
        <v>I100090820</v>
      </c>
      <c r="H525" s="201" t="s">
        <v>481</v>
      </c>
      <c r="I525" s="209" t="str">
        <f>VLOOKUP($H525,GCP!$A:$H,7,0)</f>
        <v>김현수</v>
      </c>
      <c r="J525" s="209" t="str">
        <f>VLOOKUP($H525,GCP!$A:$H,8,0)</f>
        <v>김현수</v>
      </c>
      <c r="K525" s="186"/>
      <c r="L525" s="210">
        <v>55454</v>
      </c>
      <c r="M525" s="211">
        <v>27196</v>
      </c>
      <c r="N525" s="212">
        <v>31442</v>
      </c>
      <c r="O525" s="212">
        <f>ROUND(VLOOKUP(H525,'[1]Summary_BY Project'!$C:$N,12,0),0)</f>
        <v>31917</v>
      </c>
      <c r="P525" s="212">
        <v>30756</v>
      </c>
      <c r="Q525" s="212">
        <v>31847.9496317054</v>
      </c>
      <c r="R525" s="212">
        <v>20477</v>
      </c>
      <c r="S525" s="212">
        <v>33337</v>
      </c>
      <c r="T525" s="212">
        <v>32771</v>
      </c>
      <c r="U525" s="212">
        <v>1</v>
      </c>
      <c r="V525" s="205">
        <v>28118</v>
      </c>
      <c r="W525" s="205">
        <f>ROUND(표9[[#This Row],[Apr 2026 (USD or KRW)]],0)</f>
        <v>0</v>
      </c>
      <c r="X525" s="212"/>
      <c r="Y525" s="206">
        <f>표9[[#This Row],[Apr 2027(KRW)]]-표9[[#This Row],[Mar 2026(KRW)]]</f>
        <v>-28118</v>
      </c>
      <c r="Z525" s="213">
        <f t="shared" si="7"/>
        <v>-1</v>
      </c>
      <c r="AA525" s="208">
        <f>VLOOKUP(표9[[#This Row],[Team]],표1[],3,0)</f>
        <v>1000</v>
      </c>
    </row>
    <row r="526" spans="1:27" s="8" customFormat="1" ht="15">
      <c r="A526" s="209" t="str">
        <f>VLOOKUP($H526,GCP!$A:$H,2,0)</f>
        <v>GCP</v>
      </c>
      <c r="B526" s="209" t="str">
        <f>VLOOKUP($H526,GCP!$A:$H,3,0)</f>
        <v>KRAFTON HQ</v>
      </c>
      <c r="C526" s="209" t="str">
        <f>VLOOKUP($H526,GCP!$A:$H,4,0)</f>
        <v>KRAFTON HQ</v>
      </c>
      <c r="D526" s="209" t="str">
        <f>VLOOKUP($H526,GCP!$A:$H,5,0)</f>
        <v>KRAFTON JUNGLE</v>
      </c>
      <c r="E526" s="209" t="str">
        <f>VLOOKUP($H526,GCP!$A:$H,6,0)</f>
        <v>PROJECT JUNGLE</v>
      </c>
      <c r="F526" s="202">
        <f>VLOOKUP(표9[[#This Row],[Team]],표1[[내역]:[코스트 센터]],2,0)</f>
        <v>100987</v>
      </c>
      <c r="G526" s="202" t="str">
        <f>VLOOKUP(표9[[#This Row],[Project]],표2[],2,0)</f>
        <v>I100090820</v>
      </c>
      <c r="H526" s="246" t="s">
        <v>482</v>
      </c>
      <c r="I526" s="209" t="str">
        <f>VLOOKUP($H526,GCP!$A:$H,7,0)</f>
        <v>김성민</v>
      </c>
      <c r="J526" s="209" t="str">
        <f>VLOOKUP($H526,GCP!$A:$H,8,0)</f>
        <v>김성민</v>
      </c>
      <c r="K526" s="186"/>
      <c r="L526" s="210"/>
      <c r="M526" s="211"/>
      <c r="N526" s="212"/>
      <c r="O526" s="212"/>
      <c r="P526" s="212"/>
      <c r="Q526" s="212"/>
      <c r="R526" s="212"/>
      <c r="S526" s="212">
        <v>16445</v>
      </c>
      <c r="T526" s="212">
        <v>0</v>
      </c>
      <c r="U526" s="212">
        <v>0</v>
      </c>
      <c r="V526" s="205">
        <v>0</v>
      </c>
      <c r="W526" s="205">
        <f>ROUND(표9[[#This Row],[Apr 2026 (USD or KRW)]],0)</f>
        <v>0</v>
      </c>
      <c r="X526" s="212"/>
      <c r="Y526" s="206">
        <f>표9[[#This Row],[Apr 2027(KRW)]]-표9[[#This Row],[Mar 2026(KRW)]]</f>
        <v>0</v>
      </c>
      <c r="Z526" s="213" t="str">
        <f t="shared" si="7"/>
        <v/>
      </c>
      <c r="AA526" s="208">
        <f>VLOOKUP(표9[[#This Row],[Team]],표1[],3,0)</f>
        <v>1000</v>
      </c>
    </row>
    <row r="527" spans="1:27" s="8" customFormat="1" ht="15">
      <c r="A527" s="209" t="str">
        <f>VLOOKUP($H527,GCP!$A:$H,2,0)</f>
        <v>GCP</v>
      </c>
      <c r="B527" s="209" t="str">
        <f>VLOOKUP($H527,GCP!$A:$H,3,0)</f>
        <v>KRAFTON HQ</v>
      </c>
      <c r="C527" s="209" t="str">
        <f>VLOOKUP($H527,GCP!$A:$H,4,0)</f>
        <v>KRAFTON HQ</v>
      </c>
      <c r="D527" s="209" t="str">
        <f>VLOOKUP($H527,GCP!$A:$H,5,0)</f>
        <v>Data Analytics Dept.</v>
      </c>
      <c r="E527" s="209" t="str">
        <f>VLOOKUP($H527,GCP!$A:$H,6,0)</f>
        <v>(2022)BATTLEGROUNDS_MOBILE_IN</v>
      </c>
      <c r="F527" s="202">
        <f>VLOOKUP(표9[[#This Row],[Team]],표1[[내역]:[코스트 센터]],2,0)</f>
        <v>100203</v>
      </c>
      <c r="G527" s="202" t="str">
        <f>VLOOKUP(표9[[#This Row],[Project]],표2[],2,0)</f>
        <v>P100130012</v>
      </c>
      <c r="H527" s="209" t="s">
        <v>483</v>
      </c>
      <c r="I527" s="209" t="str">
        <f>VLOOKUP($H527,GCP!$A:$H,7,0)</f>
        <v>김준형</v>
      </c>
      <c r="J527" s="209" t="str">
        <f>VLOOKUP($H527,GCP!$A:$H,8,0)</f>
        <v>김준형</v>
      </c>
      <c r="K527" s="186"/>
      <c r="L527" s="210"/>
      <c r="M527" s="211"/>
      <c r="N527" s="212">
        <v>52279</v>
      </c>
      <c r="O527" s="212"/>
      <c r="P527" s="212"/>
      <c r="Q527" s="212"/>
      <c r="R527" s="212"/>
      <c r="S527" s="212">
        <v>0</v>
      </c>
      <c r="T527" s="212">
        <v>0</v>
      </c>
      <c r="U527" s="212">
        <v>0</v>
      </c>
      <c r="V527" s="205">
        <v>0</v>
      </c>
      <c r="W527" s="205">
        <f>ROUND(표9[[#This Row],[Apr 2026 (USD or KRW)]],0)</f>
        <v>0</v>
      </c>
      <c r="X527" s="212"/>
      <c r="Y527" s="206">
        <f>표9[[#This Row],[Apr 2027(KRW)]]-표9[[#This Row],[Mar 2026(KRW)]]</f>
        <v>0</v>
      </c>
      <c r="Z527" s="213" t="str">
        <f t="shared" si="7"/>
        <v/>
      </c>
      <c r="AA527" s="208">
        <f>VLOOKUP(표9[[#This Row],[Team]],표1[],3,0)</f>
        <v>1000</v>
      </c>
    </row>
    <row r="528" spans="1:27" s="8" customFormat="1" ht="15">
      <c r="A528" s="209" t="str">
        <f>VLOOKUP($H528,GCP!$A:$H,2,0)</f>
        <v>GCP</v>
      </c>
      <c r="B528" s="209" t="str">
        <f>VLOOKUP($H528,GCP!$A:$H,3,0)</f>
        <v>KRAFTON HQ</v>
      </c>
      <c r="C528" s="209" t="str">
        <f>VLOOKUP($H528,GCP!$A:$H,4,0)</f>
        <v>KRAFTON HQ</v>
      </c>
      <c r="D528" s="209" t="str">
        <f>VLOOKUP($H528,GCP!$A:$H,5,0)</f>
        <v>Data Engineering Dept.</v>
      </c>
      <c r="E528" s="209" t="str">
        <f>VLOOKUP($H528,GCP!$A:$H,6,0)</f>
        <v>OVERHEAD/OTHERS</v>
      </c>
      <c r="F528" s="202">
        <f>VLOOKUP(표9[[#This Row],[Team]],표1[[내역]:[코스트 센터]],2,0)</f>
        <v>100212</v>
      </c>
      <c r="G528" s="202" t="str">
        <f>VLOOKUP(표9[[#This Row],[Project]],표2[],2,0)</f>
        <v>I100099999</v>
      </c>
      <c r="H528" s="209" t="s">
        <v>484</v>
      </c>
      <c r="I528" s="209" t="str">
        <f>VLOOKUP($H528,GCP!$A:$H,7,0)</f>
        <v>송은석</v>
      </c>
      <c r="J528" s="209" t="str">
        <f>VLOOKUP($H528,GCP!$A:$H,8,0)</f>
        <v>사용완료</v>
      </c>
      <c r="K528" s="186"/>
      <c r="L528" s="210"/>
      <c r="M528" s="211"/>
      <c r="N528" s="212"/>
      <c r="O528" s="212"/>
      <c r="P528" s="212"/>
      <c r="Q528" s="212"/>
      <c r="R528" s="212"/>
      <c r="S528" s="212">
        <v>0</v>
      </c>
      <c r="T528" s="212">
        <v>0</v>
      </c>
      <c r="U528" s="212">
        <v>0</v>
      </c>
      <c r="V528" s="205">
        <v>0</v>
      </c>
      <c r="W528" s="205">
        <f>ROUND(표9[[#This Row],[Apr 2026 (USD or KRW)]],0)</f>
        <v>0</v>
      </c>
      <c r="X528" s="212"/>
      <c r="Y528" s="206">
        <f>표9[[#This Row],[Apr 2027(KRW)]]-표9[[#This Row],[Mar 2026(KRW)]]</f>
        <v>0</v>
      </c>
      <c r="Z528" s="213" t="str">
        <f t="shared" si="7"/>
        <v/>
      </c>
      <c r="AA528" s="208">
        <f>VLOOKUP(표9[[#This Row],[Team]],표1[],3,0)</f>
        <v>1000</v>
      </c>
    </row>
    <row r="529" spans="1:27" s="8" customFormat="1" ht="15">
      <c r="A529" s="209" t="str">
        <f>VLOOKUP($H529,GCP!$A:$H,2,0)</f>
        <v>GCP</v>
      </c>
      <c r="B529" s="209" t="str">
        <f>VLOOKUP($H529,GCP!$A:$H,3,0)</f>
        <v>KRAFTON HQ</v>
      </c>
      <c r="C529" s="209" t="str">
        <f>VLOOKUP($H529,GCP!$A:$H,4,0)</f>
        <v>KRAFTON HQ</v>
      </c>
      <c r="D529" s="209" t="str">
        <f>VLOOKUP($H529,GCP!$A:$H,5,0)</f>
        <v>Camp Dept.</v>
      </c>
      <c r="E529" s="209" t="str">
        <f>VLOOKUP($H529,GCP!$A:$H,6,0)</f>
        <v>OVERHEAD/OTHERS</v>
      </c>
      <c r="F529" s="202">
        <f>VLOOKUP(표9[[#This Row],[Team]],표1[[내역]:[코스트 센터]],2,0)</f>
        <v>105019</v>
      </c>
      <c r="G529" s="202" t="str">
        <f>VLOOKUP(표9[[#This Row],[Project]],표2[],2,0)</f>
        <v>I100099999</v>
      </c>
      <c r="H529" s="209" t="s">
        <v>485</v>
      </c>
      <c r="I529" s="209" t="str">
        <f>VLOOKUP($H529,GCP!$A:$H,7,0)</f>
        <v>이태형</v>
      </c>
      <c r="J529" s="209" t="str">
        <f>VLOOKUP($H529,GCP!$A:$H,8,0)</f>
        <v>이태형</v>
      </c>
      <c r="K529" s="186" t="s">
        <v>29</v>
      </c>
      <c r="L529" s="210"/>
      <c r="M529" s="211"/>
      <c r="N529" s="212"/>
      <c r="O529" s="212"/>
      <c r="P529" s="212">
        <v>787234</v>
      </c>
      <c r="Q529" s="212">
        <v>410963.84037322499</v>
      </c>
      <c r="R529" s="212">
        <v>765195</v>
      </c>
      <c r="S529" s="212">
        <v>415712</v>
      </c>
      <c r="T529" s="212">
        <v>311843</v>
      </c>
      <c r="U529" s="212">
        <v>2</v>
      </c>
      <c r="V529" s="205">
        <v>227596</v>
      </c>
      <c r="W529" s="205">
        <f>ROUND(표9[[#This Row],[Apr 2026 (USD or KRW)]],0)</f>
        <v>0</v>
      </c>
      <c r="X529" s="212"/>
      <c r="Y529" s="206">
        <f>표9[[#This Row],[Apr 2027(KRW)]]-표9[[#This Row],[Mar 2026(KRW)]]</f>
        <v>-227596</v>
      </c>
      <c r="Z529" s="213">
        <f t="shared" si="7"/>
        <v>-1</v>
      </c>
      <c r="AA529" s="208">
        <f>VLOOKUP(표9[[#This Row],[Team]],표1[],3,0)</f>
        <v>1000</v>
      </c>
    </row>
    <row r="530" spans="1:27" s="8" customFormat="1" ht="15">
      <c r="A530" s="209" t="str">
        <f>VLOOKUP($H530,GCP!$A:$H,2,0)</f>
        <v>GCP</v>
      </c>
      <c r="B530" s="209" t="str">
        <f>VLOOKUP($H530,GCP!$A:$H,3,0)</f>
        <v>KRAFTON HQ</v>
      </c>
      <c r="C530" s="209" t="str">
        <f>VLOOKUP($H530,GCP!$A:$H,4,0)</f>
        <v>KRAFTON HQ</v>
      </c>
      <c r="D530" s="209" t="str">
        <f>VLOOKUP($H530,GCP!$A:$H,5,0)</f>
        <v>Service Policy Team</v>
      </c>
      <c r="E530" s="209" t="str">
        <f>VLOOKUP($H530,GCP!$A:$H,6,0)</f>
        <v>OVERHEAD/OTHERS</v>
      </c>
      <c r="F530" s="202">
        <f>VLOOKUP(표9[[#This Row],[Team]],표1[[내역]:[코스트 센터]],2,0)</f>
        <v>101265</v>
      </c>
      <c r="G530" s="202" t="str">
        <f>VLOOKUP(표9[[#This Row],[Project]],표2[],2,0)</f>
        <v>I100099999</v>
      </c>
      <c r="H530" s="209" t="s">
        <v>486</v>
      </c>
      <c r="I530" s="209" t="str">
        <f>VLOOKUP($H530,GCP!$A:$H,7,0)</f>
        <v>구민찬</v>
      </c>
      <c r="J530" s="209" t="str">
        <f>VLOOKUP($H530,GCP!$A:$H,8,0)</f>
        <v>황민지</v>
      </c>
      <c r="K530" s="186"/>
      <c r="L530" s="210"/>
      <c r="M530" s="211"/>
      <c r="N530" s="212"/>
      <c r="O530" s="212"/>
      <c r="P530" s="212">
        <v>39</v>
      </c>
      <c r="Q530" s="212">
        <v>600.54640926033198</v>
      </c>
      <c r="R530" s="212">
        <v>1861</v>
      </c>
      <c r="S530" s="212">
        <v>11155</v>
      </c>
      <c r="T530" s="212">
        <v>13603</v>
      </c>
      <c r="U530" s="212">
        <v>0</v>
      </c>
      <c r="V530" s="205">
        <v>9206</v>
      </c>
      <c r="W530" s="205">
        <f>ROUND(표9[[#This Row],[Apr 2026 (USD or KRW)]],0)</f>
        <v>0</v>
      </c>
      <c r="X530" s="212"/>
      <c r="Y530" s="206">
        <f>표9[[#This Row],[Apr 2027(KRW)]]-표9[[#This Row],[Mar 2026(KRW)]]</f>
        <v>-9206</v>
      </c>
      <c r="Z530" s="213">
        <f t="shared" si="7"/>
        <v>-1</v>
      </c>
      <c r="AA530" s="208">
        <f>VLOOKUP(표9[[#This Row],[Team]],표1[],3,0)</f>
        <v>1000</v>
      </c>
    </row>
    <row r="531" spans="1:27" s="8" customFormat="1" ht="15">
      <c r="A531" s="209" t="str">
        <f>VLOOKUP($H531,GCP!$A:$H,2,0)</f>
        <v>GCP</v>
      </c>
      <c r="B531" s="209" t="str">
        <f>VLOOKUP($H531,GCP!$A:$H,3,0)</f>
        <v>KRAFTON HQ</v>
      </c>
      <c r="C531" s="209" t="str">
        <f>VLOOKUP($H531,GCP!$A:$H,4,0)</f>
        <v>OVERDARE</v>
      </c>
      <c r="D531" s="209" t="str">
        <f>VLOOKUP($H531,GCP!$A:$H,5,0)</f>
        <v>OVDR Web 3.0 Product Team</v>
      </c>
      <c r="E531" s="209" t="str">
        <f>VLOOKUP($H531,GCP!$A:$H,6,0)</f>
        <v>OVERHEAD/OTHERS</v>
      </c>
      <c r="F531" s="202" t="e">
        <f>VLOOKUP(표9[[#This Row],[Team]],표1[[내역]:[코스트 센터]],2,0)</f>
        <v>#N/A</v>
      </c>
      <c r="G531" s="202" t="str">
        <f>VLOOKUP(표9[[#This Row],[Project]],표2[],2,0)</f>
        <v>I100099999</v>
      </c>
      <c r="H531" s="209" t="s">
        <v>487</v>
      </c>
      <c r="I531" s="209" t="str">
        <f>VLOOKUP($H531,GCP!$A:$H,7,0)</f>
        <v>당정현</v>
      </c>
      <c r="J531" s="209" t="str">
        <f>VLOOKUP($H531,GCP!$A:$H,8,0)</f>
        <v>당정현</v>
      </c>
      <c r="K531" s="186"/>
      <c r="L531" s="210"/>
      <c r="M531" s="211"/>
      <c r="N531" s="212"/>
      <c r="O531" s="212"/>
      <c r="P531" s="212"/>
      <c r="Q531" s="212"/>
      <c r="R531" s="212"/>
      <c r="S531" s="212">
        <v>0</v>
      </c>
      <c r="T531" s="212">
        <v>0</v>
      </c>
      <c r="U531" s="212">
        <v>0</v>
      </c>
      <c r="V531" s="205">
        <v>0</v>
      </c>
      <c r="W531" s="205">
        <f>ROUND(표9[[#This Row],[Apr 2026 (USD or KRW)]],0)</f>
        <v>0</v>
      </c>
      <c r="X531" s="212"/>
      <c r="Y531" s="206">
        <f>표9[[#This Row],[Apr 2027(KRW)]]-표9[[#This Row],[Mar 2026(KRW)]]</f>
        <v>0</v>
      </c>
      <c r="Z531" s="213" t="str">
        <f t="shared" si="7"/>
        <v/>
      </c>
      <c r="AA531" s="208" t="e">
        <f>VLOOKUP(표9[[#This Row],[Team]],표1[],3,0)</f>
        <v>#N/A</v>
      </c>
    </row>
    <row r="532" spans="1:27" s="8" customFormat="1" ht="15">
      <c r="A532" s="209" t="str">
        <f>VLOOKUP($H532,GCP!$A:$H,2,0)</f>
        <v>GCP</v>
      </c>
      <c r="B532" s="209" t="str">
        <f>VLOOKUP($H532,GCP!$A:$H,3,0)</f>
        <v>KRAFTON HQ</v>
      </c>
      <c r="C532" s="209" t="str">
        <f>VLOOKUP($H532,GCP!$A:$H,4,0)</f>
        <v>OVERDARE</v>
      </c>
      <c r="D532" s="209">
        <f>VLOOKUP($H532,GCP!$A:$H,5,0)</f>
        <v>0</v>
      </c>
      <c r="E532" s="209" t="str">
        <f>VLOOKUP($H532,GCP!$A:$H,6,0)</f>
        <v>OVERHEAD/OTHERS</v>
      </c>
      <c r="F532" s="202" t="e">
        <f>VLOOKUP(표9[[#This Row],[Team]],표1[[내역]:[코스트 센터]],2,0)</f>
        <v>#N/A</v>
      </c>
      <c r="G532" s="202" t="str">
        <f>VLOOKUP(표9[[#This Row],[Project]],표2[],2,0)</f>
        <v>I100099999</v>
      </c>
      <c r="H532" s="246" t="s">
        <v>488</v>
      </c>
      <c r="I532" s="209" t="str">
        <f>VLOOKUP($H532,GCP!$A:$H,7,0)</f>
        <v>당정현</v>
      </c>
      <c r="J532" s="209" t="str">
        <f>VLOOKUP($H532,GCP!$A:$H,8,0)</f>
        <v>당정현</v>
      </c>
      <c r="K532" s="186"/>
      <c r="L532" s="210"/>
      <c r="M532" s="211"/>
      <c r="N532" s="212">
        <v>15458</v>
      </c>
      <c r="O532" s="212">
        <f>ROUND(VLOOKUP(H532,'[1]Summary_BY Project'!$C:$N,12,0),0)</f>
        <v>56760</v>
      </c>
      <c r="P532" s="212">
        <v>35549</v>
      </c>
      <c r="Q532" s="212">
        <v>211502.07494605999</v>
      </c>
      <c r="R532" s="212">
        <v>221353</v>
      </c>
      <c r="S532" s="212">
        <v>1257249</v>
      </c>
      <c r="T532" s="212">
        <v>642356</v>
      </c>
      <c r="U532" s="212">
        <v>18</v>
      </c>
      <c r="V532" s="205">
        <v>227687</v>
      </c>
      <c r="W532" s="205">
        <f>ROUND(표9[[#This Row],[Apr 2026 (USD or KRW)]],0)</f>
        <v>0</v>
      </c>
      <c r="X532" s="212"/>
      <c r="Y532" s="206">
        <f>표9[[#This Row],[Apr 2027(KRW)]]-표9[[#This Row],[Mar 2026(KRW)]]</f>
        <v>-227687</v>
      </c>
      <c r="Z532" s="213">
        <f t="shared" si="7"/>
        <v>-1</v>
      </c>
      <c r="AA532" s="208" t="e">
        <f>VLOOKUP(표9[[#This Row],[Team]],표1[],3,0)</f>
        <v>#N/A</v>
      </c>
    </row>
    <row r="533" spans="1:27" s="8" customFormat="1" ht="15">
      <c r="A533" s="209" t="str">
        <f>VLOOKUP($H533,GCP!$A:$H,2,0)</f>
        <v>GCP</v>
      </c>
      <c r="B533" s="209" t="str">
        <f>VLOOKUP($H533,GCP!$A:$H,3,0)</f>
        <v>Unknownworlds</v>
      </c>
      <c r="C533" s="209" t="str">
        <f>VLOOKUP($H533,GCP!$A:$H,4,0)</f>
        <v>Unknownworlds</v>
      </c>
      <c r="D533" s="209" t="str">
        <f>VLOOKUP($H533,GCP!$A:$H,5,0)</f>
        <v>Unknownworlds</v>
      </c>
      <c r="E533" s="209" t="str">
        <f>VLOOKUP($H533,GCP!$A:$H,6,0)</f>
        <v>UW-MOONBREAKER</v>
      </c>
      <c r="F533" s="202" t="e">
        <f>VLOOKUP(표9[[#This Row],[Team]],표1[[내역]:[코스트 센터]],2,0)</f>
        <v>#N/A</v>
      </c>
      <c r="G533" s="202" t="str">
        <f>VLOOKUP(표9[[#This Row],[Project]],표2[],2,0)</f>
        <v>P100010051</v>
      </c>
      <c r="H533" s="209" t="s">
        <v>489</v>
      </c>
      <c r="I533" s="209" t="str">
        <f>VLOOKUP($H533,GCP!$A:$H,7,0)</f>
        <v>Jack Smith</v>
      </c>
      <c r="J533" s="209" t="str">
        <f>VLOOKUP($H533,GCP!$A:$H,8,0)</f>
        <v>Jack Smith</v>
      </c>
      <c r="K533" s="186"/>
      <c r="L533" s="210">
        <v>812555</v>
      </c>
      <c r="M533" s="211">
        <v>773524</v>
      </c>
      <c r="N533" s="212">
        <v>761371</v>
      </c>
      <c r="O533" s="212">
        <f>ROUND(VLOOKUP(H533,'[1]Summary_BY Project'!$C:$N,12,0),0)</f>
        <v>786240</v>
      </c>
      <c r="P533" s="212">
        <v>789091</v>
      </c>
      <c r="Q533" s="212">
        <v>794682.27159000002</v>
      </c>
      <c r="R533" s="212">
        <v>696248</v>
      </c>
      <c r="S533" s="212">
        <v>829618</v>
      </c>
      <c r="T533" s="212">
        <v>808328</v>
      </c>
      <c r="U533" s="212">
        <v>805815</v>
      </c>
      <c r="V533" s="205">
        <v>804763</v>
      </c>
      <c r="W533" s="205">
        <f>ROUND(표9[[#This Row],[Apr 2026 (USD or KRW)]],0)</f>
        <v>0</v>
      </c>
      <c r="X533" s="212"/>
      <c r="Y533" s="206">
        <f>표9[[#This Row],[Apr 2027(KRW)]]-표9[[#This Row],[Mar 2026(KRW)]]</f>
        <v>-804763</v>
      </c>
      <c r="Z533" s="213">
        <f t="shared" ref="Z533:Z579" si="8">IF(V533=0,"",(W533-V533)/V533)</f>
        <v>-1</v>
      </c>
      <c r="AA533" s="208" t="e">
        <f>VLOOKUP(표9[[#This Row],[Team]],표1[],3,0)</f>
        <v>#N/A</v>
      </c>
    </row>
    <row r="534" spans="1:27" s="8" customFormat="1" ht="15">
      <c r="A534" s="209" t="str">
        <f>VLOOKUP($H534,GCP!$A:$H,2,0)</f>
        <v>GCP</v>
      </c>
      <c r="B534" s="209" t="str">
        <f>VLOOKUP($H534,GCP!$A:$H,3,0)</f>
        <v>KRAFTON HQ</v>
      </c>
      <c r="C534" s="209" t="str">
        <f>VLOOKUP($H534,GCP!$A:$H,4,0)</f>
        <v>KRAFTON HQ</v>
      </c>
      <c r="D534" s="209" t="str">
        <f>VLOOKUP($H534,GCP!$A:$H,5,0)</f>
        <v>AI Model Research Dept.</v>
      </c>
      <c r="E534" s="209" t="str">
        <f>VLOOKUP($H534,GCP!$A:$H,6,0)</f>
        <v>OVERHEAD/OTHERS</v>
      </c>
      <c r="F534" s="202">
        <f>VLOOKUP(표9[[#This Row],[Team]],표1[[내역]:[코스트 센터]],2,0)</f>
        <v>101316</v>
      </c>
      <c r="G534" s="202" t="str">
        <f>VLOOKUP(표9[[#This Row],[Project]],표2[],2,0)</f>
        <v>I100099999</v>
      </c>
      <c r="H534" s="246" t="s">
        <v>490</v>
      </c>
      <c r="I534" s="209" t="str">
        <f>VLOOKUP($H534,GCP!$A:$H,7,0)</f>
        <v>박선영</v>
      </c>
      <c r="J534" s="209" t="str">
        <f>VLOOKUP($H534,GCP!$A:$H,8,0)</f>
        <v>박선영</v>
      </c>
      <c r="K534" s="186"/>
      <c r="L534" s="210"/>
      <c r="M534" s="211"/>
      <c r="N534" s="212"/>
      <c r="O534" s="212"/>
      <c r="P534" s="212"/>
      <c r="Q534" s="212"/>
      <c r="R534" s="212"/>
      <c r="S534" s="212"/>
      <c r="T534" s="212">
        <v>756015</v>
      </c>
      <c r="U534" s="212">
        <v>6</v>
      </c>
      <c r="V534" s="205">
        <v>408</v>
      </c>
      <c r="W534" s="205">
        <f>ROUND(표9[[#This Row],[Apr 2026 (USD or KRW)]],0)</f>
        <v>0</v>
      </c>
      <c r="X534" s="212"/>
      <c r="Y534" s="206">
        <f>표9[[#This Row],[Apr 2027(KRW)]]-표9[[#This Row],[Mar 2026(KRW)]]</f>
        <v>-408</v>
      </c>
      <c r="Z534" s="213">
        <f t="shared" si="8"/>
        <v>-1</v>
      </c>
      <c r="AA534" s="208">
        <f>VLOOKUP(표9[[#This Row],[Team]],표1[],3,0)</f>
        <v>1000</v>
      </c>
    </row>
    <row r="535" spans="1:27" s="8" customFormat="1" ht="15">
      <c r="A535" s="209" t="str">
        <f>VLOOKUP($H535,GCP!$A:$H,2,0)</f>
        <v>GCP</v>
      </c>
      <c r="B535" s="209" t="str">
        <f>VLOOKUP($H535,GCP!$A:$H,3,0)</f>
        <v>KRAFTON HQ</v>
      </c>
      <c r="C535" s="209" t="str">
        <f>VLOOKUP($H535,GCP!$A:$H,4,0)</f>
        <v>KRAFTON HQ</v>
      </c>
      <c r="D535" s="209" t="str">
        <f>VLOOKUP($H535,GCP!$A:$H,5,0)</f>
        <v>Data Engineering Dept.</v>
      </c>
      <c r="E535" s="209" t="str">
        <f>VLOOKUP($H535,GCP!$A:$H,6,0)</f>
        <v>OVERHEAD/OTHERS</v>
      </c>
      <c r="F535" s="202">
        <f>VLOOKUP(표9[[#This Row],[Team]],표1[[내역]:[코스트 센터]],2,0)</f>
        <v>100212</v>
      </c>
      <c r="G535" s="202" t="str">
        <f>VLOOKUP(표9[[#This Row],[Project]],표2[],2,0)</f>
        <v>I100099999</v>
      </c>
      <c r="H535" s="209" t="s">
        <v>491</v>
      </c>
      <c r="I535" s="209" t="str">
        <f>VLOOKUP($H535,GCP!$A:$H,7,0)</f>
        <v>염화음</v>
      </c>
      <c r="J535" s="209" t="str">
        <f>VLOOKUP($H535,GCP!$A:$H,8,0)</f>
        <v>신수연</v>
      </c>
      <c r="K535" s="186"/>
      <c r="L535" s="210"/>
      <c r="M535" s="211"/>
      <c r="N535" s="212"/>
      <c r="O535" s="212"/>
      <c r="P535" s="212"/>
      <c r="Q535" s="212"/>
      <c r="R535" s="212"/>
      <c r="S535" s="212">
        <v>0</v>
      </c>
      <c r="T535" s="212">
        <v>0</v>
      </c>
      <c r="U535" s="212">
        <v>0</v>
      </c>
      <c r="V535" s="205">
        <v>0</v>
      </c>
      <c r="W535" s="205">
        <f>ROUND(표9[[#This Row],[Apr 2026 (USD or KRW)]],0)</f>
        <v>0</v>
      </c>
      <c r="X535" s="212"/>
      <c r="Y535" s="206">
        <f>표9[[#This Row],[Apr 2027(KRW)]]-표9[[#This Row],[Mar 2026(KRW)]]</f>
        <v>0</v>
      </c>
      <c r="Z535" s="213" t="str">
        <f t="shared" si="8"/>
        <v/>
      </c>
      <c r="AA535" s="208">
        <f>VLOOKUP(표9[[#This Row],[Team]],표1[],3,0)</f>
        <v>1000</v>
      </c>
    </row>
    <row r="536" spans="1:27" s="8" customFormat="1" ht="15">
      <c r="A536" s="209" t="str">
        <f>VLOOKUP($H536,GCP!$A:$H,2,0)</f>
        <v>GCP</v>
      </c>
      <c r="B536" s="209" t="str">
        <f>VLOOKUP($H536,GCP!$A:$H,3,0)</f>
        <v>KRAFTON HQ</v>
      </c>
      <c r="C536" s="209" t="str">
        <f>VLOOKUP($H536,GCP!$A:$H,4,0)</f>
        <v>KRAFTON HQ</v>
      </c>
      <c r="D536" s="209" t="str">
        <f>VLOOKUP($H536,GCP!$A:$H,5,0)</f>
        <v>PalM Unit</v>
      </c>
      <c r="E536" s="209" t="str">
        <f>VLOOKUP($H536,GCP!$A:$H,6,0)</f>
        <v>PalM</v>
      </c>
      <c r="F536" s="202">
        <f>VLOOKUP(표9[[#This Row],[Team]],표1[[내역]:[코스트 센터]],2,0)</f>
        <v>101758</v>
      </c>
      <c r="G536" s="202" t="str">
        <f>VLOOKUP(표9[[#This Row],[Project]],표2[],2,0)</f>
        <v>P100030103</v>
      </c>
      <c r="H536" s="209" t="s">
        <v>492</v>
      </c>
      <c r="I536" s="230" t="str">
        <f>VLOOKUP($H536,GCP!$A:$H,7,0)</f>
        <v>양병성</v>
      </c>
      <c r="J536" s="209" t="str">
        <f>VLOOKUP($H536,GCP!$A:$H,8,0)</f>
        <v>양병성</v>
      </c>
      <c r="K536" s="186"/>
      <c r="L536" s="210"/>
      <c r="M536" s="211"/>
      <c r="N536" s="212">
        <v>498381</v>
      </c>
      <c r="O536" s="212">
        <f>ROUND(VLOOKUP(H536,'[1]Summary_BY Project'!$C:$N,12,0),0)</f>
        <v>280370</v>
      </c>
      <c r="P536" s="212">
        <v>29853</v>
      </c>
      <c r="Q536" s="212">
        <v>1972.6771002754699</v>
      </c>
      <c r="R536" s="212">
        <v>5090</v>
      </c>
      <c r="S536" s="212">
        <v>70283</v>
      </c>
      <c r="T536" s="212">
        <v>211224</v>
      </c>
      <c r="U536" s="212">
        <v>3</v>
      </c>
      <c r="V536" s="205">
        <v>35228</v>
      </c>
      <c r="W536" s="205">
        <f>ROUND(표9[[#This Row],[Apr 2026 (USD or KRW)]],0)</f>
        <v>0</v>
      </c>
      <c r="X536" s="212"/>
      <c r="Y536" s="206">
        <f>표9[[#This Row],[Apr 2027(KRW)]]-표9[[#This Row],[Mar 2026(KRW)]]</f>
        <v>-35228</v>
      </c>
      <c r="Z536" s="213">
        <f t="shared" si="8"/>
        <v>-1</v>
      </c>
      <c r="AA536" s="208">
        <f>VLOOKUP(표9[[#This Row],[Team]],표1[],3,0)</f>
        <v>1000</v>
      </c>
    </row>
    <row r="537" spans="1:27" s="8" customFormat="1" ht="15">
      <c r="A537" s="209" t="str">
        <f>VLOOKUP($H537,GCP!$A:$H,2,0)</f>
        <v>GCP</v>
      </c>
      <c r="B537" s="209" t="str">
        <f>VLOOKUP($H537,GCP!$A:$H,3,0)</f>
        <v>KRAFTON HQ</v>
      </c>
      <c r="C537" s="209" t="str">
        <f>VLOOKUP($H537,GCP!$A:$H,4,0)</f>
        <v>OVERDARE</v>
      </c>
      <c r="D537" s="209" t="str">
        <f>VLOOKUP($H537,GCP!$A:$H,5,0)</f>
        <v>OVDR Platform Engineering Dept.</v>
      </c>
      <c r="E537" s="209" t="str">
        <f>VLOOKUP($H537,GCP!$A:$H,6,0)</f>
        <v>OVERHEAD/OTHERS</v>
      </c>
      <c r="F537" s="202">
        <f>VLOOKUP(표9[[#This Row],[Team]],표1[[내역]:[코스트 센터]],2,0)</f>
        <v>100953</v>
      </c>
      <c r="G537" s="202" t="str">
        <f>VLOOKUP(표9[[#This Row],[Project]],표2[],2,0)</f>
        <v>I100099999</v>
      </c>
      <c r="H537" s="209" t="s">
        <v>493</v>
      </c>
      <c r="I537" s="230" t="str">
        <f>VLOOKUP($H537,GCP!$A:$H,7,0)</f>
        <v>나윤호</v>
      </c>
      <c r="J537" s="209" t="str">
        <f>VLOOKUP($H537,GCP!$A:$H,8,0)</f>
        <v>이제우</v>
      </c>
      <c r="K537" s="186"/>
      <c r="L537" s="210">
        <v>18023639</v>
      </c>
      <c r="M537" s="211">
        <v>24304360</v>
      </c>
      <c r="N537" s="212">
        <v>31543413</v>
      </c>
      <c r="O537" s="212">
        <f>ROUND(VLOOKUP(H537,'[1]Summary_BY Project'!$C:$N,12,0),0)</f>
        <v>32084883</v>
      </c>
      <c r="P537" s="212">
        <v>40536900</v>
      </c>
      <c r="Q537" s="212">
        <v>46259920.0767451</v>
      </c>
      <c r="R537" s="212">
        <v>33695355</v>
      </c>
      <c r="S537" s="212">
        <v>53645497</v>
      </c>
      <c r="T537" s="212">
        <v>58648964</v>
      </c>
      <c r="U537" s="212">
        <v>2475</v>
      </c>
      <c r="V537" s="205">
        <v>39951447</v>
      </c>
      <c r="W537" s="205">
        <f>ROUND(표9[[#This Row],[Apr 2026 (USD or KRW)]],0)</f>
        <v>0</v>
      </c>
      <c r="X537" s="212"/>
      <c r="Y537" s="206">
        <f>표9[[#This Row],[Apr 2027(KRW)]]-표9[[#This Row],[Mar 2026(KRW)]]</f>
        <v>-39951447</v>
      </c>
      <c r="Z537" s="213">
        <f t="shared" si="8"/>
        <v>-1</v>
      </c>
      <c r="AA537" s="208">
        <f>VLOOKUP(표9[[#This Row],[Team]],표1[],3,0)</f>
        <v>1000</v>
      </c>
    </row>
    <row r="538" spans="1:27" s="8" customFormat="1" ht="15">
      <c r="A538" s="209" t="str">
        <f>VLOOKUP($H538,GCP!$A:$H,2,0)</f>
        <v>GCP</v>
      </c>
      <c r="B538" s="209" t="str">
        <f>VLOOKUP($H538,GCP!$A:$H,3,0)</f>
        <v>KRAFTON HQ</v>
      </c>
      <c r="C538" s="209" t="str">
        <f>VLOOKUP($H538,GCP!$A:$H,4,0)</f>
        <v>KRAFTON HQ</v>
      </c>
      <c r="D538" s="209" t="str">
        <f>VLOOKUP($H538,GCP!$A:$H,5,0)</f>
        <v>Design Creative Part</v>
      </c>
      <c r="E538" s="209" t="str">
        <f>VLOOKUP($H538,GCP!$A:$H,6,0)</f>
        <v>OVERHEAD/OTHERS</v>
      </c>
      <c r="F538" s="202">
        <f>VLOOKUP(표9[[#This Row],[Team]],표1[[내역]:[코스트 센터]],2,0)</f>
        <v>101083</v>
      </c>
      <c r="G538" s="202" t="str">
        <f>VLOOKUP(표9[[#This Row],[Project]],표2[],2,0)</f>
        <v>I100099999</v>
      </c>
      <c r="H538" s="209" t="s">
        <v>494</v>
      </c>
      <c r="I538" s="230" t="str">
        <f>VLOOKUP($H538,GCP!$A:$H,7,0)</f>
        <v>권순철</v>
      </c>
      <c r="J538" s="209" t="str">
        <f>VLOOKUP($H538,GCP!$A:$H,8,0)</f>
        <v>권순철</v>
      </c>
      <c r="K538" s="186"/>
      <c r="L538" s="210"/>
      <c r="M538" s="211"/>
      <c r="N538" s="212"/>
      <c r="O538" s="212"/>
      <c r="P538" s="212"/>
      <c r="Q538" s="212"/>
      <c r="R538" s="212"/>
      <c r="S538" s="212"/>
      <c r="T538" s="212"/>
      <c r="U538" s="212">
        <v>0</v>
      </c>
      <c r="V538" s="205">
        <v>793</v>
      </c>
      <c r="W538" s="205">
        <f>ROUND(표9[[#This Row],[Apr 2026 (USD or KRW)]],0)</f>
        <v>0</v>
      </c>
      <c r="X538" s="212"/>
      <c r="Y538" s="206">
        <f>표9[[#This Row],[Apr 2027(KRW)]]-표9[[#This Row],[Mar 2026(KRW)]]</f>
        <v>-793</v>
      </c>
      <c r="Z538" s="213">
        <f t="shared" si="8"/>
        <v>-1</v>
      </c>
      <c r="AA538" s="208">
        <f>VLOOKUP(표9[[#This Row],[Team]],표1[],3,0)</f>
        <v>1000</v>
      </c>
    </row>
    <row r="539" spans="1:27" s="8" customFormat="1" ht="15">
      <c r="A539" s="209" t="str">
        <f>VLOOKUP($H539,GCP!$A:$H,2,0)</f>
        <v>GCP</v>
      </c>
      <c r="B539" s="209" t="str">
        <f>VLOOKUP($H539,GCP!$A:$H,3,0)</f>
        <v>KRAFTON HQ</v>
      </c>
      <c r="C539" s="209" t="str">
        <f>VLOOKUP($H539,GCP!$A:$H,4,0)</f>
        <v>KRAFTON HQ</v>
      </c>
      <c r="D539" s="227" t="str">
        <f>VLOOKUP($H539,GCP!$A:$H,5,0)</f>
        <v>Platform Management Team</v>
      </c>
      <c r="E539" s="209" t="str">
        <f>VLOOKUP($H539,GCP!$A:$H,6,0)</f>
        <v>Dark and Darker_Mobile</v>
      </c>
      <c r="F539" s="202">
        <f>VLOOKUP(표9[[#This Row],[Team]],표1[[내역]:[코스트 센터]],2,0)</f>
        <v>101323</v>
      </c>
      <c r="G539" s="202" t="str">
        <f>VLOOKUP(표9[[#This Row],[Project]],표2[],2,0)</f>
        <v>P100030073</v>
      </c>
      <c r="H539" s="209" t="s">
        <v>495</v>
      </c>
      <c r="I539" s="230" t="str">
        <f>VLOOKUP($H539,GCP!$A:$H,7,0)</f>
        <v>신지호</v>
      </c>
      <c r="J539" s="209" t="str">
        <f>VLOOKUP($H539,GCP!$A:$H,8,0)</f>
        <v>신지호</v>
      </c>
      <c r="K539" s="186" t="s">
        <v>29</v>
      </c>
      <c r="L539" s="210">
        <v>335</v>
      </c>
      <c r="M539" s="211">
        <v>305</v>
      </c>
      <c r="N539" s="212">
        <v>335</v>
      </c>
      <c r="O539" s="212">
        <f>ROUND(VLOOKUP(H539,'[1]Summary_BY Project'!$C:$N,12,0),0)</f>
        <v>355</v>
      </c>
      <c r="P539" s="212">
        <v>344</v>
      </c>
      <c r="Q539" s="212">
        <v>340.91250228800499</v>
      </c>
      <c r="R539" s="212">
        <v>254</v>
      </c>
      <c r="S539" s="212">
        <v>409</v>
      </c>
      <c r="T539" s="212">
        <v>410</v>
      </c>
      <c r="U539" s="212">
        <v>0</v>
      </c>
      <c r="V539" s="205">
        <v>347</v>
      </c>
      <c r="W539" s="205">
        <f>ROUND(표9[[#This Row],[Apr 2026 (USD or KRW)]],0)</f>
        <v>0</v>
      </c>
      <c r="X539" s="212"/>
      <c r="Y539" s="206">
        <f>표9[[#This Row],[Apr 2027(KRW)]]-표9[[#This Row],[Mar 2026(KRW)]]</f>
        <v>-347</v>
      </c>
      <c r="Z539" s="213">
        <f t="shared" si="8"/>
        <v>-1</v>
      </c>
      <c r="AA539" s="208">
        <f>VLOOKUP(표9[[#This Row],[Team]],표1[],3,0)</f>
        <v>1000</v>
      </c>
    </row>
    <row r="540" spans="1:27" s="8" customFormat="1" ht="15">
      <c r="A540" s="209" t="str">
        <f>VLOOKUP($H540,GCP!$A:$H,2,0)</f>
        <v>GCP</v>
      </c>
      <c r="B540" s="209" t="str">
        <f>VLOOKUP($H540,GCP!$A:$H,3,0)</f>
        <v>KRAFTON HQ</v>
      </c>
      <c r="C540" s="209" t="str">
        <f>VLOOKUP($H540,GCP!$A:$H,4,0)</f>
        <v>PUBG STUDIO</v>
      </c>
      <c r="D540" s="209" t="str">
        <f>VLOOKUP($H540,GCP!$A:$H,5,0)</f>
        <v>Platform Management Team</v>
      </c>
      <c r="E540" s="209" t="str">
        <f>VLOOKUP($H540,GCP!$A:$H,6,0)</f>
        <v>UROPA_mobile</v>
      </c>
      <c r="F540" s="202">
        <f>VLOOKUP(표9[[#This Row],[Team]],표1[[내역]:[코스트 센터]],2,0)</f>
        <v>101323</v>
      </c>
      <c r="G540" s="202" t="str">
        <f>VLOOKUP(표9[[#This Row],[Project]],표2[],2,0)</f>
        <v>P100030092</v>
      </c>
      <c r="H540" s="246" t="s">
        <v>496</v>
      </c>
      <c r="I540" s="230" t="str">
        <f>VLOOKUP($H540,GCP!$A:$H,7,0)</f>
        <v>신지호</v>
      </c>
      <c r="J540" s="209" t="str">
        <f>VLOOKUP($H540,GCP!$A:$H,8,0)</f>
        <v>신지호</v>
      </c>
      <c r="K540" s="186" t="s">
        <v>29</v>
      </c>
      <c r="L540" s="210"/>
      <c r="M540" s="211"/>
      <c r="N540" s="212"/>
      <c r="O540" s="212"/>
      <c r="P540" s="212"/>
      <c r="Q540" s="212"/>
      <c r="R540" s="212"/>
      <c r="S540" s="212"/>
      <c r="T540" s="212">
        <v>0</v>
      </c>
      <c r="U540" s="212">
        <v>0</v>
      </c>
      <c r="V540" s="205">
        <v>0</v>
      </c>
      <c r="W540" s="205">
        <f>ROUND(표9[[#This Row],[Apr 2026 (USD or KRW)]],0)</f>
        <v>0</v>
      </c>
      <c r="X540" s="212"/>
      <c r="Y540" s="206">
        <f>표9[[#This Row],[Apr 2027(KRW)]]-표9[[#This Row],[Mar 2026(KRW)]]</f>
        <v>0</v>
      </c>
      <c r="Z540" s="213" t="str">
        <f t="shared" si="8"/>
        <v/>
      </c>
      <c r="AA540" s="208">
        <f>VLOOKUP(표9[[#This Row],[Team]],표1[],3,0)</f>
        <v>1000</v>
      </c>
    </row>
    <row r="541" spans="1:27" s="8" customFormat="1" ht="15">
      <c r="A541" s="209" t="str">
        <f>VLOOKUP($H541,GCP!$A:$H,2,0)</f>
        <v>GCP</v>
      </c>
      <c r="B541" s="209" t="str">
        <f>VLOOKUP($H541,GCP!$A:$H,3,0)</f>
        <v>KRAFTON HQ</v>
      </c>
      <c r="C541" s="209" t="str">
        <f>VLOOKUP($H541,GCP!$A:$H,4,0)</f>
        <v>Flyway Games</v>
      </c>
      <c r="D541" s="209" t="str">
        <f>VLOOKUP($H541,GCP!$A:$H,5,0)</f>
        <v>FWG T Team</v>
      </c>
      <c r="E541" s="209">
        <f>VLOOKUP($H541,GCP!$A:$H,6,0)</f>
        <v>0</v>
      </c>
      <c r="F541" s="202">
        <f>VLOOKUP(표9[[#This Row],[Team]],표1[[내역]:[코스트 센터]],2,0)</f>
        <v>480027</v>
      </c>
      <c r="G541" s="202" t="e">
        <f>VLOOKUP(표9[[#This Row],[Project]],표2[],2,0)</f>
        <v>#N/A</v>
      </c>
      <c r="H541" s="246" t="s">
        <v>497</v>
      </c>
      <c r="I541" s="230" t="str">
        <f>VLOOKUP($H541,GCP!$A:$H,7,0)</f>
        <v>김무갑</v>
      </c>
      <c r="J541" s="209" t="str">
        <f>VLOOKUP($H541,GCP!$A:$H,8,0)</f>
        <v>김무갑</v>
      </c>
      <c r="K541" s="186"/>
      <c r="L541" s="210"/>
      <c r="M541" s="211"/>
      <c r="N541" s="212"/>
      <c r="O541" s="212"/>
      <c r="P541" s="212"/>
      <c r="Q541" s="212"/>
      <c r="R541" s="212"/>
      <c r="S541" s="212"/>
      <c r="T541" s="212">
        <v>149904</v>
      </c>
      <c r="U541" s="212">
        <v>0</v>
      </c>
      <c r="V541" s="205">
        <v>0</v>
      </c>
      <c r="W541" s="205">
        <f>ROUND(표9[[#This Row],[Apr 2026 (USD or KRW)]],0)</f>
        <v>0</v>
      </c>
      <c r="X541" s="212"/>
      <c r="Y541" s="206">
        <f>표9[[#This Row],[Apr 2027(KRW)]]-표9[[#This Row],[Mar 2026(KRW)]]</f>
        <v>0</v>
      </c>
      <c r="Z541" s="213" t="str">
        <f t="shared" si="8"/>
        <v/>
      </c>
      <c r="AA541" s="208">
        <f>VLOOKUP(표9[[#This Row],[Team]],표1[],3,0)</f>
        <v>4800</v>
      </c>
    </row>
    <row r="542" spans="1:27" s="8" customFormat="1" ht="15">
      <c r="A542" s="209" t="str">
        <f>VLOOKUP($H542,GCP!$A:$H,2,0)</f>
        <v>GCP</v>
      </c>
      <c r="B542" s="209" t="str">
        <f>VLOOKUP($H542,GCP!$A:$H,3,0)</f>
        <v>KRAFTON HQ</v>
      </c>
      <c r="C542" s="209" t="str">
        <f>VLOOKUP($H542,GCP!$A:$H,4,0)</f>
        <v>KRAFTON HQ</v>
      </c>
      <c r="D542" s="209" t="str">
        <f>VLOOKUP($H542,GCP!$A:$H,5,0)</f>
        <v>PUBG Ally DL TF Team</v>
      </c>
      <c r="E542" s="209" t="str">
        <f>VLOOKUP($H542,GCP!$A:$H,6,0)</f>
        <v>OVERHEAD/OTHERS</v>
      </c>
      <c r="F542" s="202">
        <f>VLOOKUP(표9[[#This Row],[Team]],표1[[내역]:[코스트 센터]],2,0)</f>
        <v>101942</v>
      </c>
      <c r="G542" s="202" t="str">
        <f>VLOOKUP(표9[[#This Row],[Project]],표2[],2,0)</f>
        <v>I100099999</v>
      </c>
      <c r="H542" s="209" t="s">
        <v>498</v>
      </c>
      <c r="I542" s="230" t="str">
        <f>VLOOKUP($H542,GCP!$A:$H,7,0)</f>
        <v>임효정</v>
      </c>
      <c r="J542" s="209" t="str">
        <f>VLOOKUP($H542,GCP!$A:$H,8,0)</f>
        <v>임효정</v>
      </c>
      <c r="K542" s="186" t="s">
        <v>29</v>
      </c>
      <c r="L542" s="210">
        <v>0</v>
      </c>
      <c r="M542" s="211">
        <v>54694</v>
      </c>
      <c r="N542" s="212">
        <v>205493</v>
      </c>
      <c r="O542" s="212">
        <f>ROUND(VLOOKUP(H542,'[1]Summary_BY Project'!$C:$N,12,0),0)</f>
        <v>1531737</v>
      </c>
      <c r="P542" s="212">
        <v>5707599</v>
      </c>
      <c r="Q542" s="212">
        <v>22994793.520909399</v>
      </c>
      <c r="R542" s="212">
        <v>8807613</v>
      </c>
      <c r="S542" s="212">
        <v>57769289</v>
      </c>
      <c r="T542" s="212">
        <v>4439745</v>
      </c>
      <c r="U542" s="212">
        <v>176</v>
      </c>
      <c r="V542" s="205">
        <v>4281909</v>
      </c>
      <c r="W542" s="205">
        <f>ROUND(표9[[#This Row],[Apr 2026 (USD or KRW)]],0)</f>
        <v>0</v>
      </c>
      <c r="X542" s="212"/>
      <c r="Y542" s="206">
        <f>표9[[#This Row],[Apr 2027(KRW)]]-표9[[#This Row],[Mar 2026(KRW)]]</f>
        <v>-4281909</v>
      </c>
      <c r="Z542" s="213">
        <f t="shared" si="8"/>
        <v>-1</v>
      </c>
      <c r="AA542" s="208">
        <f>VLOOKUP(표9[[#This Row],[Team]],표1[],3,0)</f>
        <v>1000</v>
      </c>
    </row>
    <row r="543" spans="1:27" s="8" customFormat="1" ht="15">
      <c r="A543" s="209" t="str">
        <f>VLOOKUP($H543,GCP!$A:$H,2,0)</f>
        <v>GCP</v>
      </c>
      <c r="B543" s="209" t="str">
        <f>VLOOKUP($H543,GCP!$A:$H,3,0)</f>
        <v>KRAFTON HQ</v>
      </c>
      <c r="C543" s="209" t="str">
        <f>VLOOKUP($H543,GCP!$A:$H,4,0)</f>
        <v>KRAFTON HQ</v>
      </c>
      <c r="D543" s="209" t="str">
        <f>VLOOKUP($H543,GCP!$A:$H,5,0)</f>
        <v>Platform Management Team</v>
      </c>
      <c r="E543" s="209" t="str">
        <f>VLOOKUP($H543,GCP!$A:$H,6,0)</f>
        <v>(2022)BATTLEGROUNDS_MOBILE_IN</v>
      </c>
      <c r="F543" s="202">
        <f>VLOOKUP(표9[[#This Row],[Team]],표1[[내역]:[코스트 센터]],2,0)</f>
        <v>101323</v>
      </c>
      <c r="G543" s="202" t="str">
        <f>VLOOKUP(표9[[#This Row],[Project]],표2[],2,0)</f>
        <v>P100130012</v>
      </c>
      <c r="H543" s="209" t="s">
        <v>499</v>
      </c>
      <c r="I543" s="230" t="str">
        <f>VLOOKUP($H543,GCP!$A:$H,7,0)</f>
        <v>신지호</v>
      </c>
      <c r="J543" s="209" t="str">
        <f>VLOOKUP($H543,GCP!$A:$H,8,0)</f>
        <v>신지호</v>
      </c>
      <c r="K543" s="186" t="s">
        <v>29</v>
      </c>
      <c r="L543" s="210">
        <v>504939</v>
      </c>
      <c r="M543" s="211">
        <v>564021</v>
      </c>
      <c r="N543" s="212">
        <v>625597</v>
      </c>
      <c r="O543" s="212">
        <f>ROUND(VLOOKUP(H543,'[1]Summary_BY Project'!$C:$N,12,0),0)</f>
        <v>595881</v>
      </c>
      <c r="P543" s="212">
        <v>664709</v>
      </c>
      <c r="Q543" s="212">
        <v>530501.09327413305</v>
      </c>
      <c r="R543" s="212">
        <v>385591</v>
      </c>
      <c r="S543" s="212">
        <v>246345</v>
      </c>
      <c r="T543" s="212">
        <v>689903</v>
      </c>
      <c r="U543" s="212">
        <v>23</v>
      </c>
      <c r="V543" s="205">
        <v>311167</v>
      </c>
      <c r="W543" s="205">
        <f>ROUND(표9[[#This Row],[Apr 2026 (USD or KRW)]],0)</f>
        <v>0</v>
      </c>
      <c r="X543" s="212"/>
      <c r="Y543" s="206">
        <f>표9[[#This Row],[Apr 2027(KRW)]]-표9[[#This Row],[Mar 2026(KRW)]]</f>
        <v>-311167</v>
      </c>
      <c r="Z543" s="213">
        <f t="shared" si="8"/>
        <v>-1</v>
      </c>
      <c r="AA543" s="208">
        <f>VLOOKUP(표9[[#This Row],[Team]],표1[],3,0)</f>
        <v>1000</v>
      </c>
    </row>
    <row r="544" spans="1:27" s="8" customFormat="1" ht="15">
      <c r="A544" s="209" t="str">
        <f>VLOOKUP($H544,GCP!$A:$H,2,0)</f>
        <v>GCP</v>
      </c>
      <c r="B544" s="209" t="str">
        <f>VLOOKUP($H544,GCP!$A:$H,3,0)</f>
        <v>KRAFTON HQ</v>
      </c>
      <c r="C544" s="209" t="str">
        <f>VLOOKUP($H544,GCP!$A:$H,4,0)</f>
        <v>PUBG STUDIO</v>
      </c>
      <c r="D544" s="209" t="str">
        <f>VLOOKUP($H544,GCP!$A:$H,5,0)</f>
        <v>PUBG PC&amp;Console Dev Div.</v>
      </c>
      <c r="E544" s="209" t="str">
        <f>VLOOKUP($H544,GCP!$A:$H,6,0)</f>
        <v>BATTLEGROUNDS_PC/CONSOLE</v>
      </c>
      <c r="F544" s="202">
        <f>VLOOKUP(표9[[#This Row],[Team]],표1[[내역]:[코스트 센터]],2,0)</f>
        <v>100414</v>
      </c>
      <c r="G544" s="202" t="str">
        <f>VLOOKUP(표9[[#This Row],[Project]],표2[],2,0)</f>
        <v>P100010012</v>
      </c>
      <c r="H544" s="209" t="s">
        <v>500</v>
      </c>
      <c r="I544" s="230" t="str">
        <f>VLOOKUP($H544,GCP!$A:$H,7,0)</f>
        <v>김정헌</v>
      </c>
      <c r="J544" s="209" t="str">
        <f>VLOOKUP($H544,GCP!$A:$H,8,0)</f>
        <v>최준석</v>
      </c>
      <c r="K544" s="186"/>
      <c r="L544" s="210">
        <v>0</v>
      </c>
      <c r="M544" s="211">
        <v>733359</v>
      </c>
      <c r="N544" s="212">
        <v>959829</v>
      </c>
      <c r="O544" s="212">
        <f>ROUND(VLOOKUP(H544,'[1]Summary_BY Project'!$C:$N,12,0),0)</f>
        <v>1478752</v>
      </c>
      <c r="P544" s="212">
        <v>1627186</v>
      </c>
      <c r="Q544" s="212">
        <v>3284536.6306779301</v>
      </c>
      <c r="R544" s="212">
        <v>8594593</v>
      </c>
      <c r="S544" s="212">
        <v>13854425</v>
      </c>
      <c r="T544" s="212">
        <v>17044059</v>
      </c>
      <c r="U544" s="212">
        <v>35039556</v>
      </c>
      <c r="V544" s="205">
        <v>39754571</v>
      </c>
      <c r="W544" s="205">
        <f>ROUND(표9[[#This Row],[Apr 2026 (USD or KRW)]],0)</f>
        <v>0</v>
      </c>
      <c r="X544" s="212"/>
      <c r="Y544" s="206">
        <f>표9[[#This Row],[Apr 2027(KRW)]]-표9[[#This Row],[Mar 2026(KRW)]]</f>
        <v>-39754571</v>
      </c>
      <c r="Z544" s="213">
        <f t="shared" si="8"/>
        <v>-1</v>
      </c>
      <c r="AA544" s="208">
        <f>VLOOKUP(표9[[#This Row],[Team]],표1[],3,0)</f>
        <v>1000</v>
      </c>
    </row>
    <row r="545" spans="1:27" s="8" customFormat="1" ht="15">
      <c r="A545" s="209" t="str">
        <f>VLOOKUP($H545,GCP!$A:$H,2,0)</f>
        <v>GCP</v>
      </c>
      <c r="B545" s="209" t="str">
        <f>VLOOKUP($H545,GCP!$A:$H,3,0)</f>
        <v>KRAFTON HQ</v>
      </c>
      <c r="C545" s="209" t="str">
        <f>VLOOKUP($H545,GCP!$A:$H,4,0)</f>
        <v>KRAFTON HQ</v>
      </c>
      <c r="D545" s="209" t="str">
        <f>VLOOKUP($H545,GCP!$A:$H,5,0)</f>
        <v>KRAFTON HQ</v>
      </c>
      <c r="E545" s="209" t="str">
        <f>VLOOKUP($H545,GCP!$A:$H,6,0)</f>
        <v>OVERHEAD/OTHERS</v>
      </c>
      <c r="F545" s="202">
        <f>VLOOKUP(표9[[#This Row],[Team]],표1[[내역]:[코스트 센터]],2,0)</f>
        <v>100009</v>
      </c>
      <c r="G545" s="202" t="str">
        <f>VLOOKUP(표9[[#This Row],[Project]],표2[],2,0)</f>
        <v>I100099999</v>
      </c>
      <c r="H545" s="246" t="s">
        <v>501</v>
      </c>
      <c r="I545" s="230">
        <f>VLOOKUP($H545,GCP!$A:$H,7,0)</f>
        <v>0</v>
      </c>
      <c r="J545" s="209">
        <f>VLOOKUP($H545,GCP!$A:$H,8,0)</f>
        <v>0</v>
      </c>
      <c r="K545" s="186"/>
      <c r="L545" s="210"/>
      <c r="M545" s="211"/>
      <c r="N545" s="212"/>
      <c r="O545" s="212"/>
      <c r="P545" s="212"/>
      <c r="Q545" s="212"/>
      <c r="R545" s="212"/>
      <c r="S545" s="212">
        <v>0</v>
      </c>
      <c r="T545" s="212">
        <v>1</v>
      </c>
      <c r="U545" s="212">
        <v>0</v>
      </c>
      <c r="V545" s="205">
        <v>1</v>
      </c>
      <c r="W545" s="205">
        <f>ROUND(표9[[#This Row],[Apr 2026 (USD or KRW)]],0)</f>
        <v>0</v>
      </c>
      <c r="X545" s="212"/>
      <c r="Y545" s="206">
        <f>표9[[#This Row],[Apr 2027(KRW)]]-표9[[#This Row],[Mar 2026(KRW)]]</f>
        <v>-1</v>
      </c>
      <c r="Z545" s="213">
        <f t="shared" si="8"/>
        <v>-1</v>
      </c>
      <c r="AA545" s="208">
        <f>VLOOKUP(표9[[#This Row],[Team]],표1[],3,0)</f>
        <v>1000</v>
      </c>
    </row>
    <row r="546" spans="1:27" s="8" customFormat="1" ht="15">
      <c r="A546" s="209" t="str">
        <f>VLOOKUP($H546,GCP!$A:$H,2,0)</f>
        <v>GCP</v>
      </c>
      <c r="B546" s="209" t="str">
        <f>VLOOKUP($H546,GCP!$A:$H,3,0)</f>
        <v>KRAFTON HQ</v>
      </c>
      <c r="C546" s="209" t="str">
        <f>VLOOKUP($H546,GCP!$A:$H,4,0)</f>
        <v>KRAFTON HQ</v>
      </c>
      <c r="D546" s="209" t="str">
        <f>VLOOKUP($H546,GCP!$A:$H,5,0)</f>
        <v>Publishing Growth Marketing &amp; BD Team</v>
      </c>
      <c r="E546" s="209" t="str">
        <f>VLOOKUP($H546,GCP!$A:$H,6,0)</f>
        <v>OVERHEAD/OTHERS</v>
      </c>
      <c r="F546" s="202">
        <f>VLOOKUP(표9[[#This Row],[Team]],표1[[내역]:[코스트 센터]],2,0)</f>
        <v>102022</v>
      </c>
      <c r="G546" s="202" t="str">
        <f>VLOOKUP(표9[[#This Row],[Project]],표2[],2,0)</f>
        <v>I100099999</v>
      </c>
      <c r="H546" s="209" t="s">
        <v>502</v>
      </c>
      <c r="I546" s="230" t="str">
        <f>VLOOKUP($H546,GCP!$A:$H,7,0)</f>
        <v>정여원</v>
      </c>
      <c r="J546" s="209" t="str">
        <f>VLOOKUP($H546,GCP!$A:$H,8,0)</f>
        <v>정여원</v>
      </c>
      <c r="K546" s="186"/>
      <c r="L546" s="210"/>
      <c r="M546" s="211"/>
      <c r="N546" s="212"/>
      <c r="O546" s="212"/>
      <c r="P546" s="212"/>
      <c r="Q546" s="212"/>
      <c r="R546" s="212"/>
      <c r="S546" s="212"/>
      <c r="T546" s="212"/>
      <c r="U546" s="212">
        <v>0</v>
      </c>
      <c r="V546" s="205">
        <v>0</v>
      </c>
      <c r="W546" s="205">
        <f>ROUND(표9[[#This Row],[Apr 2026 (USD or KRW)]],0)</f>
        <v>0</v>
      </c>
      <c r="X546" s="212"/>
      <c r="Y546" s="206">
        <f>표9[[#This Row],[Apr 2027(KRW)]]-표9[[#This Row],[Mar 2026(KRW)]]</f>
        <v>0</v>
      </c>
      <c r="Z546" s="213" t="str">
        <f t="shared" si="8"/>
        <v/>
      </c>
      <c r="AA546" s="208">
        <f>VLOOKUP(표9[[#This Row],[Team]],표1[],3,0)</f>
        <v>1000</v>
      </c>
    </row>
    <row r="547" spans="1:27" s="8" customFormat="1" ht="15">
      <c r="A547" s="209" t="str">
        <f>VLOOKUP($H547,GCP!$A:$H,2,0)</f>
        <v>GCP</v>
      </c>
      <c r="B547" s="209" t="str">
        <f>VLOOKUP($H547,GCP!$A:$H,3,0)</f>
        <v>ReLu Games</v>
      </c>
      <c r="C547" s="209" t="str">
        <f>VLOOKUP($H547,GCP!$A:$H,4,0)</f>
        <v>ReLu Games</v>
      </c>
      <c r="D547" s="209" t="str">
        <f>VLOOKUP($H547,GCP!$A:$H,5,0)</f>
        <v>ReLU Dev Dept.</v>
      </c>
      <c r="E547" s="209" t="str">
        <f>VLOOKUP($H547,GCP!$A:$H,6,0)</f>
        <v>OVERHEAD/OTHERS</v>
      </c>
      <c r="F547" s="202" t="e">
        <f>VLOOKUP(표9[[#This Row],[Team]],표1[[내역]:[코스트 센터]],2,0)</f>
        <v>#N/A</v>
      </c>
      <c r="G547" s="202" t="str">
        <f>VLOOKUP(표9[[#This Row],[Project]],표2[],2,0)</f>
        <v>I100099999</v>
      </c>
      <c r="H547" s="209" t="s">
        <v>503</v>
      </c>
      <c r="I547" s="230" t="str">
        <f>VLOOKUP($H547,GCP!$A:$H,7,0)</f>
        <v>오준석</v>
      </c>
      <c r="J547" s="209" t="str">
        <f>VLOOKUP($H547,GCP!$A:$H,8,0)</f>
        <v>오준석</v>
      </c>
      <c r="K547" s="186"/>
      <c r="L547" s="210"/>
      <c r="M547" s="211"/>
      <c r="N547" s="212"/>
      <c r="O547" s="212"/>
      <c r="P547" s="212"/>
      <c r="Q547" s="212"/>
      <c r="R547" s="212"/>
      <c r="S547" s="212">
        <v>0</v>
      </c>
      <c r="T547" s="212">
        <v>0</v>
      </c>
      <c r="U547" s="212">
        <v>0</v>
      </c>
      <c r="V547" s="205">
        <v>0</v>
      </c>
      <c r="W547" s="205">
        <f>ROUND(표9[[#This Row],[Apr 2026 (USD or KRW)]],0)</f>
        <v>0</v>
      </c>
      <c r="X547" s="212"/>
      <c r="Y547" s="206">
        <f>표9[[#This Row],[Apr 2027(KRW)]]-표9[[#This Row],[Mar 2026(KRW)]]</f>
        <v>0</v>
      </c>
      <c r="Z547" s="213" t="str">
        <f t="shared" si="8"/>
        <v/>
      </c>
      <c r="AA547" s="208" t="e">
        <f>VLOOKUP(표9[[#This Row],[Team]],표1[],3,0)</f>
        <v>#N/A</v>
      </c>
    </row>
    <row r="548" spans="1:27" s="8" customFormat="1" ht="15">
      <c r="A548" s="209" t="str">
        <f>VLOOKUP($H548,GCP!$A:$H,2,0)</f>
        <v>GCP</v>
      </c>
      <c r="B548" s="209" t="str">
        <f>VLOOKUP($H548,GCP!$A:$H,3,0)</f>
        <v>KRAFTON HQ</v>
      </c>
      <c r="C548" s="209" t="str">
        <f>VLOOKUP($H548,GCP!$A:$H,4,0)</f>
        <v>ReLu Games</v>
      </c>
      <c r="D548" s="209">
        <f>VLOOKUP($H548,GCP!$A:$H,5,0)</f>
        <v>0</v>
      </c>
      <c r="E548" s="209" t="str">
        <f>VLOOKUP($H548,GCP!$A:$H,6,0)</f>
        <v>OVERHEAD/OTHERS</v>
      </c>
      <c r="F548" s="202" t="e">
        <f>VLOOKUP(표9[[#This Row],[Team]],표1[[내역]:[코스트 센터]],2,0)</f>
        <v>#N/A</v>
      </c>
      <c r="G548" s="202" t="str">
        <f>VLOOKUP(표9[[#This Row],[Project]],표2[],2,0)</f>
        <v>I100099999</v>
      </c>
      <c r="H548" s="209" t="s">
        <v>504</v>
      </c>
      <c r="I548" s="230" t="str">
        <f>VLOOKUP($H548,GCP!$A:$H,7,0)</f>
        <v>오준석</v>
      </c>
      <c r="J548" s="209" t="str">
        <f>VLOOKUP($H548,GCP!$A:$H,8,0)</f>
        <v>오준석</v>
      </c>
      <c r="K548" s="186"/>
      <c r="L548" s="210"/>
      <c r="M548" s="211"/>
      <c r="N548" s="212"/>
      <c r="O548" s="212">
        <f>ROUND(VLOOKUP(H548,'[1]Summary_BY Project'!$C:$N,12,0),0)</f>
        <v>42</v>
      </c>
      <c r="P548" s="212">
        <v>23</v>
      </c>
      <c r="Q548" s="212">
        <v>406.20200048818901</v>
      </c>
      <c r="R548" s="212">
        <v>8243</v>
      </c>
      <c r="S548" s="212">
        <v>11205</v>
      </c>
      <c r="T548" s="212">
        <v>4009</v>
      </c>
      <c r="U548" s="212">
        <v>0</v>
      </c>
      <c r="V548" s="205">
        <v>14680</v>
      </c>
      <c r="W548" s="205">
        <f>ROUND(표9[[#This Row],[Apr 2026 (USD or KRW)]],0)</f>
        <v>0</v>
      </c>
      <c r="X548" s="212"/>
      <c r="Y548" s="206">
        <f>표9[[#This Row],[Apr 2027(KRW)]]-표9[[#This Row],[Mar 2026(KRW)]]</f>
        <v>-14680</v>
      </c>
      <c r="Z548" s="213">
        <f t="shared" si="8"/>
        <v>-1</v>
      </c>
      <c r="AA548" s="208" t="e">
        <f>VLOOKUP(표9[[#This Row],[Team]],표1[],3,0)</f>
        <v>#N/A</v>
      </c>
    </row>
    <row r="549" spans="1:27" s="8" customFormat="1" ht="15">
      <c r="A549" s="209" t="str">
        <f>VLOOKUP($H549,GCP!$A:$H,2,0)</f>
        <v>GCP</v>
      </c>
      <c r="B549" s="209" t="str">
        <f>VLOOKUP($H549,GCP!$A:$H,3,0)</f>
        <v>KRAFTON HQ</v>
      </c>
      <c r="C549" s="209" t="str">
        <f>VLOOKUP($H549,GCP!$A:$H,4,0)</f>
        <v>KRAFTON HQ</v>
      </c>
      <c r="D549" s="209" t="str">
        <f>VLOOKUP($H549,GCP!$A:$H,5,0)</f>
        <v>General Operations Dept.</v>
      </c>
      <c r="E549" s="209" t="str">
        <f>VLOOKUP($H549,GCP!$A:$H,6,0)</f>
        <v>OVERHEAD/OTHERS</v>
      </c>
      <c r="F549" s="202">
        <f>VLOOKUP(표9[[#This Row],[Team]],표1[[내역]:[코스트 센터]],2,0)</f>
        <v>101090</v>
      </c>
      <c r="G549" s="202" t="str">
        <f>VLOOKUP(표9[[#This Row],[Project]],표2[],2,0)</f>
        <v>I100099999</v>
      </c>
      <c r="H549" s="246" t="s">
        <v>505</v>
      </c>
      <c r="I549" s="209" t="str">
        <f>VLOOKUP($H549,GCP!$A:$H,7,0)</f>
        <v>윤지애</v>
      </c>
      <c r="J549" s="209" t="str">
        <f>VLOOKUP($H549,GCP!$A:$H,8,0)</f>
        <v>윤지애</v>
      </c>
      <c r="K549" s="186"/>
      <c r="L549" s="210"/>
      <c r="M549" s="211"/>
      <c r="N549" s="212"/>
      <c r="O549" s="212"/>
      <c r="P549" s="212"/>
      <c r="Q549" s="212"/>
      <c r="R549" s="212"/>
      <c r="S549" s="212"/>
      <c r="T549" s="212">
        <v>11</v>
      </c>
      <c r="U549" s="212">
        <v>0</v>
      </c>
      <c r="V549" s="205">
        <v>3</v>
      </c>
      <c r="W549" s="205">
        <f>ROUND(표9[[#This Row],[Apr 2026 (USD or KRW)]],0)</f>
        <v>0</v>
      </c>
      <c r="X549" s="212"/>
      <c r="Y549" s="206">
        <f>표9[[#This Row],[Apr 2027(KRW)]]-표9[[#This Row],[Mar 2026(KRW)]]</f>
        <v>-3</v>
      </c>
      <c r="Z549" s="213">
        <f t="shared" si="8"/>
        <v>-1</v>
      </c>
      <c r="AA549" s="208">
        <f>VLOOKUP(표9[[#This Row],[Team]],표1[],3,0)</f>
        <v>1000</v>
      </c>
    </row>
    <row r="550" spans="1:27" s="8" customFormat="1" ht="15">
      <c r="A550" s="209" t="str">
        <f>VLOOKUP($H550,GCP!$A:$H,2,0)</f>
        <v>GCP</v>
      </c>
      <c r="B550" s="209" t="str">
        <f>VLOOKUP($H550,GCP!$A:$H,3,0)</f>
        <v>KRAFTON HQ</v>
      </c>
      <c r="C550" s="209" t="str">
        <f>VLOOKUP($H550,GCP!$A:$H,4,0)</f>
        <v>KRAFTON HQ</v>
      </c>
      <c r="D550" s="209" t="str">
        <f>VLOOKUP($H550,GCP!$A:$H,5,0)</f>
        <v>Culture Team</v>
      </c>
      <c r="E550" s="209" t="str">
        <f>VLOOKUP($H550,GCP!$A:$H,6,0)</f>
        <v>OVERHEAD/OTHERS</v>
      </c>
      <c r="F550" s="202">
        <f>VLOOKUP(표9[[#This Row],[Team]],표1[[내역]:[코스트 센터]],2,0)</f>
        <v>100076</v>
      </c>
      <c r="G550" s="202" t="str">
        <f>VLOOKUP(표9[[#This Row],[Project]],표2[],2,0)</f>
        <v>I100099999</v>
      </c>
      <c r="H550" s="209" t="s">
        <v>506</v>
      </c>
      <c r="I550" s="209" t="str">
        <f>VLOOKUP($H550,GCP!$A:$H,7,0)</f>
        <v>임경빈</v>
      </c>
      <c r="J550" s="209" t="str">
        <f>VLOOKUP($H550,GCP!$A:$H,8,0)</f>
        <v>임경빈</v>
      </c>
      <c r="K550" s="186"/>
      <c r="L550" s="210"/>
      <c r="M550" s="211"/>
      <c r="N550" s="212"/>
      <c r="O550" s="212"/>
      <c r="P550" s="212"/>
      <c r="Q550" s="212"/>
      <c r="R550" s="212"/>
      <c r="S550" s="212"/>
      <c r="T550" s="212"/>
      <c r="U550" s="212">
        <v>0</v>
      </c>
      <c r="V550" s="205">
        <v>759</v>
      </c>
      <c r="W550" s="205">
        <f>ROUND(표9[[#This Row],[Apr 2026 (USD or KRW)]],0)</f>
        <v>0</v>
      </c>
      <c r="X550" s="212"/>
      <c r="Y550" s="206">
        <f>표9[[#This Row],[Apr 2027(KRW)]]-표9[[#This Row],[Mar 2026(KRW)]]</f>
        <v>-759</v>
      </c>
      <c r="Z550" s="213">
        <f t="shared" si="8"/>
        <v>-1</v>
      </c>
      <c r="AA550" s="208">
        <f>VLOOKUP(표9[[#This Row],[Team]],표1[],3,0)</f>
        <v>1000</v>
      </c>
    </row>
    <row r="551" spans="1:27" s="8" customFormat="1" ht="15">
      <c r="A551" s="209" t="str">
        <f>VLOOKUP($H551,GCP!$A:$H,2,0)</f>
        <v>GCP</v>
      </c>
      <c r="B551" s="209" t="str">
        <f>VLOOKUP($H551,GCP!$A:$H,3,0)</f>
        <v>KRAFTON HQ</v>
      </c>
      <c r="C551" s="209" t="str">
        <f>VLOOKUP($H551,GCP!$A:$H,4,0)</f>
        <v>KRAFTON HQ</v>
      </c>
      <c r="D551" s="209" t="str">
        <f>VLOOKUP($H551,GCP!$A:$H,5,0)</f>
        <v>Service DevOps Team</v>
      </c>
      <c r="E551" s="209" t="str">
        <f>VLOOKUP($H551,GCP!$A:$H,6,0)</f>
        <v>OVERHEAD/OTHERS</v>
      </c>
      <c r="F551" s="202">
        <f>VLOOKUP(표9[[#This Row],[Team]],표1[[내역]:[코스트 센터]],2,0)</f>
        <v>100033</v>
      </c>
      <c r="G551" s="202" t="str">
        <f>VLOOKUP(표9[[#This Row],[Project]],표2[],2,0)</f>
        <v>I100099999</v>
      </c>
      <c r="H551" s="209" t="s">
        <v>507</v>
      </c>
      <c r="I551" s="209" t="str">
        <f>VLOOKUP($H551,GCP!$A:$H,7,0)</f>
        <v>엄기성</v>
      </c>
      <c r="J551" s="209" t="str">
        <f>VLOOKUP($H551,GCP!$A:$H,8,0)</f>
        <v>엄기성</v>
      </c>
      <c r="K551" s="186"/>
      <c r="L551" s="210">
        <v>482888</v>
      </c>
      <c r="M551" s="211">
        <v>644476</v>
      </c>
      <c r="N551" s="212">
        <v>599319</v>
      </c>
      <c r="O551" s="212">
        <f>ROUND(VLOOKUP(H551,'[1]Summary_BY Project'!$C:$N,12,0),0)</f>
        <v>588545</v>
      </c>
      <c r="P551" s="212">
        <v>555717</v>
      </c>
      <c r="Q551" s="212">
        <v>575270.53306360496</v>
      </c>
      <c r="R551" s="212">
        <v>366948</v>
      </c>
      <c r="S551" s="212">
        <v>601721</v>
      </c>
      <c r="T551" s="212">
        <v>592517</v>
      </c>
      <c r="U551" s="212">
        <v>25</v>
      </c>
      <c r="V551" s="205">
        <v>435668</v>
      </c>
      <c r="W551" s="205">
        <f>ROUND(표9[[#This Row],[Apr 2026 (USD or KRW)]],0)</f>
        <v>0</v>
      </c>
      <c r="X551" s="212"/>
      <c r="Y551" s="206">
        <f>표9[[#This Row],[Apr 2027(KRW)]]-표9[[#This Row],[Mar 2026(KRW)]]</f>
        <v>-435668</v>
      </c>
      <c r="Z551" s="213">
        <f t="shared" si="8"/>
        <v>-1</v>
      </c>
      <c r="AA551" s="208">
        <f>VLOOKUP(표9[[#This Row],[Team]],표1[],3,0)</f>
        <v>1000</v>
      </c>
    </row>
    <row r="552" spans="1:27" s="8" customFormat="1" ht="15">
      <c r="A552" s="209" t="str">
        <f>VLOOKUP($H552,GCP!$A:$H,2,0)</f>
        <v>GCP</v>
      </c>
      <c r="B552" s="209" t="str">
        <f>VLOOKUP($H552,GCP!$A:$H,3,0)</f>
        <v>KRAFTON HQ</v>
      </c>
      <c r="C552" s="209" t="str">
        <f>VLOOKUP($H552,GCP!$A:$H,4,0)</f>
        <v>5minLab</v>
      </c>
      <c r="D552" s="209">
        <f>VLOOKUP($H552,GCP!$A:$H,5,0)</f>
        <v>0</v>
      </c>
      <c r="E552" s="209" t="str">
        <f>VLOOKUP($H552,GCP!$A:$H,6,0)</f>
        <v>OVERHEAD/OTHERS</v>
      </c>
      <c r="F552" s="202" t="e">
        <f>VLOOKUP(표9[[#This Row],[Team]],표1[[내역]:[코스트 센터]],2,0)</f>
        <v>#N/A</v>
      </c>
      <c r="G552" s="202" t="str">
        <f>VLOOKUP(표9[[#This Row],[Project]],표2[],2,0)</f>
        <v>I100099999</v>
      </c>
      <c r="H552" s="246" t="s">
        <v>508</v>
      </c>
      <c r="I552" s="209">
        <f>VLOOKUP($H552,GCP!$A:$H,7,0)</f>
        <v>0</v>
      </c>
      <c r="J552" s="209">
        <f>VLOOKUP($H552,GCP!$A:$H,8,0)</f>
        <v>0</v>
      </c>
      <c r="K552" s="186"/>
      <c r="L552" s="210"/>
      <c r="M552" s="211"/>
      <c r="N552" s="212"/>
      <c r="O552" s="212">
        <f>ROUND(VLOOKUP(H552,'[1]Summary_BY Project'!$C:$N,12,0),0)</f>
        <v>1043</v>
      </c>
      <c r="P552" s="212">
        <v>1014</v>
      </c>
      <c r="Q552" s="212">
        <v>989.49082299999998</v>
      </c>
      <c r="R552" s="212">
        <v>870</v>
      </c>
      <c r="S552" s="212">
        <v>2064</v>
      </c>
      <c r="T552" s="212">
        <v>1092</v>
      </c>
      <c r="U552" s="212">
        <v>1091</v>
      </c>
      <c r="V552" s="205">
        <v>1092</v>
      </c>
      <c r="W552" s="205">
        <f>ROUND(표9[[#This Row],[Apr 2026 (USD or KRW)]],0)</f>
        <v>0</v>
      </c>
      <c r="X552" s="212"/>
      <c r="Y552" s="206">
        <f>표9[[#This Row],[Apr 2027(KRW)]]-표9[[#This Row],[Mar 2026(KRW)]]</f>
        <v>-1092</v>
      </c>
      <c r="Z552" s="213">
        <f t="shared" si="8"/>
        <v>-1</v>
      </c>
      <c r="AA552" s="208" t="e">
        <f>VLOOKUP(표9[[#This Row],[Team]],표1[],3,0)</f>
        <v>#N/A</v>
      </c>
    </row>
    <row r="553" spans="1:27" s="8" customFormat="1" ht="15">
      <c r="A553" s="209" t="str">
        <f>VLOOKUP($H553,GCP!$A:$H,2,0)</f>
        <v>GCP</v>
      </c>
      <c r="B553" s="209" t="str">
        <f>VLOOKUP($H553,GCP!$A:$H,3,0)</f>
        <v>KRAFTON HQ</v>
      </c>
      <c r="C553" s="209" t="str">
        <f>VLOOKUP($H553,GCP!$A:$H,4,0)</f>
        <v>5minLab</v>
      </c>
      <c r="D553" s="209">
        <f>VLOOKUP($H553,GCP!$A:$H,5,0)</f>
        <v>0</v>
      </c>
      <c r="E553" s="209" t="str">
        <f>VLOOKUP($H553,GCP!$A:$H,6,0)</f>
        <v>OVERHEAD/OTHERS</v>
      </c>
      <c r="F553" s="202" t="e">
        <f>VLOOKUP(표9[[#This Row],[Team]],표1[[내역]:[코스트 센터]],2,0)</f>
        <v>#N/A</v>
      </c>
      <c r="G553" s="202" t="str">
        <f>VLOOKUP(표9[[#This Row],[Project]],표2[],2,0)</f>
        <v>I100099999</v>
      </c>
      <c r="H553" s="246" t="s">
        <v>509</v>
      </c>
      <c r="I553" s="209">
        <f>VLOOKUP($H553,GCP!$A:$H,7,0)</f>
        <v>0</v>
      </c>
      <c r="J553" s="209">
        <f>VLOOKUP($H553,GCP!$A:$H,8,0)</f>
        <v>0</v>
      </c>
      <c r="K553" s="186"/>
      <c r="L553" s="210"/>
      <c r="M553" s="211"/>
      <c r="N553" s="212"/>
      <c r="O553" s="212"/>
      <c r="P553" s="212"/>
      <c r="Q553" s="212"/>
      <c r="R553" s="212"/>
      <c r="S553" s="212">
        <v>17821</v>
      </c>
      <c r="T553" s="212">
        <v>152110</v>
      </c>
      <c r="U553" s="212">
        <v>0</v>
      </c>
      <c r="V553" s="205">
        <v>411853</v>
      </c>
      <c r="W553" s="205">
        <f>ROUND(표9[[#This Row],[Apr 2026 (USD or KRW)]],0)</f>
        <v>0</v>
      </c>
      <c r="X553" s="212"/>
      <c r="Y553" s="206">
        <f>표9[[#This Row],[Apr 2027(KRW)]]-표9[[#This Row],[Mar 2026(KRW)]]</f>
        <v>-411853</v>
      </c>
      <c r="Z553" s="213">
        <f t="shared" si="8"/>
        <v>-1</v>
      </c>
      <c r="AA553" s="208" t="e">
        <f>VLOOKUP(표9[[#This Row],[Team]],표1[],3,0)</f>
        <v>#N/A</v>
      </c>
    </row>
    <row r="554" spans="1:27" s="8" customFormat="1" ht="15">
      <c r="A554" s="209" t="str">
        <f>VLOOKUP($H554,GCP!$A:$H,2,0)</f>
        <v>GCP</v>
      </c>
      <c r="B554" s="209" t="str">
        <f>VLOOKUP($H554,GCP!$A:$H,3,0)</f>
        <v>KRAFTON HQ</v>
      </c>
      <c r="C554" s="209" t="str">
        <f>VLOOKUP($H554,GCP!$A:$H,4,0)</f>
        <v>KRAFTON HQ</v>
      </c>
      <c r="D554" s="209" t="str">
        <f>VLOOKUP($H554,GCP!$A:$H,5,0)</f>
        <v>Data Analytics Dept.</v>
      </c>
      <c r="E554" s="209" t="str">
        <f>VLOOKUP($H554,GCP!$A:$H,6,0)</f>
        <v>OVERHEAD/OTHERS</v>
      </c>
      <c r="F554" s="202">
        <f>VLOOKUP(표9[[#This Row],[Team]],표1[[내역]:[코스트 센터]],2,0)</f>
        <v>100203</v>
      </c>
      <c r="G554" s="202" t="str">
        <f>VLOOKUP(표9[[#This Row],[Project]],표2[],2,0)</f>
        <v>I100099999</v>
      </c>
      <c r="H554" s="209" t="s">
        <v>510</v>
      </c>
      <c r="I554" s="209" t="str">
        <f>VLOOKUP($H554,GCP!$A:$H,7,0)</f>
        <v>김태혁</v>
      </c>
      <c r="J554" s="209" t="str">
        <f>VLOOKUP($H554,GCP!$A:$H,8,0)</f>
        <v>김태혁</v>
      </c>
      <c r="K554" s="186"/>
      <c r="L554" s="210"/>
      <c r="M554" s="211"/>
      <c r="N554" s="212"/>
      <c r="O554" s="212"/>
      <c r="P554" s="212">
        <v>24</v>
      </c>
      <c r="Q554" s="212">
        <v>0</v>
      </c>
      <c r="R554" s="212">
        <v>2</v>
      </c>
      <c r="S554" s="212">
        <v>0</v>
      </c>
      <c r="T554" s="212">
        <v>0</v>
      </c>
      <c r="U554" s="212">
        <v>0</v>
      </c>
      <c r="V554" s="205">
        <v>0</v>
      </c>
      <c r="W554" s="205">
        <f>ROUND(표9[[#This Row],[Apr 2026 (USD or KRW)]],0)</f>
        <v>0</v>
      </c>
      <c r="X554" s="212"/>
      <c r="Y554" s="206">
        <f>표9[[#This Row],[Apr 2027(KRW)]]-표9[[#This Row],[Mar 2026(KRW)]]</f>
        <v>0</v>
      </c>
      <c r="Z554" s="213" t="str">
        <f t="shared" si="8"/>
        <v/>
      </c>
      <c r="AA554" s="208">
        <f>VLOOKUP(표9[[#This Row],[Team]],표1[],3,0)</f>
        <v>1000</v>
      </c>
    </row>
    <row r="555" spans="1:27" s="8" customFormat="1" ht="15">
      <c r="A555" s="209" t="str">
        <f>VLOOKUP($H555,GCP!$A:$H,2,0)</f>
        <v>GCP</v>
      </c>
      <c r="B555" s="209" t="str">
        <f>VLOOKUP($H555,GCP!$A:$H,3,0)</f>
        <v>KRAFTON HQ</v>
      </c>
      <c r="C555" s="209" t="str">
        <f>VLOOKUP($H555,GCP!$A:$H,4,0)</f>
        <v>KRAFTON America</v>
      </c>
      <c r="D555" s="209" t="str">
        <f>VLOOKUP($H555,GCP!$A:$H,5,0)</f>
        <v>Service DevOps Team</v>
      </c>
      <c r="E555" s="209" t="str">
        <f>VLOOKUP($H555,GCP!$A:$H,6,0)</f>
        <v>UW-MOONBREAKER</v>
      </c>
      <c r="F555" s="202">
        <f>VLOOKUP(표9[[#This Row],[Team]],표1[[내역]:[코스트 센터]],2,0)</f>
        <v>100033</v>
      </c>
      <c r="G555" s="202" t="str">
        <f>VLOOKUP(표9[[#This Row],[Project]],표2[],2,0)</f>
        <v>P100010051</v>
      </c>
      <c r="H555" s="209" t="s">
        <v>511</v>
      </c>
      <c r="I555" s="209" t="str">
        <f>VLOOKUP($H555,GCP!$A:$H,7,0)</f>
        <v>엄기성</v>
      </c>
      <c r="J555" s="209" t="str">
        <f>VLOOKUP($H555,GCP!$A:$H,8,0)</f>
        <v>엄기성</v>
      </c>
      <c r="K555" s="186"/>
      <c r="L555" s="210">
        <v>3751157</v>
      </c>
      <c r="M555" s="211">
        <v>4614580</v>
      </c>
      <c r="N555" s="212">
        <v>4657575</v>
      </c>
      <c r="O555" s="212">
        <f>ROUND(VLOOKUP(H555,'[1]Summary_BY Project'!$C:$N,12,0),0)</f>
        <v>4624259</v>
      </c>
      <c r="P555" s="212">
        <v>4360346</v>
      </c>
      <c r="Q555" s="212">
        <v>4535924.9897238901</v>
      </c>
      <c r="R555" s="212">
        <v>2905468</v>
      </c>
      <c r="S555" s="212">
        <v>4747557</v>
      </c>
      <c r="T555" s="212">
        <v>4697332</v>
      </c>
      <c r="U555" s="212">
        <v>189</v>
      </c>
      <c r="V555" s="205">
        <v>3322610</v>
      </c>
      <c r="W555" s="205">
        <f>ROUND(표9[[#This Row],[Apr 2026 (USD or KRW)]],0)</f>
        <v>0</v>
      </c>
      <c r="X555" s="212"/>
      <c r="Y555" s="206">
        <f>표9[[#This Row],[Apr 2027(KRW)]]-표9[[#This Row],[Mar 2026(KRW)]]</f>
        <v>-3322610</v>
      </c>
      <c r="Z555" s="213">
        <f t="shared" si="8"/>
        <v>-1</v>
      </c>
      <c r="AA555" s="208">
        <f>VLOOKUP(표9[[#This Row],[Team]],표1[],3,0)</f>
        <v>1000</v>
      </c>
    </row>
    <row r="556" spans="1:27" s="8" customFormat="1" ht="15">
      <c r="A556" s="209" t="str">
        <f>VLOOKUP($H556,GCP!$A:$H,2,0)</f>
        <v>GCP</v>
      </c>
      <c r="B556" s="209" t="str">
        <f>VLOOKUP($H556,GCP!$A:$H,3,0)</f>
        <v>KRAFTON HQ</v>
      </c>
      <c r="C556" s="209" t="str">
        <f>VLOOKUP($H556,GCP!$A:$H,4,0)</f>
        <v>KRAFTON HQ</v>
      </c>
      <c r="D556" s="209" t="str">
        <f>VLOOKUP($H556,GCP!$A:$H,5,0)</f>
        <v>AI Applied Research Dept.</v>
      </c>
      <c r="E556" s="209" t="str">
        <f>VLOOKUP($H556,GCP!$A:$H,6,0)</f>
        <v>OVERHEAD/OTHERS</v>
      </c>
      <c r="F556" s="202">
        <f>VLOOKUP(표9[[#This Row],[Team]],표1[[내역]:[코스트 센터]],2,0)</f>
        <v>101315</v>
      </c>
      <c r="G556" s="202" t="str">
        <f>VLOOKUP(표9[[#This Row],[Project]],표2[],2,0)</f>
        <v>I100099999</v>
      </c>
      <c r="H556" s="209" t="s">
        <v>512</v>
      </c>
      <c r="I556" s="209" t="str">
        <f>VLOOKUP($H556,GCP!$A:$H,7,0)</f>
        <v>선주형</v>
      </c>
      <c r="J556" s="209" t="str">
        <f>VLOOKUP($H556,GCP!$A:$H,8,0)</f>
        <v>선주형</v>
      </c>
      <c r="K556" s="186"/>
      <c r="L556" s="210">
        <v>0</v>
      </c>
      <c r="M556" s="211">
        <v>247576</v>
      </c>
      <c r="N556" s="212">
        <v>547075</v>
      </c>
      <c r="O556" s="212">
        <f>ROUND(VLOOKUP(H556,'[1]Summary_BY Project'!$C:$N,12,0),0)</f>
        <v>46917</v>
      </c>
      <c r="P556" s="212">
        <v>6850</v>
      </c>
      <c r="Q556" s="212">
        <v>373952.14690898301</v>
      </c>
      <c r="R556" s="212">
        <v>5366</v>
      </c>
      <c r="S556" s="212">
        <v>539725</v>
      </c>
      <c r="T556" s="212">
        <v>3408</v>
      </c>
      <c r="U556" s="212">
        <v>0</v>
      </c>
      <c r="V556" s="205">
        <v>0</v>
      </c>
      <c r="W556" s="205">
        <f>ROUND(표9[[#This Row],[Apr 2026 (USD or KRW)]],0)</f>
        <v>0</v>
      </c>
      <c r="X556" s="212"/>
      <c r="Y556" s="206">
        <f>표9[[#This Row],[Apr 2027(KRW)]]-표9[[#This Row],[Mar 2026(KRW)]]</f>
        <v>0</v>
      </c>
      <c r="Z556" s="213" t="str">
        <f t="shared" si="8"/>
        <v/>
      </c>
      <c r="AA556" s="208">
        <f>VLOOKUP(표9[[#This Row],[Team]],표1[],3,0)</f>
        <v>1000</v>
      </c>
    </row>
    <row r="557" spans="1:27" s="8" customFormat="1" ht="15">
      <c r="A557" s="209" t="str">
        <f>VLOOKUP($H557,GCP!$A:$H,2,0)</f>
        <v>GCP</v>
      </c>
      <c r="B557" s="209" t="str">
        <f>VLOOKUP($H557,GCP!$A:$H,3,0)</f>
        <v>KRAFTON HQ</v>
      </c>
      <c r="C557" s="209" t="str">
        <f>VLOOKUP($H557,GCP!$A:$H,4,0)</f>
        <v>PUBG STUDIO</v>
      </c>
      <c r="D557" s="209" t="str">
        <f>VLOOKUP($H557,GCP!$A:$H,5,0)</f>
        <v>Infra Div.</v>
      </c>
      <c r="E557" s="209" t="str">
        <f>VLOOKUP($H557,GCP!$A:$H,6,0)</f>
        <v>OVERHEAD/OTHERS</v>
      </c>
      <c r="F557" s="202">
        <f>VLOOKUP(표9[[#This Row],[Team]],표1[[내역]:[코스트 센터]],2,0)</f>
        <v>100022</v>
      </c>
      <c r="G557" s="202" t="str">
        <f>VLOOKUP(표9[[#This Row],[Project]],표2[],2,0)</f>
        <v>I100099999</v>
      </c>
      <c r="H557" s="209" t="s">
        <v>513</v>
      </c>
      <c r="I557" s="209" t="str">
        <f>VLOOKUP($H557,GCP!$A:$H,7,0)</f>
        <v>심재한</v>
      </c>
      <c r="J557" s="209" t="str">
        <f>VLOOKUP($H557,GCP!$A:$H,8,0)</f>
        <v>심재한</v>
      </c>
      <c r="K557" s="186"/>
      <c r="L557" s="210">
        <v>607799</v>
      </c>
      <c r="M557" s="211">
        <v>579289</v>
      </c>
      <c r="N557" s="212">
        <v>570883</v>
      </c>
      <c r="O557" s="212">
        <f>ROUND(VLOOKUP(H557,'[1]Summary_BY Project'!$C:$N,12,0),0)</f>
        <v>565793</v>
      </c>
      <c r="P557" s="212">
        <v>675446</v>
      </c>
      <c r="Q557" s="212">
        <v>463957.726986742</v>
      </c>
      <c r="R557" s="212">
        <v>13609</v>
      </c>
      <c r="S557" s="212">
        <v>13256</v>
      </c>
      <c r="T557" s="212">
        <v>13387</v>
      </c>
      <c r="U557" s="212">
        <v>1</v>
      </c>
      <c r="V557" s="205">
        <v>11165</v>
      </c>
      <c r="W557" s="205">
        <f>ROUND(표9[[#This Row],[Apr 2026 (USD or KRW)]],0)</f>
        <v>0</v>
      </c>
      <c r="X557" s="212"/>
      <c r="Y557" s="206">
        <f>표9[[#This Row],[Apr 2027(KRW)]]-표9[[#This Row],[Mar 2026(KRW)]]</f>
        <v>-11165</v>
      </c>
      <c r="Z557" s="213">
        <f t="shared" si="8"/>
        <v>-1</v>
      </c>
      <c r="AA557" s="208">
        <f>VLOOKUP(표9[[#This Row],[Team]],표1[],3,0)</f>
        <v>1000</v>
      </c>
    </row>
    <row r="558" spans="1:27" s="8" customFormat="1" ht="15">
      <c r="A558" s="209" t="str">
        <f>VLOOKUP($H558,GCP!$A:$H,2,0)</f>
        <v>GCP</v>
      </c>
      <c r="B558" s="209" t="str">
        <f>VLOOKUP($H558,GCP!$A:$H,3,0)</f>
        <v>KRAFTON HQ</v>
      </c>
      <c r="C558" s="209" t="str">
        <f>VLOOKUP($H558,GCP!$A:$H,4,0)</f>
        <v>Vector North</v>
      </c>
      <c r="D558" s="209" t="str">
        <f>VLOOKUP($H558,GCP!$A:$H,5,0)</f>
        <v>Vector North Unit</v>
      </c>
      <c r="E558" s="209" t="str">
        <f>VLOOKUP($H558,GCP!$A:$H,6,0)</f>
        <v>OVERHEAD/OTHERS</v>
      </c>
      <c r="F558" s="202">
        <f>VLOOKUP(표9[[#This Row],[Team]],표1[[내역]:[코스트 센터]],2,0)</f>
        <v>101214</v>
      </c>
      <c r="G558" s="202" t="str">
        <f>VLOOKUP(표9[[#This Row],[Project]],표2[],2,0)</f>
        <v>I100099999</v>
      </c>
      <c r="H558" s="209" t="s">
        <v>514</v>
      </c>
      <c r="I558" s="209" t="str">
        <f>VLOOKUP($H558,GCP!$A:$H,7,0)</f>
        <v>Petr Matoušek</v>
      </c>
      <c r="J558" s="209" t="str">
        <f>VLOOKUP($H558,GCP!$A:$H,8,0)</f>
        <v>Petr Matoušek</v>
      </c>
      <c r="K558" s="186"/>
      <c r="L558" s="210">
        <v>2051</v>
      </c>
      <c r="M558" s="211">
        <v>2334</v>
      </c>
      <c r="N558" s="212">
        <v>2631</v>
      </c>
      <c r="O558" s="212">
        <f>ROUND(VLOOKUP(H558,'[1]Summary_BY Project'!$C:$N,12,0),0)</f>
        <v>733</v>
      </c>
      <c r="P558" s="212">
        <v>47</v>
      </c>
      <c r="Q558" s="212">
        <v>40.5986965857821</v>
      </c>
      <c r="R558" s="212">
        <v>21</v>
      </c>
      <c r="S558" s="212">
        <v>0</v>
      </c>
      <c r="T558" s="212">
        <v>0</v>
      </c>
      <c r="U558" s="212">
        <v>0</v>
      </c>
      <c r="V558" s="205">
        <v>0</v>
      </c>
      <c r="W558" s="205">
        <f>ROUND(표9[[#This Row],[Apr 2026 (USD or KRW)]],0)</f>
        <v>0</v>
      </c>
      <c r="X558" s="212"/>
      <c r="Y558" s="206">
        <f>표9[[#This Row],[Apr 2027(KRW)]]-표9[[#This Row],[Mar 2026(KRW)]]</f>
        <v>0</v>
      </c>
      <c r="Z558" s="213" t="str">
        <f t="shared" si="8"/>
        <v/>
      </c>
      <c r="AA558" s="208">
        <f>VLOOKUP(표9[[#This Row],[Team]],표1[],3,0)</f>
        <v>1000</v>
      </c>
    </row>
    <row r="559" spans="1:27" s="8" customFormat="1" ht="15">
      <c r="A559" s="209" t="str">
        <f>VLOOKUP($H559,GCP!$A:$H,2,0)</f>
        <v>GCP</v>
      </c>
      <c r="B559" s="209" t="str">
        <f>VLOOKUP($H559,GCP!$A:$H,3,0)</f>
        <v>KRAFTON HQ</v>
      </c>
      <c r="C559" s="209" t="str">
        <f>VLOOKUP($H559,GCP!$A:$H,4,0)</f>
        <v>KRAFTON HQ</v>
      </c>
      <c r="D559" s="209" t="str">
        <f>VLOOKUP($H559,GCP!$A:$H,5,0)</f>
        <v>Visual R&amp;D Team</v>
      </c>
      <c r="E559" s="209" t="str">
        <f>VLOOKUP($H559,GCP!$A:$H,6,0)</f>
        <v>OVERHEAD/OTHERS</v>
      </c>
      <c r="F559" s="202">
        <f>VLOOKUP(표9[[#This Row],[Team]],표1[[내역]:[코스트 센터]],2,0)</f>
        <v>100641</v>
      </c>
      <c r="G559" s="202" t="str">
        <f>VLOOKUP(표9[[#This Row],[Project]],표2[],2,0)</f>
        <v>I100099999</v>
      </c>
      <c r="H559" s="246" t="s">
        <v>515</v>
      </c>
      <c r="I559" s="209" t="str">
        <f>VLOOKUP($H559,GCP!$A:$H,7,0)</f>
        <v>이주영</v>
      </c>
      <c r="J559" s="209" t="str">
        <f>VLOOKUP($H559,GCP!$A:$H,8,0)</f>
        <v>이주영</v>
      </c>
      <c r="K559" s="186"/>
      <c r="L559" s="210"/>
      <c r="M559" s="211"/>
      <c r="N559" s="212"/>
      <c r="O559" s="212"/>
      <c r="P559" s="212"/>
      <c r="Q559" s="212"/>
      <c r="R559" s="212"/>
      <c r="S559" s="212"/>
      <c r="T559" s="212">
        <v>8909</v>
      </c>
      <c r="U559" s="212">
        <v>0</v>
      </c>
      <c r="V559" s="205">
        <v>27075</v>
      </c>
      <c r="W559" s="205">
        <f>ROUND(표9[[#This Row],[Apr 2026 (USD or KRW)]],0)</f>
        <v>0</v>
      </c>
      <c r="X559" s="212"/>
      <c r="Y559" s="206">
        <f>표9[[#This Row],[Apr 2027(KRW)]]-표9[[#This Row],[Mar 2026(KRW)]]</f>
        <v>-27075</v>
      </c>
      <c r="Z559" s="213">
        <f t="shared" si="8"/>
        <v>-1</v>
      </c>
      <c r="AA559" s="208">
        <f>VLOOKUP(표9[[#This Row],[Team]],표1[],3,0)</f>
        <v>1000</v>
      </c>
    </row>
    <row r="560" spans="1:27" s="8" customFormat="1" ht="15">
      <c r="A560" s="209" t="str">
        <f>VLOOKUP($H560,GCP!$A:$H,2,0)</f>
        <v>GCP</v>
      </c>
      <c r="B560" s="209" t="str">
        <f>VLOOKUP($H560,GCP!$A:$H,3,0)</f>
        <v>Unknownworlds</v>
      </c>
      <c r="C560" s="209" t="str">
        <f>VLOOKUP($H560,GCP!$A:$H,4,0)</f>
        <v>Unknownworlds</v>
      </c>
      <c r="D560" s="209" t="str">
        <f>VLOOKUP($H560,GCP!$A:$H,5,0)</f>
        <v>Unknownworlds</v>
      </c>
      <c r="E560" s="209" t="str">
        <f>VLOOKUP($H560,GCP!$A:$H,6,0)</f>
        <v>OVERHEAD/OTHERS</v>
      </c>
      <c r="F560" s="202" t="e">
        <f>VLOOKUP(표9[[#This Row],[Team]],표1[[내역]:[코스트 센터]],2,0)</f>
        <v>#N/A</v>
      </c>
      <c r="G560" s="202" t="str">
        <f>VLOOKUP(표9[[#This Row],[Project]],표2[],2,0)</f>
        <v>I100099999</v>
      </c>
      <c r="H560" s="209" t="s">
        <v>516</v>
      </c>
      <c r="I560" s="209" t="str">
        <f>VLOOKUP($H560,GCP!$A:$H,7,0)</f>
        <v>Jack Smith</v>
      </c>
      <c r="J560" s="209" t="str">
        <f>VLOOKUP($H560,GCP!$A:$H,8,0)</f>
        <v>Jack Smith</v>
      </c>
      <c r="K560" s="186"/>
      <c r="L560" s="210">
        <v>925201</v>
      </c>
      <c r="M560" s="211">
        <v>862354</v>
      </c>
      <c r="N560" s="212">
        <v>865337</v>
      </c>
      <c r="O560" s="212">
        <f>ROUND(VLOOKUP(H560,'[1]Summary_BY Project'!$C:$N,12,0),0)</f>
        <v>900306</v>
      </c>
      <c r="P560" s="212">
        <v>891520</v>
      </c>
      <c r="Q560" s="212">
        <v>948865.172217999</v>
      </c>
      <c r="R560" s="212">
        <v>833157</v>
      </c>
      <c r="S560" s="212">
        <v>1079425</v>
      </c>
      <c r="T560" s="212">
        <v>1045497</v>
      </c>
      <c r="U560" s="212">
        <v>956301</v>
      </c>
      <c r="V560" s="205">
        <v>1017028</v>
      </c>
      <c r="W560" s="205">
        <f>ROUND(표9[[#This Row],[Apr 2026 (USD or KRW)]],0)</f>
        <v>0</v>
      </c>
      <c r="X560" s="212"/>
      <c r="Y560" s="206">
        <f>표9[[#This Row],[Apr 2027(KRW)]]-표9[[#This Row],[Mar 2026(KRW)]]</f>
        <v>-1017028</v>
      </c>
      <c r="Z560" s="213">
        <f t="shared" si="8"/>
        <v>-1</v>
      </c>
      <c r="AA560" s="208" t="e">
        <f>VLOOKUP(표9[[#This Row],[Team]],표1[],3,0)</f>
        <v>#N/A</v>
      </c>
    </row>
    <row r="561" spans="1:27" s="8" customFormat="1" ht="15">
      <c r="A561" s="209" t="str">
        <f>VLOOKUP($H561,GCP!$A:$H,2,0)</f>
        <v>GCP</v>
      </c>
      <c r="B561" s="209" t="str">
        <f>VLOOKUP($H561,GCP!$A:$H,3,0)</f>
        <v>Unknownworlds</v>
      </c>
      <c r="C561" s="209" t="str">
        <f>VLOOKUP($H561,GCP!$A:$H,4,0)</f>
        <v>Unknownworlds</v>
      </c>
      <c r="D561" s="209" t="str">
        <f>VLOOKUP($H561,GCP!$A:$H,5,0)</f>
        <v>Unknownworlds</v>
      </c>
      <c r="E561" s="209" t="str">
        <f>VLOOKUP($H561,GCP!$A:$H,6,0)</f>
        <v>OVERHEAD/OTHERS</v>
      </c>
      <c r="F561" s="202" t="e">
        <f>VLOOKUP(표9[[#This Row],[Team]],표1[[내역]:[코스트 센터]],2,0)</f>
        <v>#N/A</v>
      </c>
      <c r="G561" s="202" t="str">
        <f>VLOOKUP(표9[[#This Row],[Project]],표2[],2,0)</f>
        <v>I100099999</v>
      </c>
      <c r="H561" s="209" t="s">
        <v>517</v>
      </c>
      <c r="I561" s="209" t="str">
        <f>VLOOKUP($H561,GCP!$A:$H,7,0)</f>
        <v>Jack Smith</v>
      </c>
      <c r="J561" s="209" t="str">
        <f>VLOOKUP($H561,GCP!$A:$H,8,0)</f>
        <v>Jack Smith</v>
      </c>
      <c r="K561" s="186"/>
      <c r="L561" s="210">
        <v>27</v>
      </c>
      <c r="M561" s="211">
        <v>25</v>
      </c>
      <c r="N561" s="212">
        <v>25</v>
      </c>
      <c r="O561" s="212">
        <f>ROUND(VLOOKUP(H561,'[1]Summary_BY Project'!$C:$N,12,0),0)</f>
        <v>26</v>
      </c>
      <c r="P561" s="212">
        <v>26</v>
      </c>
      <c r="Q561" s="212">
        <v>26.081230000000001</v>
      </c>
      <c r="R561" s="212">
        <v>23</v>
      </c>
      <c r="S561" s="212">
        <v>27</v>
      </c>
      <c r="T561" s="212">
        <v>27</v>
      </c>
      <c r="U561" s="212">
        <v>26</v>
      </c>
      <c r="V561" s="205">
        <v>26</v>
      </c>
      <c r="W561" s="205">
        <f>ROUND(표9[[#This Row],[Apr 2026 (USD or KRW)]],0)</f>
        <v>0</v>
      </c>
      <c r="X561" s="212"/>
      <c r="Y561" s="206">
        <f>표9[[#This Row],[Apr 2027(KRW)]]-표9[[#This Row],[Mar 2026(KRW)]]</f>
        <v>-26</v>
      </c>
      <c r="Z561" s="213">
        <f t="shared" si="8"/>
        <v>-1</v>
      </c>
      <c r="AA561" s="208" t="e">
        <f>VLOOKUP(표9[[#This Row],[Team]],표1[],3,0)</f>
        <v>#N/A</v>
      </c>
    </row>
    <row r="562" spans="1:27" s="8" customFormat="1" ht="15">
      <c r="A562" s="209" t="str">
        <f>VLOOKUP($H562,GCP!$A:$H,2,0)</f>
        <v>GCP</v>
      </c>
      <c r="B562" s="209" t="str">
        <f>VLOOKUP($H562,GCP!$A:$H,3,0)</f>
        <v>KRAFTON HQ</v>
      </c>
      <c r="C562" s="209" t="str">
        <f>VLOOKUP($H562,GCP!$A:$H,4,0)</f>
        <v>KRAFTON HQ</v>
      </c>
      <c r="D562" s="209" t="str">
        <f>VLOOKUP($H562,GCP!$A:$H,5,0)</f>
        <v>S2 Team</v>
      </c>
      <c r="E562" s="209" t="str">
        <f>VLOOKUP($H562,GCP!$A:$H,6,0)</f>
        <v>OVERHEAD/OTHERS</v>
      </c>
      <c r="F562" s="202">
        <f>VLOOKUP(표9[[#This Row],[Team]],표1[[내역]:[코스트 센터]],2,0)</f>
        <v>101437</v>
      </c>
      <c r="G562" s="202" t="str">
        <f>VLOOKUP(표9[[#This Row],[Project]],표2[],2,0)</f>
        <v>I100099999</v>
      </c>
      <c r="H562" s="209" t="s">
        <v>518</v>
      </c>
      <c r="I562" s="209" t="str">
        <f>VLOOKUP($H562,GCP!$A:$H,7,0)</f>
        <v>조승석</v>
      </c>
      <c r="J562" s="209" t="str">
        <f>VLOOKUP($H562,GCP!$A:$H,8,0)</f>
        <v>조승석</v>
      </c>
      <c r="K562" s="186"/>
      <c r="L562" s="210"/>
      <c r="M562" s="211"/>
      <c r="N562" s="212"/>
      <c r="O562" s="212"/>
      <c r="P562" s="212">
        <v>190473</v>
      </c>
      <c r="Q562" s="212">
        <v>43249.400149206602</v>
      </c>
      <c r="R562" s="212">
        <v>901430</v>
      </c>
      <c r="S562" s="212">
        <v>260231</v>
      </c>
      <c r="T562" s="212">
        <v>33181</v>
      </c>
      <c r="U562" s="212">
        <v>38284</v>
      </c>
      <c r="V562" s="205">
        <v>651</v>
      </c>
      <c r="W562" s="205">
        <f>ROUND(표9[[#This Row],[Apr 2026 (USD or KRW)]],0)</f>
        <v>0</v>
      </c>
      <c r="X562" s="212"/>
      <c r="Y562" s="206">
        <f>표9[[#This Row],[Apr 2027(KRW)]]-표9[[#This Row],[Mar 2026(KRW)]]</f>
        <v>-651</v>
      </c>
      <c r="Z562" s="213">
        <f t="shared" si="8"/>
        <v>-1</v>
      </c>
      <c r="AA562" s="208">
        <f>VLOOKUP(표9[[#This Row],[Team]],표1[],3,0)</f>
        <v>1000</v>
      </c>
    </row>
    <row r="563" spans="1:27" s="8" customFormat="1" ht="15">
      <c r="A563" s="209" t="str">
        <f>VLOOKUP($H563,GCP!$A:$H,2,0)</f>
        <v>GCP</v>
      </c>
      <c r="B563" s="209" t="str">
        <f>VLOOKUP($H563,GCP!$A:$H,3,0)</f>
        <v>KRAFTON HQ</v>
      </c>
      <c r="C563" s="209" t="str">
        <f>VLOOKUP($H563,GCP!$A:$H,4,0)</f>
        <v>PUBG STUDIO</v>
      </c>
      <c r="D563" s="209" t="str">
        <f>VLOOKUP($H563,GCP!$A:$H,5,0)</f>
        <v>Core VFX Team</v>
      </c>
      <c r="E563" s="209" t="str">
        <f>VLOOKUP($H563,GCP!$A:$H,6,0)</f>
        <v>OVERHEAD/OTHERS</v>
      </c>
      <c r="F563" s="202">
        <f>VLOOKUP(표9[[#This Row],[Team]],표1[[내역]:[코스트 센터]],2,0)</f>
        <v>101450</v>
      </c>
      <c r="G563" s="202" t="str">
        <f>VLOOKUP(표9[[#This Row],[Project]],표2[],2,0)</f>
        <v>I100099999</v>
      </c>
      <c r="H563" s="209" t="s">
        <v>519</v>
      </c>
      <c r="I563" s="209" t="str">
        <f>VLOOKUP($H563,GCP!$A:$H,7,0)</f>
        <v>서승욱</v>
      </c>
      <c r="J563" s="209" t="str">
        <f>VLOOKUP($H563,GCP!$A:$H,8,0)</f>
        <v>서승욱</v>
      </c>
      <c r="K563" s="186"/>
      <c r="L563" s="210"/>
      <c r="M563" s="211"/>
      <c r="N563" s="212"/>
      <c r="O563" s="212"/>
      <c r="P563" s="212"/>
      <c r="Q563" s="212"/>
      <c r="R563" s="212"/>
      <c r="S563" s="212"/>
      <c r="T563" s="212"/>
      <c r="U563" s="212">
        <v>5</v>
      </c>
      <c r="V563" s="205">
        <v>3191976</v>
      </c>
      <c r="W563" s="205">
        <f>ROUND(표9[[#This Row],[Apr 2026 (USD or KRW)]],0)</f>
        <v>0</v>
      </c>
      <c r="X563" s="212"/>
      <c r="Y563" s="206">
        <f>표9[[#This Row],[Apr 2027(KRW)]]-표9[[#This Row],[Mar 2026(KRW)]]</f>
        <v>-3191976</v>
      </c>
      <c r="Z563" s="213">
        <f t="shared" si="8"/>
        <v>-1</v>
      </c>
      <c r="AA563" s="208">
        <f>VLOOKUP(표9[[#This Row],[Team]],표1[],3,0)</f>
        <v>1000</v>
      </c>
    </row>
    <row r="564" spans="1:27" s="8" customFormat="1" ht="15">
      <c r="A564" s="209" t="str">
        <f>VLOOKUP($H564,GCP!$A:$H,2,0)</f>
        <v>GCP</v>
      </c>
      <c r="B564" s="209" t="str">
        <f>VLOOKUP($H564,GCP!$A:$H,3,0)</f>
        <v>KRAFTON HQ</v>
      </c>
      <c r="C564" s="209" t="str">
        <f>VLOOKUP($H564,GCP!$A:$H,4,0)</f>
        <v>KRAFTON HQ</v>
      </c>
      <c r="D564" s="209" t="str">
        <f>VLOOKUP($H564,GCP!$A:$H,5,0)</f>
        <v>Experience Engineering Dept.</v>
      </c>
      <c r="E564" s="209" t="str">
        <f>VLOOKUP($H564,GCP!$A:$H,6,0)</f>
        <v>GPP</v>
      </c>
      <c r="F564" s="202">
        <f>VLOOKUP(표9[[#This Row],[Team]],표1[[내역]:[코스트 센터]],2,0)</f>
        <v>101752</v>
      </c>
      <c r="G564" s="202" t="str">
        <f>VLOOKUP(표9[[#This Row],[Project]],표2[],2,0)</f>
        <v>I100090813</v>
      </c>
      <c r="H564" s="209" t="s">
        <v>520</v>
      </c>
      <c r="I564" s="209" t="str">
        <f>VLOOKUP($H564,GCP!$A:$H,7,0)</f>
        <v>이준호</v>
      </c>
      <c r="J564" s="209" t="str">
        <f>VLOOKUP($H564,GCP!$A:$H,8,0)</f>
        <v>이준호</v>
      </c>
      <c r="K564" s="186"/>
      <c r="L564" s="210"/>
      <c r="M564" s="211"/>
      <c r="N564" s="212"/>
      <c r="O564" s="212"/>
      <c r="P564" s="212">
        <v>2211517</v>
      </c>
      <c r="Q564" s="212">
        <v>5406803.1189418798</v>
      </c>
      <c r="R564" s="212">
        <v>3675563</v>
      </c>
      <c r="S564" s="212">
        <v>8601692</v>
      </c>
      <c r="T564" s="212">
        <v>16247145</v>
      </c>
      <c r="U564" s="212">
        <v>41601593</v>
      </c>
      <c r="V564" s="205">
        <v>33015560</v>
      </c>
      <c r="W564" s="205">
        <f>ROUND(표9[[#This Row],[Apr 2026 (USD or KRW)]],0)</f>
        <v>0</v>
      </c>
      <c r="X564" s="212"/>
      <c r="Y564" s="206">
        <f>표9[[#This Row],[Apr 2027(KRW)]]-표9[[#This Row],[Mar 2026(KRW)]]</f>
        <v>-33015560</v>
      </c>
      <c r="Z564" s="213">
        <f t="shared" si="8"/>
        <v>-1</v>
      </c>
      <c r="AA564" s="208">
        <f>VLOOKUP(표9[[#This Row],[Team]],표1[],3,0)</f>
        <v>1000</v>
      </c>
    </row>
    <row r="565" spans="1:27" s="8" customFormat="1" ht="15">
      <c r="A565" s="209" t="str">
        <f>VLOOKUP($H565,GCP!$A:$H,2,0)</f>
        <v>GCP</v>
      </c>
      <c r="B565" s="209" t="str">
        <f>VLOOKUP($H565,GCP!$A:$H,3,0)</f>
        <v>KRAFTON HQ</v>
      </c>
      <c r="C565" s="209" t="str">
        <f>VLOOKUP($H565,GCP!$A:$H,4,0)</f>
        <v>KRAFTON HQ</v>
      </c>
      <c r="D565" s="209" t="str">
        <f>VLOOKUP($H565,GCP!$A:$H,5,0)</f>
        <v>BAO Team 1</v>
      </c>
      <c r="E565" s="209" t="str">
        <f>VLOOKUP($H565,GCP!$A:$H,6,0)</f>
        <v>OVERHEAD/OTHERS</v>
      </c>
      <c r="F565" s="202">
        <f>VLOOKUP(표9[[#This Row],[Team]],표1[[내역]:[코스트 센터]],2,0)</f>
        <v>101148</v>
      </c>
      <c r="G565" s="202" t="str">
        <f>VLOOKUP(표9[[#This Row],[Project]],표2[],2,0)</f>
        <v>I100099999</v>
      </c>
      <c r="H565" s="244" t="s">
        <v>521</v>
      </c>
      <c r="I565" s="226"/>
      <c r="J565" s="209" t="str">
        <f>VLOOKUP($H565,GCP!$A:$H,8,0)</f>
        <v>권창현</v>
      </c>
      <c r="K565" s="242"/>
      <c r="L565" s="197"/>
      <c r="M565" s="199"/>
      <c r="N565" s="200"/>
      <c r="O565" s="200"/>
      <c r="P565" s="200"/>
      <c r="Q565" s="200"/>
      <c r="R565" s="200"/>
      <c r="S565" s="200"/>
      <c r="T565" s="200"/>
      <c r="U565" s="200"/>
      <c r="V565" s="205">
        <v>7853</v>
      </c>
      <c r="W565" s="205">
        <f>ROUND(표9[[#This Row],[Apr 2026 (USD or KRW)]],0)</f>
        <v>0</v>
      </c>
      <c r="X565" s="212"/>
      <c r="Y565" s="206">
        <f>표9[[#This Row],[Apr 2027(KRW)]]-표9[[#This Row],[Mar 2026(KRW)]]</f>
        <v>-7853</v>
      </c>
      <c r="Z565" s="213">
        <f t="shared" si="8"/>
        <v>-1</v>
      </c>
      <c r="AA565" s="231">
        <f>VLOOKUP(표9[[#This Row],[Team]],표1[],3,0)</f>
        <v>1000</v>
      </c>
    </row>
    <row r="566" spans="1:27" s="8" customFormat="1" ht="15">
      <c r="A566" s="209" t="str">
        <f>VLOOKUP($H566,GCP!$A:$H,2,0)</f>
        <v>GCP</v>
      </c>
      <c r="B566" s="209" t="str">
        <f>VLOOKUP($H566,GCP!$A:$H,3,0)</f>
        <v>KRAFTON HQ</v>
      </c>
      <c r="C566" s="209" t="str">
        <f>VLOOKUP($H566,GCP!$A:$H,4,0)</f>
        <v>KRAFTON India</v>
      </c>
      <c r="D566" s="209">
        <f>VLOOKUP($H566,GCP!$A:$H,5,0)</f>
        <v>0</v>
      </c>
      <c r="E566" s="209" t="str">
        <f>VLOOKUP($H566,GCP!$A:$H,6,0)</f>
        <v>OVERHEAD/OTHERS</v>
      </c>
      <c r="F566" s="202" t="e">
        <f>VLOOKUP(표9[[#This Row],[Team]],표1[[내역]:[코스트 센터]],2,0)</f>
        <v>#N/A</v>
      </c>
      <c r="G566" s="202" t="str">
        <f>VLOOKUP(표9[[#This Row],[Project]],표2[],2,0)</f>
        <v>I100099999</v>
      </c>
      <c r="H566" s="244" t="s">
        <v>522</v>
      </c>
      <c r="I566" s="226"/>
      <c r="J566" s="209" t="str">
        <f>VLOOKUP($H566,GCP!$A:$H,8,0)</f>
        <v>Srinjoy Das</v>
      </c>
      <c r="K566" s="242"/>
      <c r="L566" s="197"/>
      <c r="M566" s="199"/>
      <c r="N566" s="200"/>
      <c r="O566" s="200"/>
      <c r="P566" s="200"/>
      <c r="Q566" s="200"/>
      <c r="R566" s="200"/>
      <c r="S566" s="200"/>
      <c r="T566" s="200"/>
      <c r="U566" s="200"/>
      <c r="V566" s="205">
        <v>57</v>
      </c>
      <c r="W566" s="205">
        <f>ROUND(표9[[#This Row],[Apr 2026 (USD or KRW)]],0)</f>
        <v>0</v>
      </c>
      <c r="X566" s="212"/>
      <c r="Y566" s="206">
        <f>표9[[#This Row],[Apr 2027(KRW)]]-표9[[#This Row],[Mar 2026(KRW)]]</f>
        <v>-57</v>
      </c>
      <c r="Z566" s="213">
        <f t="shared" si="8"/>
        <v>-1</v>
      </c>
      <c r="AA566" s="231" t="e">
        <f>VLOOKUP(표9[[#This Row],[Team]],표1[],3,0)</f>
        <v>#N/A</v>
      </c>
    </row>
    <row r="567" spans="1:27" s="8" customFormat="1" ht="15">
      <c r="A567" s="209" t="str">
        <f>VLOOKUP($H567,GCP!$A:$H,2,0)</f>
        <v>GCP</v>
      </c>
      <c r="B567" s="209" t="str">
        <f>VLOOKUP($H567,GCP!$A:$H,3,0)</f>
        <v>KRAFTON HQ</v>
      </c>
      <c r="C567" s="209" t="str">
        <f>VLOOKUP($H567,GCP!$A:$H,4,0)</f>
        <v>KRAFTON HQ</v>
      </c>
      <c r="D567" s="209" t="str">
        <f>VLOOKUP($H567,GCP!$A:$H,5,0)</f>
        <v>Brand Creative Dept.</v>
      </c>
      <c r="E567" s="209" t="str">
        <f>VLOOKUP($H567,GCP!$A:$H,6,0)</f>
        <v>OVERHEAD/OTHERS</v>
      </c>
      <c r="F567" s="202">
        <f>VLOOKUP(표9[[#This Row],[Team]],표1[[내역]:[코스트 센터]],2,0)</f>
        <v>101075</v>
      </c>
      <c r="G567" s="202" t="str">
        <f>VLOOKUP(표9[[#This Row],[Project]],표2[],2,0)</f>
        <v>I100099999</v>
      </c>
      <c r="H567" s="244" t="s">
        <v>523</v>
      </c>
      <c r="I567" s="226"/>
      <c r="J567" s="209" t="str">
        <f>VLOOKUP($H567,GCP!$A:$H,8,0)</f>
        <v>전지민</v>
      </c>
      <c r="K567" s="242"/>
      <c r="L567" s="197"/>
      <c r="M567" s="199"/>
      <c r="N567" s="200"/>
      <c r="O567" s="200"/>
      <c r="P567" s="200"/>
      <c r="Q567" s="200"/>
      <c r="R567" s="200"/>
      <c r="S567" s="200"/>
      <c r="T567" s="200"/>
      <c r="U567" s="200"/>
      <c r="V567" s="205">
        <v>2577</v>
      </c>
      <c r="W567" s="205">
        <f>ROUND(표9[[#This Row],[Apr 2026 (USD or KRW)]],0)</f>
        <v>0</v>
      </c>
      <c r="X567" s="212"/>
      <c r="Y567" s="206">
        <f>표9[[#This Row],[Apr 2027(KRW)]]-표9[[#This Row],[Mar 2026(KRW)]]</f>
        <v>-2577</v>
      </c>
      <c r="Z567" s="213">
        <f t="shared" si="8"/>
        <v>-1</v>
      </c>
      <c r="AA567" s="231">
        <f>VLOOKUP(표9[[#This Row],[Team]],표1[],3,0)</f>
        <v>1000</v>
      </c>
    </row>
    <row r="568" spans="1:27" s="8" customFormat="1" ht="15">
      <c r="A568" s="209" t="str">
        <f>VLOOKUP($H568,GCP!$A:$H,2,0)</f>
        <v>GCP</v>
      </c>
      <c r="B568" s="209" t="str">
        <f>VLOOKUP($H568,GCP!$A:$H,3,0)</f>
        <v>KRAFTON HQ</v>
      </c>
      <c r="C568" s="209" t="str">
        <f>VLOOKUP($H568,GCP!$A:$H,4,0)</f>
        <v>KRAFTON HQ</v>
      </c>
      <c r="D568" s="209" t="str">
        <f>VLOOKUP($H568,GCP!$A:$H,5,0)</f>
        <v>GPD1 Publishing Coordination Dept.</v>
      </c>
      <c r="E568" s="209" t="str">
        <f>VLOOKUP($H568,GCP!$A:$H,6,0)</f>
        <v>OVERHEAD/OTHERS</v>
      </c>
      <c r="F568" s="202">
        <f>VLOOKUP(표9[[#This Row],[Team]],표1[[내역]:[코스트 센터]],2,0)</f>
        <v>102008</v>
      </c>
      <c r="G568" s="202" t="str">
        <f>VLOOKUP(표9[[#This Row],[Project]],표2[],2,0)</f>
        <v>I100099999</v>
      </c>
      <c r="H568" s="244" t="s">
        <v>524</v>
      </c>
      <c r="I568" s="226"/>
      <c r="J568" s="209" t="str">
        <f>VLOOKUP($H568,GCP!$A:$H,8,0)</f>
        <v>정길환</v>
      </c>
      <c r="K568" s="242"/>
      <c r="L568" s="197"/>
      <c r="M568" s="199"/>
      <c r="N568" s="200"/>
      <c r="O568" s="200"/>
      <c r="P568" s="200"/>
      <c r="Q568" s="200"/>
      <c r="R568" s="200"/>
      <c r="S568" s="200"/>
      <c r="T568" s="200"/>
      <c r="U568" s="200"/>
      <c r="V568" s="205">
        <v>17049</v>
      </c>
      <c r="W568" s="205">
        <f>ROUND(표9[[#This Row],[Apr 2026 (USD or KRW)]],0)</f>
        <v>0</v>
      </c>
      <c r="X568" s="212"/>
      <c r="Y568" s="206">
        <f>표9[[#This Row],[Apr 2027(KRW)]]-표9[[#This Row],[Mar 2026(KRW)]]</f>
        <v>-17049</v>
      </c>
      <c r="Z568" s="213">
        <f t="shared" si="8"/>
        <v>-1</v>
      </c>
      <c r="AA568" s="231">
        <f>VLOOKUP(표9[[#This Row],[Team]],표1[],3,0)</f>
        <v>1000</v>
      </c>
    </row>
    <row r="569" spans="1:27" s="8" customFormat="1" ht="15">
      <c r="A569" s="231" t="str">
        <f>VLOOKUP($H569,GWS!$A:$H,2,0)</f>
        <v>GWS</v>
      </c>
      <c r="B569" s="231" t="str">
        <f>VLOOKUP($H569,GWS!$A:$H,3,0)</f>
        <v>KRAFTON HQ</v>
      </c>
      <c r="C569" s="231" t="str">
        <f>VLOOKUP($H569,GWS!$A:$H,4,0)</f>
        <v>KRAFTON HQ</v>
      </c>
      <c r="D569" s="231" t="str">
        <f>VLOOKUP($H569,GWS!$A:$H,5,0)</f>
        <v>AI Transformation Team</v>
      </c>
      <c r="E569" s="231" t="str">
        <f>VLOOKUP($H569,GWS!$A:$H,6,0)</f>
        <v>OVERHEAD/OTHERS</v>
      </c>
      <c r="F569" s="202">
        <f>VLOOKUP(표9[[#This Row],[Team]],표1[[내역]:[코스트 센터]],2,0)</f>
        <v>101651</v>
      </c>
      <c r="G569" s="202" t="str">
        <f>VLOOKUP(표9[[#This Row],[Project]],표2[],2,0)</f>
        <v>I100099999</v>
      </c>
      <c r="H569" s="231" t="s">
        <v>525</v>
      </c>
      <c r="I569" s="231" t="str">
        <f>VLOOKUP($H569,GWS!$A:$H,7,0)</f>
        <v>김도균</v>
      </c>
      <c r="J569" s="231" t="str">
        <f>VLOOKUP($H569,GWS!$A:$H,8,0)</f>
        <v>김도균</v>
      </c>
      <c r="K569" s="189" t="s">
        <v>29</v>
      </c>
      <c r="L569" s="232">
        <v>1593316</v>
      </c>
      <c r="M569" s="233">
        <v>14159266</v>
      </c>
      <c r="N569" s="234">
        <v>15798965</v>
      </c>
      <c r="O569" s="234">
        <v>16672481</v>
      </c>
      <c r="P569" s="234">
        <v>23830001</v>
      </c>
      <c r="Q569" s="234">
        <v>35729363</v>
      </c>
      <c r="R569" s="234">
        <v>47719191</v>
      </c>
      <c r="S569" s="234">
        <v>442843891</v>
      </c>
      <c r="T569" s="234">
        <v>45605573</v>
      </c>
      <c r="U569" s="234">
        <v>46183254</v>
      </c>
      <c r="V569" s="205">
        <v>47260551</v>
      </c>
      <c r="W569" s="205">
        <f>ROUND(표9[[#This Row],[Apr 2026 (USD or KRW)]],0)</f>
        <v>0</v>
      </c>
      <c r="X569" s="234"/>
      <c r="Y569" s="206">
        <f>표9[[#This Row],[Apr 2027(KRW)]]-표9[[#This Row],[Mar 2026(KRW)]]</f>
        <v>-47260551</v>
      </c>
      <c r="Z569" s="235">
        <f t="shared" si="8"/>
        <v>-1</v>
      </c>
      <c r="AA569" s="208">
        <f>VLOOKUP(표9[[#This Row],[Team]],표1[],3,0)</f>
        <v>1000</v>
      </c>
    </row>
    <row r="570" spans="1:27" s="8" customFormat="1" ht="15">
      <c r="A570" s="231" t="str">
        <f>VLOOKUP($H570,GWS!$A:$H,2,0)</f>
        <v>GWS</v>
      </c>
      <c r="B570" s="231" t="str">
        <f>VLOOKUP($H570,GWS!$A:$H,3,0)</f>
        <v>KRAFTON HQ</v>
      </c>
      <c r="C570" s="231" t="str">
        <f>VLOOKUP($H570,GWS!$A:$H,4,0)</f>
        <v>KRAFTON HQ</v>
      </c>
      <c r="D570" s="231" t="str">
        <f>VLOOKUP($H570,GWS!$A:$H,5,0)</f>
        <v>IT Dept.</v>
      </c>
      <c r="E570" s="231" t="str">
        <f>VLOOKUP($H570,GWS!$A:$H,6,0)</f>
        <v>OVERHEAD/OTHERS</v>
      </c>
      <c r="F570" s="202">
        <f>VLOOKUP(표9[[#This Row],[Team]],표1[[내역]:[코스트 센터]],2,0)</f>
        <v>100036</v>
      </c>
      <c r="G570" s="202" t="str">
        <f>VLOOKUP(표9[[#This Row],[Project]],표2[],2,0)</f>
        <v>I100099999</v>
      </c>
      <c r="H570" s="236" t="s">
        <v>526</v>
      </c>
      <c r="I570" s="8" t="str">
        <f>VLOOKUP($H570,GWS!$A:$H,7,0)</f>
        <v>이윤슬</v>
      </c>
      <c r="J570" s="231" t="str">
        <f>VLOOKUP($H570,GWS!$A:$H,8,0)</f>
        <v>이윤슬</v>
      </c>
      <c r="K570" s="189" t="s">
        <v>29</v>
      </c>
      <c r="L570" s="237">
        <v>5901364</v>
      </c>
      <c r="M570" s="238">
        <v>6127160</v>
      </c>
      <c r="N570" s="239">
        <v>6235907</v>
      </c>
      <c r="O570" s="239">
        <v>6250737</v>
      </c>
      <c r="P570" s="239">
        <v>6954588</v>
      </c>
      <c r="Q570" s="239">
        <v>11281589</v>
      </c>
      <c r="R570" s="239">
        <v>11485143</v>
      </c>
      <c r="S570" s="239">
        <v>11344221</v>
      </c>
      <c r="T570" s="239">
        <v>11434255</v>
      </c>
      <c r="U570" s="239">
        <v>11579091</v>
      </c>
      <c r="V570" s="205">
        <v>11849192</v>
      </c>
      <c r="W570" s="205">
        <f>ROUND(표9[[#This Row],[Apr 2026 (USD or KRW)]],0)</f>
        <v>0</v>
      </c>
      <c r="X570" s="234"/>
      <c r="Y570" s="206">
        <f>표9[[#This Row],[Apr 2027(KRW)]]-표9[[#This Row],[Mar 2026(KRW)]]</f>
        <v>-11849192</v>
      </c>
      <c r="Z570" s="240">
        <f t="shared" si="8"/>
        <v>-1</v>
      </c>
      <c r="AA570" s="208">
        <f>VLOOKUP(표9[[#This Row],[Team]],표1[],3,0)</f>
        <v>1000</v>
      </c>
    </row>
    <row r="571" spans="1:27" ht="15">
      <c r="A571" s="231" t="str">
        <f>VLOOKUP($H571,Tencent!$A:$H,2,0)</f>
        <v>Tencent Cloud</v>
      </c>
      <c r="B571" s="231" t="str">
        <f>VLOOKUP($H571,Tencent!$A:$H,3,0)</f>
        <v>KRAFTON HQ</v>
      </c>
      <c r="C571" s="231" t="str">
        <f>VLOOKUP($H571,Tencent!$A:$H,4,0)</f>
        <v>KRAFTON HQ</v>
      </c>
      <c r="D571" s="231" t="str">
        <f>VLOOKUP($H571,Tencent!$A:$H,5,0)</f>
        <v>IT Dept.</v>
      </c>
      <c r="E571" s="231" t="str">
        <f>VLOOKUP($H571,Tencent!$A:$H,6,0)</f>
        <v>OVERHEAD/OTHERS</v>
      </c>
      <c r="F571" s="202">
        <f>VLOOKUP(표9[[#This Row],[Team]],표1[[내역]:[코스트 센터]],2,0)</f>
        <v>100036</v>
      </c>
      <c r="G571" s="202" t="str">
        <f>VLOOKUP(표9[[#This Row],[Project]],표2[],2,0)</f>
        <v>I100099999</v>
      </c>
      <c r="H571" s="236" t="s">
        <v>527</v>
      </c>
      <c r="I571" s="8" t="str">
        <f>VLOOKUP($H571,Tencent!$A:$H,7,0)</f>
        <v>이윤슬</v>
      </c>
      <c r="J571" s="231" t="str">
        <f>VLOOKUP($H571,Tencent!$A:$H,8,0)</f>
        <v>이윤슬</v>
      </c>
      <c r="K571" s="192"/>
      <c r="L571" s="237">
        <v>4842600</v>
      </c>
      <c r="M571" s="238">
        <v>0</v>
      </c>
      <c r="N571" s="239">
        <v>0</v>
      </c>
      <c r="O571" s="239">
        <v>0</v>
      </c>
      <c r="P571" s="239">
        <v>0</v>
      </c>
      <c r="Q571" s="239">
        <v>0</v>
      </c>
      <c r="R571" s="239">
        <v>0</v>
      </c>
      <c r="S571" s="239">
        <v>40516000</v>
      </c>
      <c r="T571" s="239">
        <v>5082000</v>
      </c>
      <c r="U571" s="239">
        <v>0</v>
      </c>
      <c r="V571" s="205">
        <v>0</v>
      </c>
      <c r="W571" s="205">
        <f>ROUND(표9[[#This Row],[Apr 2026 (USD or KRW)]],0)</f>
        <v>0</v>
      </c>
      <c r="X571" s="234"/>
      <c r="Y571" s="206">
        <f>표9[[#This Row],[Apr 2027(KRW)]]-표9[[#This Row],[Mar 2026(KRW)]]</f>
        <v>0</v>
      </c>
      <c r="Z571" s="240" t="str">
        <f t="shared" si="8"/>
        <v/>
      </c>
      <c r="AA571" s="208">
        <f>VLOOKUP(표9[[#This Row],[Team]],표1[],3,0)</f>
        <v>1000</v>
      </c>
    </row>
    <row r="572" spans="1:27" ht="17">
      <c r="A572" s="231" t="str">
        <f>VLOOKUP($H572,Tencent!$A:$H,2,0)</f>
        <v>Tencent Cloud</v>
      </c>
      <c r="B572" s="231" t="str">
        <f>VLOOKUP($H572,Tencent!$A:$H,3,0)</f>
        <v>KRAFTON HQ</v>
      </c>
      <c r="C572" s="231" t="str">
        <f>VLOOKUP($H572,Tencent!$A:$H,4,0)</f>
        <v>PUBG STUDIO</v>
      </c>
      <c r="D572" s="231" t="str">
        <f>VLOOKUP($H572,Tencent!$A:$H,5,0)</f>
        <v>PUBG PC&amp;Console Dev Div.</v>
      </c>
      <c r="E572" s="231" t="str">
        <f>VLOOKUP($H572,Tencent!$A:$H,6,0)</f>
        <v>BATTLEGROUNDS_PC/CONSOLE</v>
      </c>
      <c r="F572" s="202">
        <f>VLOOKUP(표9[[#This Row],[Team]],표1[[내역]:[코스트 센터]],2,0)</f>
        <v>100414</v>
      </c>
      <c r="G572" s="202" t="str">
        <f>VLOOKUP(표9[[#This Row],[Project]],표2[],2,0)</f>
        <v>P100010012</v>
      </c>
      <c r="H572" s="254" t="s">
        <v>528</v>
      </c>
      <c r="I572" s="8" t="str">
        <f>VLOOKUP($H572,Tencent!$A:$H,7,0)</f>
        <v>김정헌</v>
      </c>
      <c r="J572" s="231" t="str">
        <f>VLOOKUP($H572,Tencent!$A:$H,8,0)</f>
        <v>최준석</v>
      </c>
      <c r="K572" s="192" t="s">
        <v>29</v>
      </c>
      <c r="L572" s="237">
        <v>7523529</v>
      </c>
      <c r="M572" s="238">
        <v>7116610</v>
      </c>
      <c r="N572" s="239">
        <v>8361159</v>
      </c>
      <c r="O572" s="239">
        <v>6908323</v>
      </c>
      <c r="P572" s="239">
        <v>6114282</v>
      </c>
      <c r="Q572" s="239">
        <v>5716882</v>
      </c>
      <c r="R572" s="239">
        <v>6278480</v>
      </c>
      <c r="S572" s="239">
        <v>6290612</v>
      </c>
      <c r="T572" s="239">
        <v>6737954</v>
      </c>
      <c r="U572" s="239">
        <v>4620637</v>
      </c>
      <c r="V572" s="205">
        <v>19546187</v>
      </c>
      <c r="W572" s="205">
        <f>ROUND(표9[[#This Row],[Apr 2026 (USD or KRW)]],0)</f>
        <v>0</v>
      </c>
      <c r="X572" s="234"/>
      <c r="Y572" s="206">
        <f>표9[[#This Row],[Apr 2027(KRW)]]-표9[[#This Row],[Mar 2026(KRW)]]</f>
        <v>-19546187</v>
      </c>
      <c r="Z572" s="240">
        <f t="shared" si="8"/>
        <v>-1</v>
      </c>
      <c r="AA572" s="208">
        <f>VLOOKUP(표9[[#This Row],[Team]],표1[],3,0)</f>
        <v>1000</v>
      </c>
    </row>
    <row r="573" spans="1:27" ht="15">
      <c r="A573" s="231" t="str">
        <f>VLOOKUP($H573,Tencent!$A:$H,2,0)</f>
        <v>Tencent Cloud</v>
      </c>
      <c r="B573" s="231" t="str">
        <f>VLOOKUP($H573,Tencent!$A:$H,3,0)</f>
        <v>KRAFTON HQ</v>
      </c>
      <c r="C573" s="231" t="str">
        <f>VLOOKUP($H573,Tencent!$A:$H,4,0)</f>
        <v>KRAFTON HQ</v>
      </c>
      <c r="D573" s="231" t="str">
        <f>VLOOKUP($H573,Tencent!$A:$H,5,0)</f>
        <v>PUBGM Product Management Dept.</v>
      </c>
      <c r="E573" s="231" t="str">
        <f>VLOOKUP($H573,Tencent!$A:$H,6,0)</f>
        <v>BATTLEGROUNDS_MOBILE</v>
      </c>
      <c r="F573" s="202">
        <f>VLOOKUP(표9[[#This Row],[Team]],표1[[내역]:[코스트 센터]],2,0)</f>
        <v>100551</v>
      </c>
      <c r="G573" s="202" t="str">
        <f>VLOOKUP(표9[[#This Row],[Project]],표2[],2,0)</f>
        <v>P100030012</v>
      </c>
      <c r="H573" s="236" t="s">
        <v>529</v>
      </c>
      <c r="I573" s="8" t="str">
        <f>VLOOKUP($H573,Tencent!$A:$H,7,0)</f>
        <v>김연</v>
      </c>
      <c r="J573" s="231" t="str">
        <f>VLOOKUP($H573,Tencent!$A:$H,8,0)</f>
        <v>최윤채</v>
      </c>
      <c r="K573" s="192" t="s">
        <v>29</v>
      </c>
      <c r="L573" s="237">
        <v>425020115</v>
      </c>
      <c r="M573" s="238">
        <v>385454092</v>
      </c>
      <c r="N573" s="239">
        <v>442653019</v>
      </c>
      <c r="O573" s="239">
        <v>432224651</v>
      </c>
      <c r="P573" s="239">
        <v>416853278</v>
      </c>
      <c r="Q573" s="239">
        <v>421105324</v>
      </c>
      <c r="R573" s="239">
        <v>471569081</v>
      </c>
      <c r="S573" s="239">
        <v>442092836</v>
      </c>
      <c r="T573" s="239">
        <v>492137181</v>
      </c>
      <c r="U573" s="239">
        <v>459437153</v>
      </c>
      <c r="V573" s="205">
        <v>518645332</v>
      </c>
      <c r="W573" s="205">
        <f>ROUND(표9[[#This Row],[Apr 2026 (USD or KRW)]],0)</f>
        <v>0</v>
      </c>
      <c r="X573" s="234"/>
      <c r="Y573" s="206">
        <f>표9[[#This Row],[Apr 2027(KRW)]]-표9[[#This Row],[Mar 2026(KRW)]]</f>
        <v>-518645332</v>
      </c>
      <c r="Z573" s="240">
        <f t="shared" si="8"/>
        <v>-1</v>
      </c>
      <c r="AA573" s="208">
        <f>VLOOKUP(표9[[#This Row],[Team]],표1[],3,0)</f>
        <v>1000</v>
      </c>
    </row>
    <row r="574" spans="1:27" ht="15">
      <c r="A574" s="231" t="str">
        <f>VLOOKUP($H574,Tencent!$A:$H,2,0)</f>
        <v>Tencent Cloud</v>
      </c>
      <c r="B574" s="231" t="str">
        <f>VLOOKUP($H574,Tencent!$A:$H,3,0)</f>
        <v>KRAFTON HQ</v>
      </c>
      <c r="C574" s="231" t="str">
        <f>VLOOKUP($H574,Tencent!$A:$H,4,0)</f>
        <v>KRAFTON HQ</v>
      </c>
      <c r="D574" s="231" t="str">
        <f>VLOOKUP($H574,Tencent!$A:$H,5,0)</f>
        <v>Service DevOps Team</v>
      </c>
      <c r="E574" s="231" t="str">
        <f>VLOOKUP($H574,Tencent!$A:$H,6,0)</f>
        <v>BATTLEGROUNDS_PC/CONSOLE</v>
      </c>
      <c r="F574" s="202">
        <f>VLOOKUP(표9[[#This Row],[Team]],표1[[내역]:[코스트 센터]],2,0)</f>
        <v>100033</v>
      </c>
      <c r="G574" s="202" t="str">
        <f>VLOOKUP(표9[[#This Row],[Project]],표2[],2,0)</f>
        <v>P100010012</v>
      </c>
      <c r="H574" s="236" t="s">
        <v>530</v>
      </c>
      <c r="I574" s="8" t="str">
        <f>VLOOKUP($H574,Tencent!$A:$H,7,0)</f>
        <v>신근우</v>
      </c>
      <c r="J574" s="231" t="str">
        <f>VLOOKUP($H574,Tencent!$A:$H,7,0)</f>
        <v>신근우</v>
      </c>
      <c r="K574" s="192" t="s">
        <v>29</v>
      </c>
      <c r="L574" s="237">
        <v>482310</v>
      </c>
      <c r="M574" s="238">
        <v>456741</v>
      </c>
      <c r="N574" s="239">
        <v>682864</v>
      </c>
      <c r="O574" s="239">
        <v>484847</v>
      </c>
      <c r="P574" s="239">
        <v>473804</v>
      </c>
      <c r="Q574" s="239">
        <v>499777</v>
      </c>
      <c r="R574" s="239">
        <v>494789</v>
      </c>
      <c r="S574" s="239">
        <v>506091</v>
      </c>
      <c r="T574" s="239">
        <v>505432</v>
      </c>
      <c r="U574" s="234">
        <v>461350</v>
      </c>
      <c r="V574" s="205">
        <v>533795</v>
      </c>
      <c r="W574" s="205">
        <f>ROUND(표9[[#This Row],[Apr 2026 (USD or KRW)]],0)</f>
        <v>0</v>
      </c>
      <c r="X574" s="234"/>
      <c r="Y574" s="206">
        <f>표9[[#This Row],[Apr 2027(KRW)]]-표9[[#This Row],[Mar 2026(KRW)]]</f>
        <v>-533795</v>
      </c>
      <c r="Z574" s="240">
        <f t="shared" si="8"/>
        <v>-1</v>
      </c>
      <c r="AA574" s="208">
        <f>VLOOKUP(표9[[#This Row],[Team]],표1[],3,0)</f>
        <v>1000</v>
      </c>
    </row>
    <row r="575" spans="1:27" ht="15">
      <c r="A575" s="231" t="str">
        <f>VLOOKUP($H575,Tencent!$A:$H,2,0)</f>
        <v>Tencent Cloud</v>
      </c>
      <c r="B575" s="231" t="str">
        <f>VLOOKUP($H575,Tencent!$A:$H,3,0)</f>
        <v>KRAFTON HQ</v>
      </c>
      <c r="C575" s="231" t="str">
        <f>VLOOKUP($H575,Tencent!$A:$H,4,0)</f>
        <v>KRAFTON CHINA</v>
      </c>
      <c r="D575" s="231" t="str">
        <f>VLOOKUP($H575,Tencent!$A:$H,5,0)</f>
        <v>CN Service Ops Team_HQ</v>
      </c>
      <c r="E575" s="231" t="str">
        <f>VLOOKUP($H575,Tencent!$A:$H,6,0)</f>
        <v>BATTLEGROUNDS_PC/CONSOLE</v>
      </c>
      <c r="F575" s="202">
        <f>VLOOKUP(표9[[#This Row],[Team]],표1[[내역]:[코스트 센터]],2,0)</f>
        <v>100340</v>
      </c>
      <c r="G575" s="202" t="str">
        <f>VLOOKUP(표9[[#This Row],[Project]],표2[],2,0)</f>
        <v>P100010012</v>
      </c>
      <c r="H575" s="236" t="s">
        <v>531</v>
      </c>
      <c r="I575" s="8" t="str">
        <f>VLOOKUP($H575,Tencent!$A:$H,7,0)</f>
        <v>Pei Jun Xue</v>
      </c>
      <c r="J575" s="231" t="str">
        <f>VLOOKUP($H575,Tencent!$A:$H,8,0)</f>
        <v>Yan Ru Xu</v>
      </c>
      <c r="K575" s="192"/>
      <c r="L575" s="237">
        <v>0</v>
      </c>
      <c r="M575" s="238">
        <v>7987883</v>
      </c>
      <c r="N575" s="239">
        <v>0</v>
      </c>
      <c r="O575" s="239">
        <v>0</v>
      </c>
      <c r="P575" s="239">
        <v>0</v>
      </c>
      <c r="Q575" s="239">
        <v>0</v>
      </c>
      <c r="R575" s="239">
        <v>0</v>
      </c>
      <c r="S575" s="239">
        <v>0</v>
      </c>
      <c r="T575" s="239">
        <v>0</v>
      </c>
      <c r="U575" s="239">
        <v>0</v>
      </c>
      <c r="V575" s="205">
        <v>0</v>
      </c>
      <c r="W575" s="205">
        <f>ROUND(표9[[#This Row],[Apr 2026 (USD or KRW)]],0)</f>
        <v>0</v>
      </c>
      <c r="X575" s="234"/>
      <c r="Y575" s="206">
        <f>표9[[#This Row],[Apr 2027(KRW)]]-표9[[#This Row],[Mar 2026(KRW)]]</f>
        <v>0</v>
      </c>
      <c r="Z575" s="240" t="str">
        <f t="shared" si="8"/>
        <v/>
      </c>
      <c r="AA575" s="208">
        <f>VLOOKUP(표9[[#This Row],[Team]],표1[],3,0)</f>
        <v>1000</v>
      </c>
    </row>
    <row r="576" spans="1:27" ht="15">
      <c r="A576" s="231" t="str">
        <f>VLOOKUP($H576,Tencent!$A:$H,2,0)</f>
        <v>Tencent Cloud</v>
      </c>
      <c r="B576" s="231" t="str">
        <f>VLOOKUP($H576,Tencent!$A:$H,3,0)</f>
        <v>KRAFTON HQ</v>
      </c>
      <c r="C576" s="231" t="str">
        <f>VLOOKUP($H576,Tencent!$A:$H,4,0)</f>
        <v>KRAFTON HQ</v>
      </c>
      <c r="D576" s="231" t="str">
        <f>VLOOKUP($H576,Tencent!$A:$H,5,0)</f>
        <v>Experience Engineering Dept.</v>
      </c>
      <c r="E576" s="231" t="str">
        <f>VLOOKUP($H576,Tencent!$A:$H,6,0)</f>
        <v>OVERHEAD/OTHERS</v>
      </c>
      <c r="F576" s="202">
        <f>VLOOKUP(표9[[#This Row],[Team]],표1[[내역]:[코스트 센터]],2,0)</f>
        <v>101752</v>
      </c>
      <c r="G576" s="202" t="str">
        <f>VLOOKUP(표9[[#This Row],[Project]],표2[],2,0)</f>
        <v>I100099999</v>
      </c>
      <c r="H576" s="236" t="s">
        <v>532</v>
      </c>
      <c r="I576" s="8" t="str">
        <f>VLOOKUP($H576,Tencent!$A:$H,7,0)</f>
        <v>이준호</v>
      </c>
      <c r="J576" s="231" t="str">
        <f>VLOOKUP($H576,Tencent!$A:$H,8,0)</f>
        <v>이준호</v>
      </c>
      <c r="K576" s="192"/>
      <c r="L576" s="237">
        <v>5407310</v>
      </c>
      <c r="M576" s="238">
        <v>4371506</v>
      </c>
      <c r="N576" s="239">
        <v>13574246</v>
      </c>
      <c r="O576" s="239">
        <v>4883935</v>
      </c>
      <c r="P576" s="239">
        <v>5083977</v>
      </c>
      <c r="Q576" s="239">
        <v>3687551</v>
      </c>
      <c r="R576" s="239">
        <v>7459074</v>
      </c>
      <c r="S576" s="239">
        <v>9104308</v>
      </c>
      <c r="T576" s="239">
        <v>3363551</v>
      </c>
      <c r="U576" s="239">
        <v>4561910</v>
      </c>
      <c r="V576" s="205">
        <v>8275257</v>
      </c>
      <c r="W576" s="205">
        <f>ROUND(표9[[#This Row],[Apr 2026 (USD or KRW)]],0)</f>
        <v>0</v>
      </c>
      <c r="X576" s="234"/>
      <c r="Y576" s="206">
        <f>표9[[#This Row],[Apr 2027(KRW)]]-표9[[#This Row],[Mar 2026(KRW)]]</f>
        <v>-8275257</v>
      </c>
      <c r="Z576" s="240">
        <f t="shared" si="8"/>
        <v>-1</v>
      </c>
      <c r="AA576" s="208">
        <f>VLOOKUP(표9[[#This Row],[Team]],표1[],3,0)</f>
        <v>1000</v>
      </c>
    </row>
    <row r="577" spans="1:27" ht="15">
      <c r="A577" s="231" t="str">
        <f>VLOOKUP($H577,Tencent!$A:$H,2,0)</f>
        <v>Tencent Cloud</v>
      </c>
      <c r="B577" s="231" t="str">
        <f>VLOOKUP($H577,Tencent!$A:$H,3,0)</f>
        <v>KRAFTON HQ</v>
      </c>
      <c r="C577" s="231" t="str">
        <f>VLOOKUP($H577,Tencent!$A:$H,4,0)</f>
        <v>KRAFTON HQ</v>
      </c>
      <c r="D577" s="231" t="str">
        <f>VLOOKUP($H577,Tencent!$A:$H,5,0)</f>
        <v>Service DevOps Team</v>
      </c>
      <c r="E577" s="231" t="str">
        <f>VLOOKUP($H577,Tencent!$A:$H,6,0)</f>
        <v>PUBG:NEW STATE</v>
      </c>
      <c r="F577" s="202">
        <f>VLOOKUP(표9[[#This Row],[Team]],표1[[내역]:[코스트 센터]],2,0)</f>
        <v>100033</v>
      </c>
      <c r="G577" s="202" t="str">
        <f>VLOOKUP(표9[[#This Row],[Project]],표2[],2,0)</f>
        <v>P100030014</v>
      </c>
      <c r="H577" s="236" t="s">
        <v>533</v>
      </c>
      <c r="I577" s="8" t="str">
        <f>VLOOKUP($H577,Tencent!$A:$H,7,0)</f>
        <v>엄기성</v>
      </c>
      <c r="J577" s="231" t="str">
        <f>VLOOKUP($H577,Tencent!$A:$H,8,0)</f>
        <v>엄기성</v>
      </c>
      <c r="K577" s="192"/>
      <c r="L577" s="237">
        <v>44962</v>
      </c>
      <c r="M577" s="238">
        <v>42556</v>
      </c>
      <c r="N577" s="239">
        <v>45200</v>
      </c>
      <c r="O577" s="239">
        <v>45365</v>
      </c>
      <c r="P577" s="239">
        <v>44913</v>
      </c>
      <c r="Q577" s="239">
        <v>46527</v>
      </c>
      <c r="R577" s="239">
        <v>48491</v>
      </c>
      <c r="S577" s="239">
        <v>47509</v>
      </c>
      <c r="T577" s="239">
        <v>47181</v>
      </c>
      <c r="U577" s="239">
        <v>43048</v>
      </c>
      <c r="V577" s="205">
        <v>49728</v>
      </c>
      <c r="W577" s="205">
        <f>ROUND(표9[[#This Row],[Apr 2026 (USD or KRW)]],0)</f>
        <v>0</v>
      </c>
      <c r="X577" s="234"/>
      <c r="Y577" s="206">
        <f>표9[[#This Row],[Apr 2027(KRW)]]-표9[[#This Row],[Mar 2026(KRW)]]</f>
        <v>-49728</v>
      </c>
      <c r="Z577" s="240">
        <f t="shared" si="8"/>
        <v>-1</v>
      </c>
      <c r="AA577" s="208">
        <f>VLOOKUP(표9[[#This Row],[Team]],표1[],3,0)</f>
        <v>1000</v>
      </c>
    </row>
    <row r="578" spans="1:27" ht="15">
      <c r="A578" s="231" t="str">
        <f>VLOOKUP($H578,Tencent!$A:$H,2,0)</f>
        <v>Tencent Cloud</v>
      </c>
      <c r="B578" s="231" t="str">
        <f>VLOOKUP($H578,Tencent!$A:$H,3,0)</f>
        <v>KRAFTON HQ</v>
      </c>
      <c r="C578" s="231" t="str">
        <f>VLOOKUP($H578,Tencent!$A:$H,4,0)</f>
        <v>KRAFTON HQ</v>
      </c>
      <c r="D578" s="231" t="str">
        <f>VLOOKUP($H578,Tencent!$A:$H,5,0)</f>
        <v>IT Dept.</v>
      </c>
      <c r="E578" s="231" t="str">
        <f>VLOOKUP($H578,Tencent!$A:$H,6,0)</f>
        <v>OVERHEAD/OTHERS</v>
      </c>
      <c r="F578" s="202">
        <f>VLOOKUP(표9[[#This Row],[Team]],표1[[내역]:[코스트 센터]],2,0)</f>
        <v>100036</v>
      </c>
      <c r="G578" s="202" t="str">
        <f>VLOOKUP(표9[[#This Row],[Project]],표2[],2,0)</f>
        <v>I100099999</v>
      </c>
      <c r="H578" s="236" t="s">
        <v>534</v>
      </c>
      <c r="I578" s="8" t="str">
        <f>VLOOKUP($H578,Tencent!$A:$H,7,0)</f>
        <v>김재윤</v>
      </c>
      <c r="J578" s="231" t="str">
        <f>VLOOKUP($H578,Tencent!$A:$H,8,0)</f>
        <v>김재윤</v>
      </c>
      <c r="K578" s="192"/>
      <c r="L578" s="237">
        <v>152326</v>
      </c>
      <c r="M578" s="238">
        <v>163241</v>
      </c>
      <c r="N578" s="239">
        <v>173268</v>
      </c>
      <c r="O578" s="239">
        <v>172973</v>
      </c>
      <c r="P578" s="239">
        <v>169264</v>
      </c>
      <c r="Q578" s="239">
        <v>178396</v>
      </c>
      <c r="R578" s="239">
        <v>176827</v>
      </c>
      <c r="S578" s="239">
        <v>180366</v>
      </c>
      <c r="T578" s="239">
        <v>180989</v>
      </c>
      <c r="U578" s="239">
        <v>165107</v>
      </c>
      <c r="V578" s="205">
        <v>218802</v>
      </c>
      <c r="W578" s="205">
        <f>ROUND(표9[[#This Row],[Apr 2026 (USD or KRW)]],0)</f>
        <v>0</v>
      </c>
      <c r="X578" s="234"/>
      <c r="Y578" s="206">
        <f>표9[[#This Row],[Apr 2027(KRW)]]-표9[[#This Row],[Mar 2026(KRW)]]</f>
        <v>-218802</v>
      </c>
      <c r="Z578" s="240">
        <f t="shared" si="8"/>
        <v>-1</v>
      </c>
      <c r="AA578" s="208">
        <f>VLOOKUP(표9[[#This Row],[Team]],표1[],3,0)</f>
        <v>1000</v>
      </c>
    </row>
    <row r="579" spans="1:27" ht="15">
      <c r="A579" s="231" t="str">
        <f>VLOOKUP($H579,Yandex!$A:$H,2,0)</f>
        <v>Yandex Cloud</v>
      </c>
      <c r="B579" s="231" t="str">
        <f>VLOOKUP($H579,Yandex!$A:$H,3,0)</f>
        <v>KRAFTON HQ</v>
      </c>
      <c r="C579" s="231" t="str">
        <f>VLOOKUP($H579,Yandex!$A:$H,4,0)</f>
        <v>PUBG STUDIO</v>
      </c>
      <c r="D579" s="231" t="str">
        <f>VLOOKUP($H579,Yandex!$A:$H,5,0)</f>
        <v>PUBG PC&amp;Console Dev Div.</v>
      </c>
      <c r="E579" s="231" t="str">
        <f>VLOOKUP($H579,Yandex!$A:$H,6,0)</f>
        <v>BATTLEGROUNDS_PC/CONSOLE</v>
      </c>
      <c r="F579" s="202">
        <f>VLOOKUP(표9[[#This Row],[Team]],표1[[내역]:[코스트 센터]],2,0)</f>
        <v>100414</v>
      </c>
      <c r="G579" s="202" t="str">
        <f>VLOOKUP(표9[[#This Row],[Project]],표2[],2,0)</f>
        <v>P100010012</v>
      </c>
      <c r="H579" s="236" t="s">
        <v>535</v>
      </c>
      <c r="I579" s="8" t="str">
        <f>VLOOKUP($H579,Yandex!$A:$H,7,0)</f>
        <v>김정헌</v>
      </c>
      <c r="J579" s="231" t="str">
        <f>VLOOKUP($H579,Yandex!$A:$H,8,0)</f>
        <v>최준석</v>
      </c>
      <c r="K579" s="192" t="s">
        <v>29</v>
      </c>
      <c r="L579" s="237">
        <v>74234092</v>
      </c>
      <c r="M579" s="238">
        <v>71498209</v>
      </c>
      <c r="N579" s="239">
        <v>68361343</v>
      </c>
      <c r="O579" s="239">
        <v>68754163</v>
      </c>
      <c r="P579" s="239">
        <v>68401747</v>
      </c>
      <c r="Q579" s="239">
        <v>81891769.049999997</v>
      </c>
      <c r="R579" s="239">
        <v>80894199.75</v>
      </c>
      <c r="S579" s="239">
        <v>83662050</v>
      </c>
      <c r="T579" s="239">
        <v>89156709</v>
      </c>
      <c r="U579" s="239">
        <v>87099504</v>
      </c>
      <c r="V579" s="205">
        <v>116006257</v>
      </c>
      <c r="W579" s="205">
        <f>ROUND(표9[[#This Row],[Apr 2026 (USD or KRW)]],0)</f>
        <v>0</v>
      </c>
      <c r="X579" s="241"/>
      <c r="Y579" s="206">
        <f>표9[[#This Row],[Apr 2027(KRW)]]-표9[[#This Row],[Mar 2026(KRW)]]</f>
        <v>-116006257</v>
      </c>
      <c r="Z579" s="240">
        <f t="shared" si="8"/>
        <v>-1</v>
      </c>
      <c r="AA579" s="208">
        <f>VLOOKUP(표9[[#This Row],[Team]],표1[],3,0)</f>
        <v>1000</v>
      </c>
    </row>
    <row r="580" spans="1:27" ht="13.5" customHeight="1">
      <c r="Z580" s="40"/>
    </row>
    <row r="581" spans="1:27" ht="13.5" customHeight="1">
      <c r="Z581" s="40"/>
    </row>
    <row r="582" spans="1:27" ht="13.5" customHeight="1">
      <c r="Z582" s="40"/>
    </row>
    <row r="583" spans="1:27" ht="13.5" customHeight="1">
      <c r="Z583" s="40"/>
    </row>
    <row r="584" spans="1:27" ht="13.5" customHeight="1">
      <c r="I584" s="7" t="s">
        <v>536</v>
      </c>
      <c r="Z584" s="40"/>
    </row>
    <row r="585" spans="1:27" ht="13.5" customHeight="1">
      <c r="Z585" s="40"/>
    </row>
    <row r="586" spans="1:27" ht="13.5" customHeight="1">
      <c r="Z586" s="40"/>
    </row>
    <row r="587" spans="1:27" ht="13.5" customHeight="1">
      <c r="Z587" s="40"/>
    </row>
    <row r="588" spans="1:27" ht="13.5" customHeight="1">
      <c r="Z588" s="40"/>
    </row>
  </sheetData>
  <sheetProtection selectLockedCells="1"/>
  <sortState xmlns:xlrd2="http://schemas.microsoft.com/office/spreadsheetml/2017/richdata2" ref="A14:Z149">
    <sortCondition ref="H14:H149"/>
    <sortCondition ref="C14:C149"/>
    <sortCondition ref="D14:D149"/>
  </sortState>
  <phoneticPr fontId="2" type="noConversion"/>
  <conditionalFormatting sqref="H469:H505 H507:H535">
    <cfRule type="duplicateValues" dxfId="7" priority="9"/>
  </conditionalFormatting>
  <dataValidations disablePrompts="1" count="1">
    <dataValidation type="list" allowBlank="1" showInputMessage="1" showErrorMessage="1" sqref="K4:K570" xr:uid="{96DAB03C-0347-9041-B2D6-B8033592F72C}">
      <formula1>"v"</formula1>
    </dataValidation>
  </dataValidations>
  <hyperlinks>
    <hyperlink ref="H241" r:id="rId1" xr:uid="{394C0709-D228-4B1E-9C82-CCBCDB2FC2B9}"/>
    <hyperlink ref="H242" r:id="rId2" xr:uid="{6BC34525-4515-441D-8D70-D8F03AA94B58}"/>
    <hyperlink ref="H75" r:id="rId3" xr:uid="{734FC130-7441-4F96-9B00-54CACBD9813B}"/>
    <hyperlink ref="H77" r:id="rId4" xr:uid="{6816B40A-F4EF-49A0-9A5B-73E4E74705D8}"/>
    <hyperlink ref="H266" r:id="rId5" xr:uid="{7639F4CF-8FEB-1944-B11C-64F6AB11CD4B}"/>
    <hyperlink ref="H271" r:id="rId6" xr:uid="{08B945C0-6CA6-7042-868C-77FCD7D22E98}"/>
    <hyperlink ref="H26" r:id="rId7" xr:uid="{AAA6936F-4421-C24A-B5FD-3847987175F6}"/>
    <hyperlink ref="H122" r:id="rId8" xr:uid="{738CBE63-0ED4-C044-BAD0-93A2D46BB301}"/>
    <hyperlink ref="H572" r:id="rId9" xr:uid="{141542BE-CB4D-AC45-BE24-9FE82C7A0F5C}"/>
    <hyperlink ref="H290" r:id="rId10" xr:uid="{841DCEF9-F816-BC4D-B153-75D2EB6BABD4}"/>
  </hyperlinks>
  <pageMargins left="0.7" right="0.7" top="0.75" bottom="0.75" header="0.3" footer="0.3"/>
  <pageSetup paperSize="9" orientation="portrait" r:id="rId11"/>
  <legacyDrawing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7317-E998-4272-A843-3470C9174280}">
  <sheetPr codeName="Sheet2"/>
  <dimension ref="A1:V1532"/>
  <sheetViews>
    <sheetView topLeftCell="A119" zoomScale="193" zoomScaleNormal="70" workbookViewId="0">
      <selection activeCell="C148" sqref="C148"/>
    </sheetView>
  </sheetViews>
  <sheetFormatPr baseColWidth="10" defaultColWidth="10.83203125" defaultRowHeight="13.5" customHeight="1"/>
  <cols>
    <col min="1" max="1" width="21.1640625" style="2" bestFit="1" customWidth="1"/>
    <col min="2" max="2" width="24" style="2" bestFit="1" customWidth="1"/>
    <col min="3" max="3" width="14.33203125" style="2" bestFit="1" customWidth="1"/>
    <col min="4" max="4" width="23.83203125" style="2" bestFit="1" customWidth="1"/>
    <col min="5" max="5" width="23.5" style="2" bestFit="1" customWidth="1"/>
    <col min="6" max="6" width="25.6640625" style="2" bestFit="1" customWidth="1"/>
    <col min="7" max="7" width="24.5" style="2" bestFit="1" customWidth="1"/>
    <col min="8" max="8" width="23.5" style="2" bestFit="1" customWidth="1"/>
    <col min="9" max="9" width="23.6640625" style="2" bestFit="1" customWidth="1"/>
    <col min="10" max="10" width="24" bestFit="1" customWidth="1"/>
    <col min="11" max="11" width="14.5" style="2" customWidth="1"/>
    <col min="12" max="12" width="16.83203125" style="2" bestFit="1" customWidth="1"/>
    <col min="13" max="13" width="17.5" style="2" bestFit="1" customWidth="1"/>
    <col min="14" max="14" width="22.5" style="2" bestFit="1" customWidth="1"/>
    <col min="15" max="15" width="17" style="2" customWidth="1"/>
    <col min="16" max="16" width="7" style="2" bestFit="1" customWidth="1"/>
    <col min="17" max="17" width="14.33203125" style="2" bestFit="1" customWidth="1"/>
    <col min="18" max="18" width="11.5" style="2" bestFit="1" customWidth="1"/>
    <col min="19" max="21" width="9.83203125" style="2" bestFit="1" customWidth="1"/>
    <col min="22" max="24" width="5.83203125" style="2" bestFit="1" customWidth="1"/>
    <col min="25" max="25" width="9.83203125" style="2" bestFit="1" customWidth="1"/>
    <col min="26" max="27" width="5.83203125" style="2" bestFit="1" customWidth="1"/>
    <col min="28" max="28" width="9.83203125" style="2" bestFit="1" customWidth="1"/>
    <col min="29" max="33" width="5.83203125" style="2" bestFit="1" customWidth="1"/>
    <col min="34" max="34" width="11" style="2" bestFit="1" customWidth="1"/>
    <col min="35" max="36" width="7" style="2" bestFit="1" customWidth="1"/>
    <col min="37" max="39" width="11" style="2" bestFit="1" customWidth="1"/>
    <col min="40" max="42" width="7" style="2" bestFit="1" customWidth="1"/>
    <col min="43" max="43" width="11" style="2" bestFit="1" customWidth="1"/>
    <col min="44" max="44" width="7" style="2" bestFit="1" customWidth="1"/>
    <col min="45" max="45" width="11" style="2" bestFit="1" customWidth="1"/>
    <col min="46" max="46" width="7" style="2" bestFit="1" customWidth="1"/>
    <col min="47" max="50" width="11" style="2" bestFit="1" customWidth="1"/>
    <col min="51" max="52" width="7" style="2" bestFit="1" customWidth="1"/>
    <col min="53" max="56" width="11" style="2" bestFit="1" customWidth="1"/>
    <col min="57" max="57" width="7" style="2" bestFit="1" customWidth="1"/>
    <col min="58" max="59" width="11" style="2" bestFit="1" customWidth="1"/>
    <col min="60" max="61" width="7" style="2" bestFit="1" customWidth="1"/>
    <col min="62" max="62" width="9.83203125" style="2" bestFit="1" customWidth="1"/>
    <col min="63" max="63" width="11" style="2" bestFit="1" customWidth="1"/>
    <col min="64" max="64" width="7" style="2" bestFit="1" customWidth="1"/>
    <col min="65" max="67" width="11" style="2" bestFit="1" customWidth="1"/>
    <col min="68" max="68" width="7" style="2" bestFit="1" customWidth="1"/>
    <col min="69" max="69" width="9.83203125" style="2" bestFit="1" customWidth="1"/>
    <col min="70" max="70" width="7" style="2" bestFit="1" customWidth="1"/>
    <col min="71" max="72" width="11" style="2" bestFit="1" customWidth="1"/>
    <col min="73" max="75" width="7" style="2" bestFit="1" customWidth="1"/>
    <col min="76" max="76" width="9.83203125" style="2" bestFit="1" customWidth="1"/>
    <col min="77" max="77" width="11" style="2" bestFit="1" customWidth="1"/>
    <col min="78" max="79" width="7" style="2" bestFit="1" customWidth="1"/>
    <col min="80" max="80" width="9.83203125" style="2" bestFit="1" customWidth="1"/>
    <col min="81" max="82" width="7" style="2" bestFit="1" customWidth="1"/>
    <col min="83" max="83" width="9.83203125" style="2" bestFit="1" customWidth="1"/>
    <col min="84" max="84" width="11" style="2" bestFit="1" customWidth="1"/>
    <col min="85" max="85" width="12" style="2" bestFit="1" customWidth="1"/>
    <col min="86" max="86" width="7.83203125" style="2" bestFit="1" customWidth="1"/>
    <col min="87" max="87" width="12" style="2" bestFit="1" customWidth="1"/>
    <col min="88" max="89" width="7.83203125" style="2" bestFit="1" customWidth="1"/>
    <col min="90" max="90" width="12" style="2" bestFit="1" customWidth="1"/>
    <col min="91" max="91" width="7.83203125" style="2" bestFit="1" customWidth="1"/>
    <col min="92" max="93" width="12" style="2" bestFit="1" customWidth="1"/>
    <col min="94" max="94" width="9.83203125" style="2" bestFit="1" customWidth="1"/>
    <col min="95" max="99" width="12" style="2" bestFit="1" customWidth="1"/>
    <col min="100" max="100" width="11" style="2" bestFit="1" customWidth="1"/>
    <col min="101" max="101" width="12" style="2" bestFit="1" customWidth="1"/>
    <col min="102" max="102" width="7.83203125" style="2" bestFit="1" customWidth="1"/>
    <col min="103" max="105" width="12" style="2" bestFit="1" customWidth="1"/>
    <col min="106" max="106" width="7.83203125" style="2" bestFit="1" customWidth="1"/>
    <col min="107" max="108" width="12" style="2" bestFit="1" customWidth="1"/>
    <col min="109" max="109" width="11" style="2" bestFit="1" customWidth="1"/>
    <col min="110" max="110" width="7.83203125" style="2" bestFit="1" customWidth="1"/>
    <col min="111" max="111" width="12" style="2" bestFit="1" customWidth="1"/>
    <col min="112" max="115" width="7.83203125" style="2" bestFit="1" customWidth="1"/>
    <col min="116" max="116" width="12" style="2" bestFit="1" customWidth="1"/>
    <col min="117" max="117" width="7.83203125" style="2" bestFit="1" customWidth="1"/>
    <col min="118" max="119" width="12" style="2" bestFit="1" customWidth="1"/>
    <col min="120" max="121" width="7.83203125" style="2" bestFit="1" customWidth="1"/>
    <col min="122" max="122" width="12" style="2" bestFit="1" customWidth="1"/>
    <col min="123" max="124" width="7.83203125" style="2" bestFit="1" customWidth="1"/>
    <col min="125" max="125" width="12" style="2" bestFit="1" customWidth="1"/>
    <col min="126" max="126" width="11" style="2" bestFit="1" customWidth="1"/>
    <col min="127" max="127" width="12" style="2" bestFit="1" customWidth="1"/>
    <col min="128" max="128" width="7.83203125" style="2" bestFit="1" customWidth="1"/>
    <col min="129" max="130" width="12" style="2" bestFit="1" customWidth="1"/>
    <col min="131" max="133" width="7.83203125" style="2" bestFit="1" customWidth="1"/>
    <col min="134" max="135" width="12" style="2" bestFit="1" customWidth="1"/>
    <col min="136" max="137" width="9" style="2" bestFit="1" customWidth="1"/>
    <col min="138" max="138" width="12" style="2" bestFit="1" customWidth="1"/>
    <col min="139" max="139" width="9" style="2" bestFit="1" customWidth="1"/>
    <col min="140" max="141" width="12" style="2" bestFit="1" customWidth="1"/>
    <col min="142" max="146" width="9" style="2" bestFit="1" customWidth="1"/>
    <col min="147" max="148" width="12" style="2" bestFit="1" customWidth="1"/>
    <col min="149" max="150" width="9" style="2" bestFit="1" customWidth="1"/>
    <col min="151" max="152" width="12" style="2" bestFit="1" customWidth="1"/>
    <col min="153" max="153" width="9" style="2" bestFit="1" customWidth="1"/>
    <col min="154" max="154" width="12" style="2" bestFit="1" customWidth="1"/>
    <col min="155" max="155" width="11" style="2" bestFit="1" customWidth="1"/>
    <col min="156" max="157" width="9.83203125" style="2" bestFit="1" customWidth="1"/>
    <col min="158" max="159" width="12" style="2" bestFit="1" customWidth="1"/>
    <col min="160" max="161" width="9.83203125" style="2" bestFit="1" customWidth="1"/>
    <col min="162" max="162" width="12" style="2" bestFit="1" customWidth="1"/>
    <col min="163" max="163" width="9.83203125" style="2" bestFit="1" customWidth="1"/>
    <col min="164" max="167" width="12" style="2" bestFit="1" customWidth="1"/>
    <col min="168" max="169" width="9.83203125" style="2" bestFit="1" customWidth="1"/>
    <col min="170" max="170" width="12" style="2" bestFit="1" customWidth="1"/>
    <col min="171" max="171" width="9.83203125" style="2" bestFit="1" customWidth="1"/>
    <col min="172" max="172" width="12" style="2" bestFit="1" customWidth="1"/>
    <col min="173" max="173" width="9.83203125" style="2" bestFit="1" customWidth="1"/>
    <col min="174" max="174" width="11" style="2" bestFit="1" customWidth="1"/>
    <col min="175" max="175" width="6.33203125" style="2" bestFit="1" customWidth="1"/>
    <col min="176" max="176" width="12" style="2" bestFit="1" customWidth="1"/>
    <col min="177" max="16384" width="10.83203125" style="2"/>
  </cols>
  <sheetData>
    <row r="1" spans="1:9" ht="20">
      <c r="A1" s="25" t="s">
        <v>537</v>
      </c>
    </row>
    <row r="2" spans="1:9" ht="30" customHeight="1">
      <c r="A2" s="25" t="s">
        <v>538</v>
      </c>
    </row>
    <row r="3" spans="1:9" ht="17">
      <c r="A3" s="81" t="s">
        <v>539</v>
      </c>
      <c r="B3" s="13" t="s">
        <v>540</v>
      </c>
      <c r="D3"/>
      <c r="E3"/>
      <c r="F3"/>
      <c r="G3"/>
      <c r="H3"/>
      <c r="I3" s="13"/>
    </row>
    <row r="4" spans="1:9" ht="17">
      <c r="A4" s="26" t="s">
        <v>541</v>
      </c>
      <c r="B4" s="13">
        <v>504766397</v>
      </c>
      <c r="D4"/>
      <c r="E4"/>
      <c r="F4"/>
      <c r="G4"/>
      <c r="H4"/>
      <c r="I4" s="13"/>
    </row>
    <row r="5" spans="1:9" ht="17">
      <c r="A5" s="82" t="s">
        <v>542</v>
      </c>
      <c r="B5" s="13">
        <v>504766397</v>
      </c>
      <c r="D5"/>
      <c r="E5"/>
      <c r="F5" s="96"/>
      <c r="G5"/>
      <c r="H5"/>
      <c r="I5" s="13"/>
    </row>
    <row r="6" spans="1:9" ht="17">
      <c r="A6" s="26" t="s">
        <v>543</v>
      </c>
      <c r="B6" s="13">
        <v>5793090939</v>
      </c>
      <c r="D6"/>
      <c r="E6"/>
      <c r="F6" s="96"/>
      <c r="G6"/>
      <c r="H6"/>
      <c r="I6" s="13"/>
    </row>
    <row r="7" spans="1:9" ht="17">
      <c r="A7" s="82" t="s">
        <v>544</v>
      </c>
      <c r="B7" s="13">
        <v>17336978</v>
      </c>
      <c r="D7"/>
      <c r="E7"/>
      <c r="F7" s="96"/>
      <c r="G7"/>
      <c r="H7"/>
      <c r="I7" s="13"/>
    </row>
    <row r="8" spans="1:9" ht="17">
      <c r="A8" s="82" t="s">
        <v>542</v>
      </c>
      <c r="B8" s="13">
        <v>3837743597</v>
      </c>
      <c r="D8"/>
      <c r="E8"/>
      <c r="F8"/>
      <c r="G8"/>
      <c r="H8"/>
      <c r="I8" s="13"/>
    </row>
    <row r="9" spans="1:9" ht="17">
      <c r="A9" s="82" t="s">
        <v>391</v>
      </c>
      <c r="B9" s="13">
        <v>79749506</v>
      </c>
      <c r="D9"/>
      <c r="E9"/>
      <c r="F9"/>
      <c r="G9"/>
      <c r="H9"/>
      <c r="I9" s="13"/>
    </row>
    <row r="10" spans="1:9" ht="17">
      <c r="A10" s="82" t="s">
        <v>545</v>
      </c>
      <c r="B10" s="13">
        <v>1858260858</v>
      </c>
      <c r="D10"/>
      <c r="E10"/>
      <c r="F10" s="13"/>
      <c r="G10"/>
      <c r="H10"/>
      <c r="I10" s="13"/>
    </row>
    <row r="11" spans="1:9" ht="17">
      <c r="A11" s="26" t="s">
        <v>369</v>
      </c>
      <c r="B11" s="13">
        <v>4420285606</v>
      </c>
      <c r="D11"/>
      <c r="E11"/>
      <c r="F11"/>
      <c r="G11"/>
      <c r="H11"/>
      <c r="I11" s="13"/>
    </row>
    <row r="12" spans="1:9" ht="17">
      <c r="A12" s="82" t="s">
        <v>544</v>
      </c>
      <c r="B12" s="13">
        <v>24498736</v>
      </c>
      <c r="D12"/>
      <c r="E12"/>
      <c r="F12"/>
      <c r="G12"/>
      <c r="H12"/>
      <c r="I12" s="13"/>
    </row>
    <row r="13" spans="1:9" ht="17">
      <c r="A13" s="82" t="s">
        <v>542</v>
      </c>
      <c r="B13" s="13">
        <v>4241412983</v>
      </c>
      <c r="C13"/>
      <c r="D13"/>
      <c r="E13"/>
      <c r="F13"/>
      <c r="G13"/>
      <c r="H13"/>
      <c r="I13" s="13"/>
    </row>
    <row r="14" spans="1:9" ht="17">
      <c r="A14" s="82" t="s">
        <v>391</v>
      </c>
      <c r="B14" s="13">
        <v>154373887</v>
      </c>
      <c r="C14"/>
      <c r="D14"/>
      <c r="E14"/>
      <c r="F14"/>
      <c r="G14"/>
      <c r="H14"/>
      <c r="I14" s="13"/>
    </row>
    <row r="15" spans="1:9" ht="17">
      <c r="A15" s="26" t="s">
        <v>546</v>
      </c>
      <c r="B15" s="13">
        <v>347293612</v>
      </c>
      <c r="C15"/>
      <c r="D15"/>
      <c r="E15"/>
      <c r="F15" s="13"/>
      <c r="G15" s="13"/>
      <c r="H15" s="13"/>
      <c r="I15" s="13"/>
    </row>
    <row r="16" spans="1:9" ht="17">
      <c r="A16" s="82" t="s">
        <v>544</v>
      </c>
      <c r="B16" s="13">
        <v>599054</v>
      </c>
      <c r="C16"/>
      <c r="D16"/>
      <c r="E16"/>
      <c r="F16" s="13"/>
      <c r="G16" s="13"/>
      <c r="H16" s="13"/>
      <c r="I16" s="13"/>
    </row>
    <row r="17" spans="1:9" ht="17">
      <c r="A17" s="82" t="s">
        <v>542</v>
      </c>
      <c r="B17" s="13">
        <v>346694558</v>
      </c>
      <c r="C17"/>
      <c r="D17"/>
      <c r="E17"/>
      <c r="F17" s="13"/>
      <c r="G17" s="13"/>
      <c r="H17" s="13"/>
      <c r="I17" s="13"/>
    </row>
    <row r="18" spans="1:9" ht="17">
      <c r="A18" s="26" t="s">
        <v>547</v>
      </c>
      <c r="B18" s="13">
        <v>1126298033.8</v>
      </c>
      <c r="C18"/>
      <c r="D18"/>
      <c r="E18"/>
      <c r="F18" s="13"/>
      <c r="G18" s="13"/>
      <c r="H18" s="13"/>
      <c r="I18" s="13"/>
    </row>
    <row r="19" spans="1:9" ht="17">
      <c r="A19" s="82" t="s">
        <v>542</v>
      </c>
      <c r="B19" s="13">
        <v>1126298033.8</v>
      </c>
      <c r="C19"/>
      <c r="D19"/>
      <c r="E19"/>
      <c r="F19" s="13"/>
      <c r="G19" s="13"/>
      <c r="H19" s="13"/>
      <c r="I19" s="13"/>
    </row>
    <row r="20" spans="1:9" ht="17">
      <c r="A20" s="26" t="s">
        <v>526</v>
      </c>
      <c r="B20" s="13">
        <v>47260551</v>
      </c>
      <c r="C20"/>
      <c r="D20"/>
      <c r="E20"/>
      <c r="F20" s="13"/>
      <c r="G20" s="13"/>
      <c r="H20" s="13"/>
      <c r="I20" s="13"/>
    </row>
    <row r="21" spans="1:9" ht="17">
      <c r="A21" s="82" t="s">
        <v>542</v>
      </c>
      <c r="B21" s="13">
        <v>47260551</v>
      </c>
      <c r="C21"/>
      <c r="E21" s="13"/>
      <c r="F21" s="13"/>
      <c r="G21" s="13"/>
      <c r="H21" s="13"/>
      <c r="I21" s="13"/>
    </row>
    <row r="22" spans="1:9" ht="17">
      <c r="A22" s="26" t="s">
        <v>548</v>
      </c>
      <c r="B22" s="13">
        <v>12238995138.799999</v>
      </c>
      <c r="C22"/>
      <c r="E22" s="13"/>
      <c r="F22" s="13"/>
      <c r="G22" s="13"/>
      <c r="H22" s="13"/>
      <c r="I22" s="13"/>
    </row>
    <row r="23" spans="1:9" ht="17">
      <c r="A23"/>
      <c r="B23"/>
      <c r="C23"/>
      <c r="E23" s="13"/>
      <c r="F23" s="13"/>
      <c r="G23" s="13"/>
      <c r="H23" s="13"/>
      <c r="I23" s="13"/>
    </row>
    <row r="24" spans="1:9" ht="17">
      <c r="A24"/>
      <c r="B24"/>
      <c r="C24"/>
      <c r="E24" s="13"/>
      <c r="F24" s="13"/>
      <c r="G24" s="13"/>
      <c r="H24" s="13"/>
      <c r="I24" s="13"/>
    </row>
    <row r="25" spans="1:9" ht="17">
      <c r="A25"/>
      <c r="B25"/>
      <c r="C25"/>
      <c r="E25" s="13"/>
      <c r="F25" s="13"/>
      <c r="G25" s="13"/>
      <c r="H25" s="13"/>
      <c r="I25" s="13"/>
    </row>
    <row r="26" spans="1:9" ht="17">
      <c r="A26"/>
      <c r="B26"/>
      <c r="C26"/>
      <c r="E26" s="13"/>
      <c r="F26" s="13"/>
      <c r="G26" s="13"/>
      <c r="H26" s="13"/>
      <c r="I26" s="13"/>
    </row>
    <row r="27" spans="1:9" ht="17">
      <c r="A27"/>
      <c r="B27"/>
      <c r="E27" s="13"/>
      <c r="F27" s="13"/>
      <c r="G27" s="13"/>
      <c r="H27" s="13"/>
      <c r="I27" s="13"/>
    </row>
    <row r="28" spans="1:9" ht="17">
      <c r="A28"/>
      <c r="B28"/>
      <c r="C28"/>
      <c r="D28" s="13"/>
      <c r="E28" s="13"/>
      <c r="F28" s="13"/>
      <c r="G28" s="13"/>
      <c r="H28" s="13"/>
      <c r="I28" s="13"/>
    </row>
    <row r="29" spans="1:9" ht="17">
      <c r="A29"/>
      <c r="B29"/>
      <c r="C29" s="13"/>
      <c r="D29" s="13"/>
      <c r="E29" s="13"/>
      <c r="F29" s="13"/>
      <c r="G29" s="13"/>
      <c r="H29" s="13"/>
      <c r="I29" s="13"/>
    </row>
    <row r="30" spans="1:9" ht="17">
      <c r="A30"/>
      <c r="B30"/>
      <c r="C30" s="13"/>
      <c r="D30" s="13"/>
      <c r="E30" s="13"/>
      <c r="F30" s="13"/>
      <c r="G30" s="13"/>
      <c r="H30" s="13"/>
      <c r="I30" s="13"/>
    </row>
    <row r="31" spans="1:9" ht="17">
      <c r="A31" s="81" t="s">
        <v>4</v>
      </c>
      <c r="B31" s="13" t="s">
        <v>549</v>
      </c>
      <c r="C31" s="13"/>
      <c r="D31" s="13"/>
      <c r="E31" s="13"/>
      <c r="F31" s="13"/>
      <c r="G31" s="13"/>
      <c r="H31" s="13"/>
      <c r="I31" s="13"/>
    </row>
    <row r="32" spans="1:9" ht="17">
      <c r="A32" s="13"/>
      <c r="B32" s="13"/>
      <c r="C32" s="13"/>
      <c r="D32" s="13"/>
      <c r="E32" s="13"/>
      <c r="F32" s="13"/>
      <c r="G32" s="13"/>
      <c r="H32" s="13"/>
      <c r="I32" s="13"/>
    </row>
    <row r="33" spans="1:15" ht="17">
      <c r="A33" s="81" t="s">
        <v>539</v>
      </c>
      <c r="B33" s="13" t="s">
        <v>550</v>
      </c>
      <c r="C33" s="13" t="s">
        <v>551</v>
      </c>
      <c r="D33" s="13" t="s">
        <v>552</v>
      </c>
      <c r="E33" s="13" t="s">
        <v>553</v>
      </c>
      <c r="F33" s="13" t="s">
        <v>554</v>
      </c>
      <c r="G33" s="13" t="s">
        <v>555</v>
      </c>
      <c r="H33" s="13" t="s">
        <v>556</v>
      </c>
      <c r="I33" s="13" t="s">
        <v>557</v>
      </c>
      <c r="J33" s="13" t="s">
        <v>540</v>
      </c>
      <c r="K33" s="2" t="s">
        <v>558</v>
      </c>
      <c r="L33" s="29">
        <f>SUM(L34:L37)</f>
        <v>3841286474</v>
      </c>
      <c r="M33" s="29" t="e">
        <f>SUM(L66,L69,L90,L99,L106,L116,L118,L122)</f>
        <v>#REF!</v>
      </c>
      <c r="O33" s="180"/>
    </row>
    <row r="34" spans="1:15" ht="17">
      <c r="A34" s="26" t="s">
        <v>544</v>
      </c>
      <c r="B34" s="13">
        <v>76512173</v>
      </c>
      <c r="C34" s="13">
        <v>71845839</v>
      </c>
      <c r="D34" s="13">
        <v>68077618</v>
      </c>
      <c r="E34" s="13">
        <v>72894895.060000002</v>
      </c>
      <c r="F34" s="13">
        <v>68822600</v>
      </c>
      <c r="G34" s="13">
        <v>73450500</v>
      </c>
      <c r="H34" s="13">
        <v>68330496</v>
      </c>
      <c r="I34" s="13">
        <v>39758714</v>
      </c>
      <c r="J34" s="13">
        <v>0</v>
      </c>
      <c r="K34" s="2" t="s">
        <v>559</v>
      </c>
      <c r="L34" s="2">
        <f>SUM(J35:J43,J45:J54,J56:J59)</f>
        <v>0</v>
      </c>
      <c r="M34" s="2">
        <f>SUM(L66,L69,L90,L99,L106,L116,L118)</f>
        <v>24429155274.599998</v>
      </c>
      <c r="O34" s="180"/>
    </row>
    <row r="35" spans="1:15" ht="17">
      <c r="A35" s="26" t="s">
        <v>560</v>
      </c>
      <c r="B35" s="13"/>
      <c r="C35" s="13"/>
      <c r="D35" s="13"/>
      <c r="E35" s="13"/>
      <c r="F35" s="13"/>
      <c r="G35" s="13"/>
      <c r="H35" s="13">
        <v>149904</v>
      </c>
      <c r="I35" s="13">
        <v>0</v>
      </c>
      <c r="J35" s="13">
        <v>0</v>
      </c>
      <c r="K35" s="2" t="s">
        <v>561</v>
      </c>
      <c r="L35" s="2">
        <f>GETPIVOTDATA("합계 : Feb 2026(KRW)",$A$33,"Studio","Research")</f>
        <v>222950439</v>
      </c>
      <c r="M35" s="94">
        <f>M122</f>
        <v>63576.28</v>
      </c>
      <c r="O35" s="179"/>
    </row>
    <row r="36" spans="1:15" ht="17">
      <c r="A36" s="26" t="s">
        <v>562</v>
      </c>
      <c r="B36" s="13">
        <v>4680739</v>
      </c>
      <c r="C36" s="13">
        <v>4769599</v>
      </c>
      <c r="D36" s="13">
        <v>4503085</v>
      </c>
      <c r="E36" s="13">
        <v>4681702.9897238901</v>
      </c>
      <c r="F36" s="13">
        <v>3056075</v>
      </c>
      <c r="G36" s="13">
        <v>4894166</v>
      </c>
      <c r="H36" s="13">
        <v>4845201</v>
      </c>
      <c r="I36" s="13">
        <v>146371</v>
      </c>
      <c r="J36" s="13">
        <v>0</v>
      </c>
      <c r="K36" s="2" t="s">
        <v>563</v>
      </c>
      <c r="L36" s="2">
        <f>GETPIVOTDATA("합계 : Feb 2026(KRW)",$A$33,"Studio","DLD")</f>
        <v>3578577321</v>
      </c>
      <c r="N36" s="13"/>
      <c r="O36" s="13"/>
    </row>
    <row r="37" spans="1:15" ht="17">
      <c r="A37" s="26" t="s">
        <v>542</v>
      </c>
      <c r="B37" s="13">
        <v>8929736489</v>
      </c>
      <c r="C37" s="13">
        <v>5873437065</v>
      </c>
      <c r="D37" s="13">
        <v>5886019140</v>
      </c>
      <c r="E37" s="13">
        <v>5987810477.0545492</v>
      </c>
      <c r="F37" s="13">
        <v>6733154391</v>
      </c>
      <c r="G37" s="13">
        <v>9017495476</v>
      </c>
      <c r="H37" s="13">
        <v>5818565835</v>
      </c>
      <c r="I37" s="13">
        <v>5883691161</v>
      </c>
      <c r="J37" s="13">
        <v>0</v>
      </c>
      <c r="K37" s="2" t="s">
        <v>544</v>
      </c>
      <c r="L37" s="2">
        <f>GETPIVOTDATA("합계 : Feb 2026(KRW)",$A$33,"Studio","BLUEHOLE")</f>
        <v>39758714</v>
      </c>
      <c r="N37" s="13"/>
      <c r="O37" s="13"/>
    </row>
    <row r="38" spans="1:15" ht="17">
      <c r="A38" s="26" t="s">
        <v>564</v>
      </c>
      <c r="B38" s="13">
        <v>10378012</v>
      </c>
      <c r="C38" s="13">
        <v>16438773</v>
      </c>
      <c r="D38" s="13">
        <v>20227398</v>
      </c>
      <c r="E38" s="13">
        <v>21665822</v>
      </c>
      <c r="F38" s="13">
        <v>19223375</v>
      </c>
      <c r="G38" s="13">
        <v>23491836</v>
      </c>
      <c r="H38" s="13">
        <v>23596073</v>
      </c>
      <c r="I38" s="13">
        <v>21690710</v>
      </c>
      <c r="J38" s="13">
        <v>0</v>
      </c>
      <c r="N38" s="13"/>
      <c r="O38" s="13"/>
    </row>
    <row r="39" spans="1:15" ht="17">
      <c r="A39" s="26" t="s">
        <v>565</v>
      </c>
      <c r="B39" s="13">
        <v>31558871</v>
      </c>
      <c r="C39" s="13">
        <v>32141643</v>
      </c>
      <c r="D39" s="13">
        <v>40572449</v>
      </c>
      <c r="E39" s="13">
        <v>46471422.151691161</v>
      </c>
      <c r="F39" s="13">
        <v>33916708</v>
      </c>
      <c r="G39" s="13">
        <v>54902746</v>
      </c>
      <c r="H39" s="13">
        <v>59291320</v>
      </c>
      <c r="I39" s="13">
        <v>2493</v>
      </c>
      <c r="J39" s="13">
        <v>0</v>
      </c>
      <c r="L39" s="13"/>
      <c r="M39" s="13"/>
      <c r="N39" s="13"/>
      <c r="O39" s="13"/>
    </row>
    <row r="40" spans="1:15" ht="13.5" customHeight="1">
      <c r="A40" s="26" t="s">
        <v>566</v>
      </c>
      <c r="B40" s="13">
        <v>3354486</v>
      </c>
      <c r="C40" s="13">
        <v>3340268</v>
      </c>
      <c r="D40" s="13">
        <v>3307884</v>
      </c>
      <c r="E40" s="13">
        <v>3427707</v>
      </c>
      <c r="F40" s="13">
        <v>3507599</v>
      </c>
      <c r="G40" s="13">
        <v>3449608</v>
      </c>
      <c r="H40" s="13">
        <v>3603187</v>
      </c>
      <c r="I40" s="13">
        <v>3771584</v>
      </c>
      <c r="J40" s="13">
        <v>0</v>
      </c>
      <c r="L40" s="13"/>
      <c r="M40" s="13"/>
      <c r="N40" s="13"/>
    </row>
    <row r="41" spans="1:15" ht="13.5" customHeight="1">
      <c r="A41" s="26" t="s">
        <v>567</v>
      </c>
      <c r="B41" s="13">
        <v>151058066</v>
      </c>
      <c r="C41" s="13">
        <v>147805535</v>
      </c>
      <c r="D41" s="13">
        <v>136755797</v>
      </c>
      <c r="E41" s="13">
        <v>148686536.05519998</v>
      </c>
      <c r="F41" s="13">
        <v>149106806</v>
      </c>
      <c r="G41" s="13">
        <v>147568021</v>
      </c>
      <c r="H41" s="13">
        <v>133703152</v>
      </c>
      <c r="I41" s="13">
        <v>114052539</v>
      </c>
      <c r="J41" s="13">
        <v>0</v>
      </c>
      <c r="L41" s="13"/>
      <c r="M41" s="13"/>
      <c r="N41" s="13"/>
    </row>
    <row r="42" spans="1:15" ht="13.5" customHeight="1">
      <c r="A42" s="26" t="s">
        <v>568</v>
      </c>
      <c r="B42" s="13">
        <v>2725470596</v>
      </c>
      <c r="C42" s="13">
        <v>2646114816</v>
      </c>
      <c r="D42" s="13">
        <v>2646577566</v>
      </c>
      <c r="E42" s="13">
        <v>2853782761.8115277</v>
      </c>
      <c r="F42" s="13">
        <v>2875788808.75</v>
      </c>
      <c r="G42" s="13">
        <v>3115138625</v>
      </c>
      <c r="H42" s="13">
        <v>3023196236</v>
      </c>
      <c r="I42" s="13">
        <v>2562048571</v>
      </c>
      <c r="J42" s="13">
        <v>0</v>
      </c>
      <c r="L42" s="13"/>
      <c r="N42" s="13"/>
      <c r="O42" s="13"/>
    </row>
    <row r="43" spans="1:15" ht="13.5" customHeight="1">
      <c r="A43" s="26" t="s">
        <v>569</v>
      </c>
      <c r="B43" s="13"/>
      <c r="C43" s="13">
        <v>42</v>
      </c>
      <c r="D43" s="13">
        <v>23</v>
      </c>
      <c r="E43" s="13">
        <v>406.20200048818901</v>
      </c>
      <c r="F43" s="13">
        <v>8243</v>
      </c>
      <c r="G43" s="13">
        <v>11205</v>
      </c>
      <c r="H43" s="13">
        <v>4009</v>
      </c>
      <c r="I43" s="13">
        <v>0</v>
      </c>
      <c r="J43" s="13">
        <v>0</v>
      </c>
      <c r="L43" s="13"/>
      <c r="N43" s="13"/>
      <c r="O43" s="13"/>
    </row>
    <row r="44" spans="1:15" ht="13.5" customHeight="1">
      <c r="A44" s="26" t="s">
        <v>391</v>
      </c>
      <c r="B44" s="13">
        <v>237452954</v>
      </c>
      <c r="C44" s="13">
        <v>182822172</v>
      </c>
      <c r="D44" s="13">
        <v>199077426</v>
      </c>
      <c r="E44" s="13">
        <v>185608265.17360002</v>
      </c>
      <c r="F44" s="13">
        <v>195563752</v>
      </c>
      <c r="G44" s="13">
        <v>203029290</v>
      </c>
      <c r="H44" s="13">
        <v>221748189</v>
      </c>
      <c r="I44" s="13">
        <v>222950439</v>
      </c>
      <c r="J44" s="13">
        <v>0</v>
      </c>
      <c r="L44" s="13"/>
      <c r="M44" s="13"/>
      <c r="N44" s="13"/>
      <c r="O44" s="13"/>
    </row>
    <row r="45" spans="1:15" ht="17">
      <c r="A45" s="26" t="s">
        <v>570</v>
      </c>
      <c r="B45" s="13">
        <v>59390196</v>
      </c>
      <c r="C45" s="13">
        <v>50621161</v>
      </c>
      <c r="D45" s="13">
        <v>47395192</v>
      </c>
      <c r="E45" s="13">
        <v>51245023</v>
      </c>
      <c r="F45" s="13">
        <v>48741047</v>
      </c>
      <c r="G45" s="13">
        <v>43067663</v>
      </c>
      <c r="H45" s="13">
        <v>42252384</v>
      </c>
      <c r="I45" s="13">
        <v>29119948</v>
      </c>
      <c r="J45" s="13">
        <v>0</v>
      </c>
    </row>
    <row r="46" spans="1:15" ht="17">
      <c r="A46" s="26" t="s">
        <v>571</v>
      </c>
      <c r="B46" s="13">
        <v>0</v>
      </c>
      <c r="C46" s="13">
        <v>0</v>
      </c>
      <c r="D46" s="13">
        <v>0</v>
      </c>
      <c r="E46" s="13">
        <v>0</v>
      </c>
      <c r="F46" s="13">
        <v>0</v>
      </c>
      <c r="G46" s="13">
        <v>0</v>
      </c>
      <c r="H46" s="13">
        <v>0</v>
      </c>
      <c r="I46" s="13">
        <v>0</v>
      </c>
      <c r="J46" s="13">
        <v>0</v>
      </c>
    </row>
    <row r="47" spans="1:15" ht="17">
      <c r="A47" s="26" t="s">
        <v>572</v>
      </c>
      <c r="B47" s="13">
        <v>6</v>
      </c>
      <c r="C47" s="13">
        <v>6</v>
      </c>
      <c r="D47" s="13">
        <v>54</v>
      </c>
      <c r="E47" s="13">
        <v>1370.9384</v>
      </c>
      <c r="F47" s="13">
        <v>738</v>
      </c>
      <c r="G47" s="13">
        <v>247</v>
      </c>
      <c r="H47" s="13">
        <v>211</v>
      </c>
      <c r="I47" s="13">
        <v>246</v>
      </c>
      <c r="J47" s="13">
        <v>0</v>
      </c>
    </row>
    <row r="48" spans="1:15" ht="17">
      <c r="A48" s="26" t="s">
        <v>573</v>
      </c>
      <c r="B48" s="13">
        <v>1378863</v>
      </c>
      <c r="C48" s="13">
        <v>1790717</v>
      </c>
      <c r="D48" s="13">
        <v>1770163</v>
      </c>
      <c r="E48" s="13">
        <v>1832858.550348304</v>
      </c>
      <c r="F48" s="13">
        <v>1731820</v>
      </c>
      <c r="G48" s="13">
        <v>2238136</v>
      </c>
      <c r="H48" s="13">
        <v>2290139</v>
      </c>
      <c r="I48" s="13">
        <v>1858983</v>
      </c>
      <c r="J48" s="13">
        <v>0</v>
      </c>
    </row>
    <row r="49" spans="1:15" ht="17">
      <c r="A49" s="26" t="s">
        <v>574</v>
      </c>
      <c r="B49" s="13"/>
      <c r="C49" s="13">
        <v>4644</v>
      </c>
      <c r="D49" s="13">
        <v>6003</v>
      </c>
      <c r="E49" s="13">
        <v>9917.1098519999905</v>
      </c>
      <c r="F49" s="13">
        <v>53909</v>
      </c>
      <c r="G49" s="13">
        <v>186029</v>
      </c>
      <c r="H49" s="13">
        <v>268711</v>
      </c>
      <c r="I49" s="13">
        <v>129914</v>
      </c>
      <c r="J49" s="13">
        <v>0</v>
      </c>
    </row>
    <row r="50" spans="1:15" ht="17">
      <c r="A50" s="26" t="s">
        <v>575</v>
      </c>
      <c r="B50" s="13">
        <v>852610</v>
      </c>
      <c r="C50" s="13">
        <v>859209</v>
      </c>
      <c r="D50" s="13">
        <v>819580</v>
      </c>
      <c r="E50" s="13">
        <v>875797</v>
      </c>
      <c r="F50" s="13">
        <v>865537</v>
      </c>
      <c r="G50" s="13">
        <v>913051</v>
      </c>
      <c r="H50" s="13">
        <v>863269</v>
      </c>
      <c r="I50" s="13">
        <v>766731</v>
      </c>
      <c r="J50" s="13">
        <v>0</v>
      </c>
    </row>
    <row r="51" spans="1:15" ht="17">
      <c r="A51" s="26" t="s">
        <v>576</v>
      </c>
      <c r="B51" s="13"/>
      <c r="C51" s="13"/>
      <c r="D51" s="13"/>
      <c r="E51" s="13"/>
      <c r="F51" s="13"/>
      <c r="G51" s="13"/>
      <c r="H51" s="13">
        <v>13362</v>
      </c>
      <c r="I51" s="13">
        <v>1435706</v>
      </c>
      <c r="J51" s="13">
        <v>0</v>
      </c>
    </row>
    <row r="52" spans="1:15" ht="17">
      <c r="A52" s="26" t="s">
        <v>577</v>
      </c>
      <c r="B52" s="13">
        <v>5506954</v>
      </c>
      <c r="C52" s="13">
        <v>5176171</v>
      </c>
      <c r="D52" s="13">
        <v>4171477</v>
      </c>
      <c r="E52" s="13">
        <v>4336485.5986965857</v>
      </c>
      <c r="F52" s="13">
        <v>3641829</v>
      </c>
      <c r="G52" s="13">
        <v>0</v>
      </c>
      <c r="H52" s="13">
        <v>0</v>
      </c>
      <c r="I52" s="13">
        <v>0</v>
      </c>
      <c r="J52" s="13">
        <v>0</v>
      </c>
    </row>
    <row r="53" spans="1:15" ht="17">
      <c r="A53" s="26" t="s">
        <v>578</v>
      </c>
      <c r="B53" s="13"/>
      <c r="C53" s="13">
        <v>808</v>
      </c>
      <c r="D53" s="13">
        <v>14506</v>
      </c>
      <c r="E53" s="13">
        <v>16318</v>
      </c>
      <c r="F53" s="13">
        <v>12535</v>
      </c>
      <c r="G53" s="13">
        <v>13166</v>
      </c>
      <c r="H53" s="13">
        <v>13112</v>
      </c>
      <c r="I53" s="13">
        <v>11112</v>
      </c>
      <c r="J53" s="13">
        <v>0</v>
      </c>
    </row>
    <row r="54" spans="1:15" ht="17">
      <c r="A54" s="82" t="s">
        <v>579</v>
      </c>
      <c r="B54" s="13"/>
      <c r="C54" s="13">
        <v>808</v>
      </c>
      <c r="D54" s="13">
        <v>14506</v>
      </c>
      <c r="E54" s="13">
        <v>16318</v>
      </c>
      <c r="F54" s="13">
        <v>12535</v>
      </c>
      <c r="G54" s="13">
        <v>13166</v>
      </c>
      <c r="H54" s="13">
        <v>13112</v>
      </c>
      <c r="I54" s="13">
        <v>11112</v>
      </c>
      <c r="J54" s="13">
        <v>0</v>
      </c>
    </row>
    <row r="55" spans="1:15" ht="17">
      <c r="A55" s="83" t="s">
        <v>580</v>
      </c>
      <c r="B55" s="13"/>
      <c r="C55" s="13">
        <v>808</v>
      </c>
      <c r="D55" s="13">
        <v>14506</v>
      </c>
      <c r="E55" s="13">
        <v>16318</v>
      </c>
      <c r="F55" s="13">
        <v>12535</v>
      </c>
      <c r="G55" s="13">
        <v>13166</v>
      </c>
      <c r="H55" s="13">
        <v>13112</v>
      </c>
      <c r="I55" s="13">
        <v>11112</v>
      </c>
      <c r="J55" s="13">
        <v>0</v>
      </c>
    </row>
    <row r="56" spans="1:15" ht="17">
      <c r="A56" s="26" t="s">
        <v>581</v>
      </c>
      <c r="B56" s="13"/>
      <c r="C56" s="13"/>
      <c r="D56" s="13">
        <v>0</v>
      </c>
      <c r="E56" s="13">
        <v>12032</v>
      </c>
      <c r="F56" s="13">
        <v>184044</v>
      </c>
      <c r="G56" s="13">
        <v>223311</v>
      </c>
      <c r="H56" s="13">
        <v>246622</v>
      </c>
      <c r="I56" s="13">
        <v>1620872</v>
      </c>
      <c r="J56" s="13">
        <v>0</v>
      </c>
    </row>
    <row r="57" spans="1:15" ht="17">
      <c r="A57" s="26" t="s">
        <v>545</v>
      </c>
      <c r="B57" s="13"/>
      <c r="C57" s="13">
        <v>14007</v>
      </c>
      <c r="D57" s="13">
        <v>7274281183</v>
      </c>
      <c r="E57" s="13">
        <v>708782514</v>
      </c>
      <c r="F57" s="13">
        <v>873132036</v>
      </c>
      <c r="G57" s="13">
        <v>981513185</v>
      </c>
      <c r="H57" s="13">
        <v>1246271540</v>
      </c>
      <c r="I57" s="13">
        <v>3578577321</v>
      </c>
      <c r="J57" s="13">
        <v>0</v>
      </c>
    </row>
    <row r="58" spans="1:15" ht="17">
      <c r="A58" s="26" t="s">
        <v>582</v>
      </c>
      <c r="B58" s="13"/>
      <c r="C58" s="13"/>
      <c r="D58" s="13"/>
      <c r="E58" s="13"/>
      <c r="F58" s="13"/>
      <c r="G58" s="13">
        <v>7065</v>
      </c>
      <c r="H58" s="13">
        <v>18151</v>
      </c>
      <c r="I58" s="13">
        <v>20331</v>
      </c>
      <c r="J58" s="13">
        <v>0</v>
      </c>
    </row>
    <row r="59" spans="1:15" ht="17">
      <c r="A59" s="26" t="s">
        <v>583</v>
      </c>
      <c r="B59" s="13"/>
      <c r="C59" s="13"/>
      <c r="D59" s="13"/>
      <c r="E59" s="13"/>
      <c r="F59" s="13"/>
      <c r="G59" s="13">
        <v>13387</v>
      </c>
      <c r="H59" s="13">
        <v>4422</v>
      </c>
      <c r="I59" s="13">
        <v>6985</v>
      </c>
      <c r="J59" s="13">
        <v>0</v>
      </c>
    </row>
    <row r="60" spans="1:15" ht="17">
      <c r="A60" s="26" t="s">
        <v>584</v>
      </c>
      <c r="B60" s="13"/>
      <c r="C60" s="13"/>
      <c r="D60" s="13"/>
      <c r="E60" s="13"/>
      <c r="F60" s="13"/>
      <c r="G60" s="13"/>
      <c r="H60" s="13">
        <v>370274</v>
      </c>
      <c r="I60" s="13">
        <v>1789499</v>
      </c>
      <c r="J60" s="13">
        <v>0</v>
      </c>
    </row>
    <row r="61" spans="1:15" ht="17">
      <c r="A61" s="26" t="s">
        <v>585</v>
      </c>
      <c r="B61" s="13"/>
      <c r="C61" s="13"/>
      <c r="D61" s="13"/>
      <c r="E61" s="13"/>
      <c r="F61" s="13">
        <v>19309</v>
      </c>
      <c r="G61" s="13">
        <v>210145</v>
      </c>
      <c r="H61" s="13">
        <v>250984</v>
      </c>
      <c r="I61" s="13">
        <v>796456</v>
      </c>
      <c r="J61" s="13">
        <v>0</v>
      </c>
    </row>
    <row r="62" spans="1:15" ht="17">
      <c r="A62" s="26" t="s">
        <v>548</v>
      </c>
      <c r="B62" s="13">
        <v>12237331015</v>
      </c>
      <c r="C62" s="13">
        <v>9037182475</v>
      </c>
      <c r="D62" s="13">
        <v>16333576544</v>
      </c>
      <c r="E62" s="13">
        <v>10092142311.695587</v>
      </c>
      <c r="F62" s="13">
        <v>11010531161.75</v>
      </c>
      <c r="G62" s="13">
        <v>13671816858</v>
      </c>
      <c r="H62" s="13">
        <v>10649896783</v>
      </c>
      <c r="I62" s="13">
        <v>12464246686</v>
      </c>
      <c r="J62" s="13">
        <v>0</v>
      </c>
      <c r="M62" s="2" t="e">
        <f>GETPIVOTDATA("합계 : Feb 2026(KRW)",$A$65)-L122</f>
        <v>#REF!</v>
      </c>
    </row>
    <row r="63" spans="1:15" ht="13.5" customHeight="1">
      <c r="A63" s="81" t="s">
        <v>4</v>
      </c>
      <c r="B63" s="13" t="s">
        <v>549</v>
      </c>
      <c r="C63"/>
      <c r="D63"/>
      <c r="E63"/>
      <c r="F63"/>
      <c r="G63"/>
      <c r="H63"/>
      <c r="I63" s="13"/>
      <c r="L63" s="13"/>
      <c r="M63" s="13"/>
      <c r="N63" s="13"/>
      <c r="O63" s="13"/>
    </row>
    <row r="64" spans="1:15" ht="13.5" customHeight="1">
      <c r="A64"/>
      <c r="B64"/>
      <c r="C64"/>
      <c r="D64"/>
      <c r="E64"/>
      <c r="F64"/>
      <c r="G64"/>
      <c r="H64"/>
    </row>
    <row r="65" spans="1:18" ht="13.5" customHeight="1">
      <c r="A65" s="81" t="s">
        <v>539</v>
      </c>
      <c r="B65" s="13" t="s">
        <v>550</v>
      </c>
      <c r="C65" s="13" t="s">
        <v>551</v>
      </c>
      <c r="D65" s="13" t="s">
        <v>552</v>
      </c>
      <c r="E65" s="13" t="s">
        <v>553</v>
      </c>
      <c r="F65" s="13" t="s">
        <v>554</v>
      </c>
      <c r="G65" s="13" t="s">
        <v>555</v>
      </c>
      <c r="H65" s="13" t="s">
        <v>556</v>
      </c>
      <c r="I65" s="13" t="s">
        <v>557</v>
      </c>
      <c r="J65" s="13" t="s">
        <v>540</v>
      </c>
    </row>
    <row r="66" spans="1:18" ht="13.5" customHeight="1">
      <c r="A66" s="26" t="s">
        <v>541</v>
      </c>
      <c r="B66" s="13">
        <v>974563484</v>
      </c>
      <c r="C66" s="13">
        <v>740535918</v>
      </c>
      <c r="D66" s="13">
        <v>949642261</v>
      </c>
      <c r="E66" s="13">
        <v>650926203</v>
      </c>
      <c r="F66" s="13">
        <v>916280001</v>
      </c>
      <c r="G66" s="13">
        <v>669160974</v>
      </c>
      <c r="H66" s="13">
        <v>894789092</v>
      </c>
      <c r="I66" s="13">
        <v>429920311</v>
      </c>
      <c r="J66" s="13">
        <v>504766397</v>
      </c>
      <c r="K66" s="2" t="s">
        <v>559</v>
      </c>
      <c r="L66" s="28">
        <f>GETPIVOTDATA("합계 : Mar 2026(KRW)",$A$65,"Provider","Akamai")</f>
        <v>504766397</v>
      </c>
      <c r="M66" s="28"/>
    </row>
    <row r="67" spans="1:18" ht="13.5" customHeight="1">
      <c r="A67" s="82" t="s">
        <v>542</v>
      </c>
      <c r="B67" s="13">
        <v>968344851</v>
      </c>
      <c r="C67" s="13">
        <v>733951290</v>
      </c>
      <c r="D67" s="13">
        <v>944443949</v>
      </c>
      <c r="E67" s="13">
        <v>644277143</v>
      </c>
      <c r="F67" s="13">
        <v>909473492</v>
      </c>
      <c r="G67" s="13">
        <v>663356159</v>
      </c>
      <c r="H67" s="13">
        <v>888242646</v>
      </c>
      <c r="I67" s="13">
        <v>424453663</v>
      </c>
      <c r="J67" s="13">
        <v>499174858</v>
      </c>
    </row>
    <row r="68" spans="1:18" ht="13.5" customHeight="1">
      <c r="A68" s="82" t="s">
        <v>567</v>
      </c>
      <c r="B68" s="13">
        <v>6218633</v>
      </c>
      <c r="C68" s="13">
        <v>6584628</v>
      </c>
      <c r="D68" s="13">
        <v>5198312</v>
      </c>
      <c r="E68" s="13">
        <v>6649060</v>
      </c>
      <c r="F68" s="13">
        <v>6806509</v>
      </c>
      <c r="G68" s="13">
        <v>5804815</v>
      </c>
      <c r="H68" s="13">
        <v>6546446</v>
      </c>
      <c r="I68" s="13">
        <v>5466648</v>
      </c>
      <c r="J68" s="13">
        <v>5591539</v>
      </c>
    </row>
    <row r="69" spans="1:18" ht="13.5" customHeight="1">
      <c r="A69" s="26" t="s">
        <v>543</v>
      </c>
      <c r="B69" s="13">
        <v>6294935396</v>
      </c>
      <c r="C69" s="13">
        <v>3260806399</v>
      </c>
      <c r="D69" s="13">
        <v>10558514935</v>
      </c>
      <c r="E69" s="13">
        <v>4385145295</v>
      </c>
      <c r="F69" s="13">
        <v>4773388052</v>
      </c>
      <c r="G69" s="13">
        <v>7098320553</v>
      </c>
      <c r="H69" s="13">
        <v>4490681671</v>
      </c>
      <c r="I69" s="13">
        <v>6662124053</v>
      </c>
      <c r="J69" s="13">
        <v>5793090939</v>
      </c>
      <c r="K69" s="2" t="s">
        <v>558</v>
      </c>
      <c r="L69" s="29">
        <f>SUM(L70:L73)</f>
        <v>5793090939</v>
      </c>
      <c r="M69" s="28"/>
    </row>
    <row r="70" spans="1:18" ht="13.5" customHeight="1">
      <c r="A70" s="82" t="s">
        <v>544</v>
      </c>
      <c r="B70" s="13">
        <v>50399448</v>
      </c>
      <c r="C70" s="13">
        <v>46819477</v>
      </c>
      <c r="D70" s="13">
        <v>42868625</v>
      </c>
      <c r="E70" s="13">
        <v>46741008</v>
      </c>
      <c r="F70" s="13">
        <v>43309097</v>
      </c>
      <c r="G70" s="13">
        <v>46584615</v>
      </c>
      <c r="H70" s="13">
        <v>42134889</v>
      </c>
      <c r="I70" s="13">
        <v>14687809</v>
      </c>
      <c r="J70" s="13">
        <v>17336978</v>
      </c>
      <c r="K70" s="2" t="s">
        <v>559</v>
      </c>
      <c r="L70" s="2">
        <f>SUM(J71:J76,J78:J81,J83:J84,J86:J89)</f>
        <v>3837743597</v>
      </c>
    </row>
    <row r="71" spans="1:18" ht="13.5" customHeight="1">
      <c r="A71" s="82" t="s">
        <v>562</v>
      </c>
      <c r="B71" s="13">
        <v>23164</v>
      </c>
      <c r="C71" s="13">
        <v>145340</v>
      </c>
      <c r="D71" s="13">
        <v>142739</v>
      </c>
      <c r="E71" s="13">
        <v>145778</v>
      </c>
      <c r="F71" s="13">
        <v>150607</v>
      </c>
      <c r="G71" s="13">
        <v>146609</v>
      </c>
      <c r="H71" s="13">
        <v>147869</v>
      </c>
      <c r="I71" s="13">
        <v>146182</v>
      </c>
      <c r="J71" s="13">
        <v>167787</v>
      </c>
      <c r="K71" s="2" t="s">
        <v>561</v>
      </c>
      <c r="L71" s="2">
        <f>J77</f>
        <v>79749506</v>
      </c>
      <c r="R71" s="2">
        <f>P72-P73</f>
        <v>0</v>
      </c>
    </row>
    <row r="72" spans="1:18" ht="13.5" customHeight="1">
      <c r="A72" s="82" t="s">
        <v>542</v>
      </c>
      <c r="B72" s="13">
        <v>4207544056</v>
      </c>
      <c r="C72" s="13">
        <v>1293279739</v>
      </c>
      <c r="D72" s="13">
        <v>1285894755</v>
      </c>
      <c r="E72" s="13">
        <v>1547557436</v>
      </c>
      <c r="F72" s="13">
        <v>1687286199</v>
      </c>
      <c r="G72" s="13">
        <v>3836070626</v>
      </c>
      <c r="H72" s="13">
        <v>996029964</v>
      </c>
      <c r="I72" s="13">
        <v>1298045483</v>
      </c>
      <c r="J72" s="13">
        <v>1710512563</v>
      </c>
      <c r="K72" s="2" t="s">
        <v>563</v>
      </c>
      <c r="L72" s="2">
        <f>J85</f>
        <v>1858260858</v>
      </c>
      <c r="P72" s="80"/>
    </row>
    <row r="73" spans="1:18" ht="13.5" customHeight="1">
      <c r="A73" s="82" t="s">
        <v>564</v>
      </c>
      <c r="B73" s="13">
        <v>10378012</v>
      </c>
      <c r="C73" s="13">
        <v>16438773</v>
      </c>
      <c r="D73" s="13">
        <v>20227398</v>
      </c>
      <c r="E73" s="13">
        <v>21074628</v>
      </c>
      <c r="F73" s="13">
        <v>18572305</v>
      </c>
      <c r="G73" s="13">
        <v>22714023</v>
      </c>
      <c r="H73" s="13">
        <v>22790740</v>
      </c>
      <c r="I73" s="13">
        <v>20797881</v>
      </c>
      <c r="J73" s="13">
        <v>26212266</v>
      </c>
      <c r="K73" s="2" t="s">
        <v>544</v>
      </c>
      <c r="L73" s="2">
        <f>J70</f>
        <v>17336978</v>
      </c>
      <c r="P73" s="80"/>
    </row>
    <row r="74" spans="1:18" ht="13.5" customHeight="1">
      <c r="A74" s="82" t="s">
        <v>566</v>
      </c>
      <c r="B74" s="13">
        <v>3354486</v>
      </c>
      <c r="C74" s="13">
        <v>3340268</v>
      </c>
      <c r="D74" s="13">
        <v>3307884</v>
      </c>
      <c r="E74" s="13">
        <v>3427707</v>
      </c>
      <c r="F74" s="13">
        <v>3507599</v>
      </c>
      <c r="G74" s="13">
        <v>3449608</v>
      </c>
      <c r="H74" s="13">
        <v>3603187</v>
      </c>
      <c r="I74" s="13">
        <v>3771584</v>
      </c>
      <c r="J74" s="13">
        <v>4056006</v>
      </c>
      <c r="P74" s="80"/>
    </row>
    <row r="75" spans="1:18" ht="13.5" customHeight="1">
      <c r="A75" s="82" t="s">
        <v>567</v>
      </c>
      <c r="B75" s="13">
        <v>143600031</v>
      </c>
      <c r="C75" s="13">
        <v>140024116</v>
      </c>
      <c r="D75" s="13">
        <v>130476342</v>
      </c>
      <c r="E75" s="13">
        <v>140904911</v>
      </c>
      <c r="F75" s="13">
        <v>141237920</v>
      </c>
      <c r="G75" s="13">
        <v>140700948</v>
      </c>
      <c r="H75" s="13">
        <v>126100421</v>
      </c>
      <c r="I75" s="13">
        <v>107580335</v>
      </c>
      <c r="J75" s="13">
        <v>122411710</v>
      </c>
      <c r="M75" s="29"/>
    </row>
    <row r="76" spans="1:18" ht="13.5" customHeight="1">
      <c r="A76" s="82" t="s">
        <v>568</v>
      </c>
      <c r="B76" s="13">
        <v>1737570968</v>
      </c>
      <c r="C76" s="13">
        <v>1679739040</v>
      </c>
      <c r="D76" s="13">
        <v>1703069958</v>
      </c>
      <c r="E76" s="13">
        <v>1832148702</v>
      </c>
      <c r="F76" s="13">
        <v>1915032516</v>
      </c>
      <c r="G76" s="13">
        <v>1986639840</v>
      </c>
      <c r="H76" s="13">
        <v>1947140636</v>
      </c>
      <c r="I76" s="13">
        <v>1534759678</v>
      </c>
      <c r="J76" s="13">
        <v>1937266234</v>
      </c>
    </row>
    <row r="77" spans="1:18" ht="13.5" customHeight="1">
      <c r="A77" s="82" t="s">
        <v>391</v>
      </c>
      <c r="B77" s="13">
        <v>77916618</v>
      </c>
      <c r="C77" s="13">
        <v>24808411</v>
      </c>
      <c r="D77" s="13">
        <v>45854461</v>
      </c>
      <c r="E77" s="13">
        <v>27978220</v>
      </c>
      <c r="F77" s="13">
        <v>37818078</v>
      </c>
      <c r="G77" s="13">
        <v>35681118</v>
      </c>
      <c r="H77" s="13">
        <v>62011411</v>
      </c>
      <c r="I77" s="13">
        <v>69007423</v>
      </c>
      <c r="J77" s="13">
        <v>79749506</v>
      </c>
    </row>
    <row r="78" spans="1:18" ht="13.5" customHeight="1">
      <c r="A78" s="82" t="s">
        <v>573</v>
      </c>
      <c r="B78" s="13">
        <v>1055148</v>
      </c>
      <c r="C78" s="13">
        <v>1471063</v>
      </c>
      <c r="D78" s="13">
        <v>1465145</v>
      </c>
      <c r="E78" s="13">
        <v>1505713</v>
      </c>
      <c r="F78" s="13">
        <v>1520310</v>
      </c>
      <c r="G78" s="13">
        <v>1893141</v>
      </c>
      <c r="H78" s="13">
        <v>2089818</v>
      </c>
      <c r="I78" s="13">
        <v>1858983</v>
      </c>
      <c r="J78" s="13">
        <v>2478161</v>
      </c>
    </row>
    <row r="79" spans="1:18" ht="13.5" customHeight="1">
      <c r="A79" s="82" t="s">
        <v>570</v>
      </c>
      <c r="B79" s="13">
        <v>56736532</v>
      </c>
      <c r="C79" s="13">
        <v>48690710</v>
      </c>
      <c r="D79" s="13">
        <v>45920929</v>
      </c>
      <c r="E79" s="13">
        <v>49638086</v>
      </c>
      <c r="F79" s="13">
        <v>47098152</v>
      </c>
      <c r="G79" s="13">
        <v>41553780</v>
      </c>
      <c r="H79" s="13">
        <v>40600032</v>
      </c>
      <c r="I79" s="13">
        <v>26440842</v>
      </c>
      <c r="J79" s="13">
        <v>22141972</v>
      </c>
    </row>
    <row r="80" spans="1:18" ht="13.5" customHeight="1">
      <c r="A80" s="82" t="s">
        <v>575</v>
      </c>
      <c r="B80" s="13">
        <v>852610</v>
      </c>
      <c r="C80" s="13">
        <v>859209</v>
      </c>
      <c r="D80" s="13">
        <v>819580</v>
      </c>
      <c r="E80" s="13">
        <v>875797</v>
      </c>
      <c r="F80" s="13">
        <v>865537</v>
      </c>
      <c r="G80" s="13">
        <v>913051</v>
      </c>
      <c r="H80" s="13">
        <v>863269</v>
      </c>
      <c r="I80" s="13">
        <v>766731</v>
      </c>
      <c r="J80" s="13">
        <v>891036</v>
      </c>
    </row>
    <row r="81" spans="1:14" ht="13.5" customHeight="1">
      <c r="A81" s="82" t="s">
        <v>576</v>
      </c>
      <c r="B81" s="13"/>
      <c r="C81" s="13"/>
      <c r="D81" s="13"/>
      <c r="E81" s="13"/>
      <c r="F81" s="13"/>
      <c r="G81" s="13"/>
      <c r="H81" s="13">
        <v>13362</v>
      </c>
      <c r="I81" s="13">
        <v>1435706</v>
      </c>
      <c r="J81" s="13">
        <v>4175979</v>
      </c>
    </row>
    <row r="82" spans="1:14" ht="13.5" customHeight="1">
      <c r="A82" s="82" t="s">
        <v>577</v>
      </c>
      <c r="B82" s="13">
        <v>5504323</v>
      </c>
      <c r="C82" s="13">
        <v>5175438</v>
      </c>
      <c r="D82" s="13">
        <v>4171430</v>
      </c>
      <c r="E82" s="13">
        <v>4336445</v>
      </c>
      <c r="F82" s="13">
        <v>3641808</v>
      </c>
      <c r="G82" s="13">
        <v>0</v>
      </c>
      <c r="H82" s="13">
        <v>0</v>
      </c>
      <c r="I82" s="13">
        <v>0</v>
      </c>
      <c r="J82" s="13">
        <v>0</v>
      </c>
    </row>
    <row r="83" spans="1:14" ht="13.5" customHeight="1">
      <c r="A83" s="82" t="s">
        <v>578</v>
      </c>
      <c r="B83" s="13"/>
      <c r="C83" s="13">
        <v>808</v>
      </c>
      <c r="D83" s="13">
        <v>14506</v>
      </c>
      <c r="E83" s="13">
        <v>16318</v>
      </c>
      <c r="F83" s="13">
        <v>12535</v>
      </c>
      <c r="G83" s="13">
        <v>13166</v>
      </c>
      <c r="H83" s="13">
        <v>13112</v>
      </c>
      <c r="I83" s="13">
        <v>11112</v>
      </c>
      <c r="J83" s="13">
        <v>13060</v>
      </c>
    </row>
    <row r="84" spans="1:14" ht="13.5" customHeight="1">
      <c r="A84" s="82" t="s">
        <v>581</v>
      </c>
      <c r="B84" s="13"/>
      <c r="C84" s="13"/>
      <c r="D84" s="13">
        <v>0</v>
      </c>
      <c r="E84" s="13">
        <v>12032</v>
      </c>
      <c r="F84" s="13">
        <v>184044</v>
      </c>
      <c r="G84" s="13">
        <v>223311</v>
      </c>
      <c r="H84" s="13">
        <v>245741</v>
      </c>
      <c r="I84" s="13">
        <v>1620872</v>
      </c>
      <c r="J84" s="13">
        <v>4849681</v>
      </c>
    </row>
    <row r="85" spans="1:14" ht="13.5" customHeight="1">
      <c r="A85" s="82" t="s">
        <v>545</v>
      </c>
      <c r="B85" s="13"/>
      <c r="C85" s="13">
        <v>14007</v>
      </c>
      <c r="D85" s="13">
        <v>7274281183</v>
      </c>
      <c r="E85" s="13">
        <v>708782514</v>
      </c>
      <c r="F85" s="13">
        <v>873132036</v>
      </c>
      <c r="G85" s="13">
        <v>981513185</v>
      </c>
      <c r="H85" s="13">
        <v>1246271540</v>
      </c>
      <c r="I85" s="13">
        <v>3578577321</v>
      </c>
      <c r="J85" s="13">
        <v>1858260858</v>
      </c>
    </row>
    <row r="86" spans="1:14" ht="13.5" customHeight="1">
      <c r="A86" s="82" t="s">
        <v>583</v>
      </c>
      <c r="B86" s="13"/>
      <c r="C86" s="13"/>
      <c r="D86" s="13"/>
      <c r="E86" s="13"/>
      <c r="F86" s="13"/>
      <c r="G86" s="13">
        <v>13387</v>
      </c>
      <c r="H86" s="13">
        <v>4422</v>
      </c>
      <c r="I86" s="13">
        <v>6985</v>
      </c>
      <c r="J86" s="13">
        <v>8083</v>
      </c>
    </row>
    <row r="87" spans="1:14" ht="13.5" customHeight="1">
      <c r="A87" s="82" t="s">
        <v>584</v>
      </c>
      <c r="B87" s="13"/>
      <c r="C87" s="13"/>
      <c r="D87" s="13"/>
      <c r="E87" s="13"/>
      <c r="F87" s="13"/>
      <c r="G87" s="13"/>
      <c r="H87" s="13">
        <v>370274</v>
      </c>
      <c r="I87" s="13">
        <v>1789499</v>
      </c>
      <c r="J87" s="13">
        <v>1360790</v>
      </c>
    </row>
    <row r="88" spans="1:14" ht="13.5" customHeight="1">
      <c r="A88" s="82" t="s">
        <v>585</v>
      </c>
      <c r="B88" s="13"/>
      <c r="C88" s="13"/>
      <c r="D88" s="13"/>
      <c r="E88" s="13"/>
      <c r="F88" s="13">
        <v>19309</v>
      </c>
      <c r="G88" s="13">
        <v>210145</v>
      </c>
      <c r="H88" s="13">
        <v>250984</v>
      </c>
      <c r="I88" s="13">
        <v>796456</v>
      </c>
      <c r="J88" s="13">
        <v>1161356</v>
      </c>
    </row>
    <row r="89" spans="1:14" ht="13.5" customHeight="1">
      <c r="A89" s="82" t="s">
        <v>586</v>
      </c>
      <c r="B89" s="13"/>
      <c r="C89" s="13"/>
      <c r="D89" s="13"/>
      <c r="E89" s="13"/>
      <c r="F89" s="13"/>
      <c r="G89" s="13"/>
      <c r="H89" s="13"/>
      <c r="I89" s="13">
        <v>23171</v>
      </c>
      <c r="J89" s="13">
        <v>36913</v>
      </c>
      <c r="M89" s="28"/>
    </row>
    <row r="90" spans="1:14" ht="13.5" customHeight="1">
      <c r="A90" s="26" t="s">
        <v>369</v>
      </c>
      <c r="B90" s="13">
        <v>4126725446</v>
      </c>
      <c r="C90" s="13">
        <v>4223983327</v>
      </c>
      <c r="D90" s="13">
        <v>4000590094</v>
      </c>
      <c r="E90" s="13">
        <v>4140910915.2744489</v>
      </c>
      <c r="F90" s="13">
        <v>3997417018</v>
      </c>
      <c r="G90" s="13">
        <v>4259775904</v>
      </c>
      <c r="H90" s="13">
        <v>4131949339</v>
      </c>
      <c r="I90" s="13">
        <v>4214899261</v>
      </c>
      <c r="J90" s="13">
        <v>4420285606</v>
      </c>
      <c r="K90" s="2" t="s">
        <v>558</v>
      </c>
      <c r="L90" s="29">
        <f>SUM(L91:L93)</f>
        <v>4420285606</v>
      </c>
    </row>
    <row r="91" spans="1:14" ht="13.5" customHeight="1">
      <c r="A91" s="82" t="s">
        <v>544</v>
      </c>
      <c r="B91" s="13">
        <v>25525204</v>
      </c>
      <c r="C91" s="13">
        <v>24444617</v>
      </c>
      <c r="D91" s="13">
        <v>24573297</v>
      </c>
      <c r="E91" s="13">
        <v>25564274.059999999</v>
      </c>
      <c r="F91" s="13">
        <v>24886365</v>
      </c>
      <c r="G91" s="13">
        <v>26263143</v>
      </c>
      <c r="H91" s="13">
        <v>25596193</v>
      </c>
      <c r="I91" s="13">
        <v>24438009</v>
      </c>
      <c r="J91" s="13">
        <v>24498736</v>
      </c>
      <c r="K91" s="2" t="s">
        <v>559</v>
      </c>
      <c r="L91" s="2">
        <f>SUM(J92:J94,J96:J98)</f>
        <v>4241412983</v>
      </c>
    </row>
    <row r="92" spans="1:14" ht="13.5" customHeight="1">
      <c r="A92" s="82" t="s">
        <v>542</v>
      </c>
      <c r="B92" s="13">
        <v>3168680649</v>
      </c>
      <c r="C92" s="13">
        <v>3275684818</v>
      </c>
      <c r="D92" s="13">
        <v>3075780316</v>
      </c>
      <c r="E92" s="13">
        <v>3161348727.3400002</v>
      </c>
      <c r="F92" s="13">
        <v>3078119958</v>
      </c>
      <c r="G92" s="13">
        <v>3161903858</v>
      </c>
      <c r="H92" s="13">
        <v>3126338935</v>
      </c>
      <c r="I92" s="13">
        <v>3280059979</v>
      </c>
      <c r="J92" s="13">
        <v>3348614673</v>
      </c>
      <c r="K92" s="2" t="s">
        <v>561</v>
      </c>
      <c r="L92" s="13">
        <f>GETPIVOTDATA("합계 : Mar 2026(KRW)",$A$65,"Provider","Azure","Studio","Research")</f>
        <v>154373887</v>
      </c>
    </row>
    <row r="93" spans="1:14" ht="13.5" customHeight="1">
      <c r="A93" s="82" t="s">
        <v>567</v>
      </c>
      <c r="B93" s="13">
        <v>1098924</v>
      </c>
      <c r="C93" s="13">
        <v>1089382</v>
      </c>
      <c r="D93" s="13">
        <v>1065483</v>
      </c>
      <c r="E93" s="13">
        <v>1125954.0552000001</v>
      </c>
      <c r="F93" s="13">
        <v>1055573</v>
      </c>
      <c r="G93" s="13">
        <v>1055593</v>
      </c>
      <c r="H93" s="13">
        <v>1049657</v>
      </c>
      <c r="I93" s="13">
        <v>998939</v>
      </c>
      <c r="J93" s="13">
        <v>1051540</v>
      </c>
      <c r="K93" s="2" t="s">
        <v>544</v>
      </c>
      <c r="L93" s="13">
        <f>GETPIVOTDATA("합계 : Mar 2026(KRW)",$A$65,"Provider","Azure","Studio","BLUEHOLE")</f>
        <v>24498736</v>
      </c>
      <c r="N93" s="56"/>
    </row>
    <row r="94" spans="1:14" ht="13.5" customHeight="1">
      <c r="A94" s="82" t="s">
        <v>568</v>
      </c>
      <c r="B94" s="13">
        <v>771884326</v>
      </c>
      <c r="C94" s="13">
        <v>764750743</v>
      </c>
      <c r="D94" s="13">
        <v>745947979</v>
      </c>
      <c r="E94" s="13">
        <v>795240543.70724869</v>
      </c>
      <c r="F94" s="13">
        <v>735608710</v>
      </c>
      <c r="G94" s="13">
        <v>903197826</v>
      </c>
      <c r="H94" s="13">
        <v>819209414</v>
      </c>
      <c r="I94" s="13">
        <v>755438741</v>
      </c>
      <c r="J94" s="13">
        <v>891724377</v>
      </c>
    </row>
    <row r="95" spans="1:14" ht="13.5" customHeight="1">
      <c r="A95" s="82" t="s">
        <v>391</v>
      </c>
      <c r="B95" s="13">
        <v>159536336</v>
      </c>
      <c r="C95" s="13">
        <v>158013761</v>
      </c>
      <c r="D95" s="13">
        <v>153222965</v>
      </c>
      <c r="E95" s="13">
        <v>157630045.17360002</v>
      </c>
      <c r="F95" s="13">
        <v>157745674</v>
      </c>
      <c r="G95" s="13">
        <v>167348172</v>
      </c>
      <c r="H95" s="13">
        <v>159736778</v>
      </c>
      <c r="I95" s="13">
        <v>153943016</v>
      </c>
      <c r="J95" s="13">
        <v>154373887</v>
      </c>
    </row>
    <row r="96" spans="1:14" ht="13.5" customHeight="1">
      <c r="A96" s="82" t="s">
        <v>572</v>
      </c>
      <c r="B96" s="13">
        <v>6</v>
      </c>
      <c r="C96" s="13">
        <v>6</v>
      </c>
      <c r="D96" s="13">
        <v>54</v>
      </c>
      <c r="E96" s="13">
        <v>1370.9384</v>
      </c>
      <c r="F96" s="13">
        <v>738</v>
      </c>
      <c r="G96" s="13">
        <v>247</v>
      </c>
      <c r="H96" s="13">
        <v>211</v>
      </c>
      <c r="I96" s="13">
        <v>246</v>
      </c>
      <c r="J96" s="13">
        <v>232</v>
      </c>
    </row>
    <row r="97" spans="1:14" ht="13.5" customHeight="1">
      <c r="A97" s="82" t="s">
        <v>570</v>
      </c>
      <c r="B97" s="13">
        <v>1</v>
      </c>
      <c r="C97" s="13"/>
      <c r="D97" s="13">
        <v>0</v>
      </c>
      <c r="E97" s="13"/>
      <c r="F97" s="13">
        <v>0</v>
      </c>
      <c r="G97" s="13">
        <v>0</v>
      </c>
      <c r="H97" s="13">
        <v>0</v>
      </c>
      <c r="I97" s="13">
        <v>0</v>
      </c>
      <c r="J97" s="13">
        <v>0</v>
      </c>
    </row>
    <row r="98" spans="1:14" ht="13.5" customHeight="1">
      <c r="A98" s="82" t="s">
        <v>582</v>
      </c>
      <c r="B98" s="13"/>
      <c r="C98" s="13"/>
      <c r="D98" s="13"/>
      <c r="E98" s="13"/>
      <c r="F98" s="13"/>
      <c r="G98" s="13">
        <v>7065</v>
      </c>
      <c r="H98" s="13">
        <v>18151</v>
      </c>
      <c r="I98" s="13">
        <v>20331</v>
      </c>
      <c r="J98" s="13">
        <v>22161</v>
      </c>
    </row>
    <row r="99" spans="1:14" ht="13.5" customHeight="1">
      <c r="A99" s="26" t="s">
        <v>546</v>
      </c>
      <c r="B99" s="13">
        <v>231039867</v>
      </c>
      <c r="C99" s="13">
        <v>216672179</v>
      </c>
      <c r="D99" s="13">
        <v>217718863</v>
      </c>
      <c r="E99" s="13">
        <v>242606106</v>
      </c>
      <c r="F99" s="13">
        <v>247624872</v>
      </c>
      <c r="G99" s="13">
        <v>289113984</v>
      </c>
      <c r="H99" s="13">
        <v>284855685</v>
      </c>
      <c r="I99" s="13">
        <v>280443151</v>
      </c>
      <c r="J99" s="13">
        <v>347293612</v>
      </c>
      <c r="K99" s="2" t="s">
        <v>558</v>
      </c>
      <c r="L99" s="29">
        <f>SUM(L100:L101)</f>
        <v>345719160</v>
      </c>
    </row>
    <row r="100" spans="1:14" ht="13.5" customHeight="1">
      <c r="A100" s="82" t="s">
        <v>544</v>
      </c>
      <c r="B100" s="13">
        <v>587521</v>
      </c>
      <c r="C100" s="13">
        <v>581745</v>
      </c>
      <c r="D100" s="13">
        <v>635696</v>
      </c>
      <c r="E100" s="13">
        <v>589613</v>
      </c>
      <c r="F100" s="13">
        <v>627138</v>
      </c>
      <c r="G100" s="13">
        <v>602742</v>
      </c>
      <c r="H100" s="13">
        <v>599414</v>
      </c>
      <c r="I100" s="13">
        <v>632896</v>
      </c>
      <c r="J100" s="13">
        <v>599054</v>
      </c>
      <c r="K100" s="2" t="s">
        <v>559</v>
      </c>
      <c r="L100" s="2">
        <f>SUM(J100:J104)</f>
        <v>345086264</v>
      </c>
    </row>
    <row r="101" spans="1:14" ht="13.5" customHeight="1">
      <c r="A101" s="82" t="s">
        <v>542</v>
      </c>
      <c r="B101" s="13">
        <v>93093113</v>
      </c>
      <c r="C101" s="13">
        <v>92176982</v>
      </c>
      <c r="D101" s="13">
        <v>98037212</v>
      </c>
      <c r="E101" s="13">
        <v>105744448</v>
      </c>
      <c r="F101" s="13">
        <v>116879209</v>
      </c>
      <c r="G101" s="13">
        <v>165409830</v>
      </c>
      <c r="H101" s="13">
        <v>138627807</v>
      </c>
      <c r="I101" s="13">
        <v>131221621</v>
      </c>
      <c r="J101" s="13">
        <v>167286399</v>
      </c>
      <c r="K101" s="2" t="s">
        <v>544</v>
      </c>
      <c r="L101" s="2">
        <f>SUM(GETPIVOTDATA("합계 : Feb 2026(KRW)",$A$65,"Provider","Datadog","Studio","BLUEHOLE"))</f>
        <v>632896</v>
      </c>
    </row>
    <row r="102" spans="1:14" ht="13.5" customHeight="1">
      <c r="A102" s="82" t="s">
        <v>564</v>
      </c>
      <c r="B102" s="13"/>
      <c r="C102" s="13"/>
      <c r="D102" s="13"/>
      <c r="E102" s="13">
        <v>591194</v>
      </c>
      <c r="F102" s="13">
        <v>651070</v>
      </c>
      <c r="G102" s="13">
        <v>777813</v>
      </c>
      <c r="H102" s="13">
        <v>805333</v>
      </c>
      <c r="I102" s="13">
        <v>892829</v>
      </c>
      <c r="J102" s="13">
        <v>921321</v>
      </c>
    </row>
    <row r="103" spans="1:14" ht="13.5" customHeight="1">
      <c r="A103" s="82" t="s">
        <v>567</v>
      </c>
      <c r="B103" s="13">
        <v>140478</v>
      </c>
      <c r="C103" s="13">
        <v>107409</v>
      </c>
      <c r="D103" s="13">
        <v>15660</v>
      </c>
      <c r="E103" s="13">
        <v>6611</v>
      </c>
      <c r="F103" s="13">
        <v>6804</v>
      </c>
      <c r="G103" s="13">
        <v>6665</v>
      </c>
      <c r="H103" s="13">
        <v>6628</v>
      </c>
      <c r="I103" s="13">
        <v>6617</v>
      </c>
      <c r="J103" s="13">
        <v>7030</v>
      </c>
    </row>
    <row r="104" spans="1:14" ht="13.5" customHeight="1">
      <c r="A104" s="82" t="s">
        <v>568</v>
      </c>
      <c r="B104" s="13">
        <v>134565092</v>
      </c>
      <c r="C104" s="13">
        <v>121875592</v>
      </c>
      <c r="D104" s="13">
        <v>117556032</v>
      </c>
      <c r="E104" s="13">
        <v>134067303</v>
      </c>
      <c r="F104" s="13">
        <v>127817756</v>
      </c>
      <c r="G104" s="13">
        <v>120803051</v>
      </c>
      <c r="H104" s="13">
        <v>143164151</v>
      </c>
      <c r="I104" s="13">
        <v>145010082</v>
      </c>
      <c r="J104" s="13">
        <v>176272460</v>
      </c>
    </row>
    <row r="105" spans="1:14" ht="13.5" customHeight="1">
      <c r="A105" s="82" t="s">
        <v>570</v>
      </c>
      <c r="B105" s="13">
        <v>2653663</v>
      </c>
      <c r="C105" s="13">
        <v>1930451</v>
      </c>
      <c r="D105" s="13">
        <v>1474263</v>
      </c>
      <c r="E105" s="13">
        <v>1606937</v>
      </c>
      <c r="F105" s="13">
        <v>1642895</v>
      </c>
      <c r="G105" s="13">
        <v>1513883</v>
      </c>
      <c r="H105" s="13">
        <v>1652352</v>
      </c>
      <c r="I105" s="13">
        <v>2679106</v>
      </c>
      <c r="J105" s="13">
        <v>2207348</v>
      </c>
    </row>
    <row r="106" spans="1:14" ht="13.5" customHeight="1">
      <c r="A106" s="26" t="s">
        <v>547</v>
      </c>
      <c r="B106" s="13">
        <v>54180851</v>
      </c>
      <c r="C106" s="13">
        <v>58787177</v>
      </c>
      <c r="D106" s="13">
        <v>79184537</v>
      </c>
      <c r="E106" s="13">
        <v>112416614.37114131</v>
      </c>
      <c r="F106" s="13">
        <v>449695943</v>
      </c>
      <c r="G106" s="13">
        <v>318857559</v>
      </c>
      <c r="H106" s="13">
        <v>193370171</v>
      </c>
      <c r="I106" s="13">
        <v>262708856</v>
      </c>
      <c r="J106" s="13">
        <v>1126298033.8000004</v>
      </c>
      <c r="K106" s="2" t="s">
        <v>558</v>
      </c>
      <c r="L106" s="28">
        <f>SUM(L107:L108)</f>
        <v>1126298033.8000004</v>
      </c>
      <c r="M106" s="91"/>
      <c r="N106" s="91"/>
    </row>
    <row r="107" spans="1:14" ht="13.5" customHeight="1">
      <c r="A107" s="82" t="s">
        <v>560</v>
      </c>
      <c r="B107" s="13"/>
      <c r="C107" s="13"/>
      <c r="D107" s="13"/>
      <c r="E107" s="13"/>
      <c r="F107" s="13"/>
      <c r="G107" s="13"/>
      <c r="H107" s="13">
        <v>149904</v>
      </c>
      <c r="I107" s="13">
        <v>0</v>
      </c>
      <c r="J107" s="13">
        <v>0</v>
      </c>
      <c r="K107" s="37" t="s">
        <v>587</v>
      </c>
      <c r="L107" s="37">
        <f>SUM(J107:J109,J111:J116)</f>
        <v>1086118900.3500004</v>
      </c>
    </row>
    <row r="108" spans="1:14" ht="13.5" customHeight="1">
      <c r="A108" s="82" t="s">
        <v>562</v>
      </c>
      <c r="B108" s="13">
        <v>4657575</v>
      </c>
      <c r="C108" s="13">
        <v>4624259</v>
      </c>
      <c r="D108" s="13">
        <v>4360346</v>
      </c>
      <c r="E108" s="13">
        <v>4535924.9897238901</v>
      </c>
      <c r="F108" s="13">
        <v>2905468</v>
      </c>
      <c r="G108" s="13">
        <v>4747557</v>
      </c>
      <c r="H108" s="13">
        <v>4697332</v>
      </c>
      <c r="I108" s="13">
        <v>189</v>
      </c>
      <c r="J108" s="13">
        <v>3322609.95</v>
      </c>
      <c r="K108" s="2" t="s">
        <v>565</v>
      </c>
      <c r="L108" s="2">
        <f>GETPIVOTDATA("합계 : Mar 2026(KRW)",$A$65,"Provider","GCP","Studio","OVERDARE")</f>
        <v>40179133.450000003</v>
      </c>
    </row>
    <row r="109" spans="1:14" ht="13.5" customHeight="1">
      <c r="A109" s="82" t="s">
        <v>542</v>
      </c>
      <c r="B109" s="13">
        <v>12910351</v>
      </c>
      <c r="C109" s="13">
        <v>17609247</v>
      </c>
      <c r="D109" s="13">
        <v>28453083</v>
      </c>
      <c r="E109" s="13">
        <v>56354195.714549541</v>
      </c>
      <c r="F109" s="13">
        <v>402442937</v>
      </c>
      <c r="G109" s="13">
        <v>244119781</v>
      </c>
      <c r="H109" s="13">
        <v>110970321</v>
      </c>
      <c r="I109" s="13">
        <v>227456331</v>
      </c>
      <c r="J109" s="13">
        <v>1038612814.0600001</v>
      </c>
    </row>
    <row r="110" spans="1:14" ht="13.5" customHeight="1">
      <c r="A110" s="82" t="s">
        <v>565</v>
      </c>
      <c r="B110" s="13">
        <v>31558871</v>
      </c>
      <c r="C110" s="13">
        <v>32141643</v>
      </c>
      <c r="D110" s="13">
        <v>40572449</v>
      </c>
      <c r="E110" s="13">
        <v>46471422.151691161</v>
      </c>
      <c r="F110" s="13">
        <v>33916708</v>
      </c>
      <c r="G110" s="13">
        <v>54902746</v>
      </c>
      <c r="H110" s="13">
        <v>59291320</v>
      </c>
      <c r="I110" s="13">
        <v>2493</v>
      </c>
      <c r="J110" s="13">
        <v>40179133.450000003</v>
      </c>
    </row>
    <row r="111" spans="1:14" ht="13.5" customHeight="1">
      <c r="A111" s="82" t="s">
        <v>568</v>
      </c>
      <c r="B111" s="13">
        <v>4727708</v>
      </c>
      <c r="C111" s="13">
        <v>4086955</v>
      </c>
      <c r="D111" s="13">
        <v>5487568</v>
      </c>
      <c r="E111" s="13">
        <v>4717562.0542793488</v>
      </c>
      <c r="F111" s="13">
        <v>10157147</v>
      </c>
      <c r="G111" s="13">
        <v>14545246</v>
      </c>
      <c r="H111" s="13">
        <v>17787372</v>
      </c>
      <c r="I111" s="13">
        <v>35119929</v>
      </c>
      <c r="J111" s="13">
        <v>43317523.420000002</v>
      </c>
    </row>
    <row r="112" spans="1:14" ht="13.5" customHeight="1">
      <c r="A112" s="82" t="s">
        <v>569</v>
      </c>
      <c r="B112" s="13"/>
      <c r="C112" s="13">
        <v>42</v>
      </c>
      <c r="D112" s="13">
        <v>23</v>
      </c>
      <c r="E112" s="13">
        <v>406.20200048818901</v>
      </c>
      <c r="F112" s="13">
        <v>8243</v>
      </c>
      <c r="G112" s="13">
        <v>11205</v>
      </c>
      <c r="H112" s="13">
        <v>4009</v>
      </c>
      <c r="I112" s="13">
        <v>0</v>
      </c>
      <c r="J112" s="13">
        <v>14680.21</v>
      </c>
    </row>
    <row r="113" spans="1:14" ht="13.5" customHeight="1">
      <c r="A113" s="82" t="s">
        <v>573</v>
      </c>
      <c r="B113" s="13">
        <v>323715</v>
      </c>
      <c r="C113" s="13">
        <v>319654</v>
      </c>
      <c r="D113" s="13">
        <v>305018</v>
      </c>
      <c r="E113" s="13">
        <v>327145.55034830398</v>
      </c>
      <c r="F113" s="13">
        <v>211510</v>
      </c>
      <c r="G113" s="13">
        <v>344995</v>
      </c>
      <c r="H113" s="13">
        <v>200321</v>
      </c>
      <c r="I113" s="13">
        <v>0</v>
      </c>
      <c r="J113" s="13">
        <v>27265.65</v>
      </c>
    </row>
    <row r="114" spans="1:14" ht="13.5" customHeight="1">
      <c r="A114" s="82" t="s">
        <v>574</v>
      </c>
      <c r="B114" s="13"/>
      <c r="C114" s="13">
        <v>4644</v>
      </c>
      <c r="D114" s="13">
        <v>6003</v>
      </c>
      <c r="E114" s="13">
        <v>9917.1098519999905</v>
      </c>
      <c r="F114" s="13">
        <v>53909</v>
      </c>
      <c r="G114" s="13">
        <v>186029</v>
      </c>
      <c r="H114" s="13">
        <v>268711</v>
      </c>
      <c r="I114" s="13">
        <v>129914</v>
      </c>
      <c r="J114" s="13">
        <v>823882.64</v>
      </c>
    </row>
    <row r="115" spans="1:14" ht="13.5" customHeight="1">
      <c r="A115" s="82" t="s">
        <v>577</v>
      </c>
      <c r="B115" s="13">
        <v>2631</v>
      </c>
      <c r="C115" s="13">
        <v>733</v>
      </c>
      <c r="D115" s="13">
        <v>47</v>
      </c>
      <c r="E115" s="13">
        <v>40.5986965857821</v>
      </c>
      <c r="F115" s="13">
        <v>21</v>
      </c>
      <c r="G115" s="13">
        <v>0</v>
      </c>
      <c r="H115" s="13">
        <v>0</v>
      </c>
      <c r="I115" s="13">
        <v>0</v>
      </c>
      <c r="J115" s="13">
        <v>0</v>
      </c>
    </row>
    <row r="116" spans="1:14" ht="21" customHeight="1">
      <c r="A116" s="82" t="s">
        <v>581</v>
      </c>
      <c r="B116" s="13"/>
      <c r="C116" s="13"/>
      <c r="D116" s="13"/>
      <c r="E116" s="13"/>
      <c r="F116" s="13"/>
      <c r="G116" s="13"/>
      <c r="H116" s="13">
        <v>881</v>
      </c>
      <c r="I116" s="13">
        <v>0</v>
      </c>
      <c r="J116" s="13">
        <v>124.42000000000002</v>
      </c>
      <c r="K116" s="91" t="s">
        <v>558</v>
      </c>
      <c r="L116" s="92">
        <f>L117</f>
        <v>0</v>
      </c>
      <c r="M116" s="91" t="s">
        <v>588</v>
      </c>
      <c r="N116" s="91"/>
    </row>
    <row r="117" spans="1:14" ht="21" customHeight="1">
      <c r="A117" s="26" t="s">
        <v>526</v>
      </c>
      <c r="B117" s="13">
        <v>15798965</v>
      </c>
      <c r="C117" s="13">
        <v>16672481</v>
      </c>
      <c r="D117" s="13">
        <v>23830001</v>
      </c>
      <c r="E117" s="13">
        <v>35729363</v>
      </c>
      <c r="F117" s="13">
        <v>47719191</v>
      </c>
      <c r="G117" s="13">
        <v>442843891</v>
      </c>
      <c r="H117" s="13">
        <v>45605573</v>
      </c>
      <c r="I117" s="13">
        <v>46183254</v>
      </c>
      <c r="J117" s="13">
        <v>47260551</v>
      </c>
      <c r="K117" s="91" t="s">
        <v>559</v>
      </c>
      <c r="L117" s="93"/>
    </row>
    <row r="118" spans="1:14" ht="21" customHeight="1">
      <c r="A118" s="82" t="s">
        <v>542</v>
      </c>
      <c r="B118" s="13">
        <v>15798965</v>
      </c>
      <c r="C118" s="13">
        <v>16672481</v>
      </c>
      <c r="D118" s="13">
        <v>23830001</v>
      </c>
      <c r="E118" s="13">
        <v>35729363</v>
      </c>
      <c r="F118" s="13">
        <v>47719191</v>
      </c>
      <c r="G118" s="13">
        <v>442843891</v>
      </c>
      <c r="H118" s="13">
        <v>45605573</v>
      </c>
      <c r="I118" s="13">
        <v>46183254</v>
      </c>
      <c r="J118" s="13">
        <v>47260551</v>
      </c>
      <c r="K118" s="2" t="s">
        <v>558</v>
      </c>
      <c r="L118" s="29">
        <f>L119</f>
        <v>12238995138.799999</v>
      </c>
      <c r="M118" s="43"/>
    </row>
    <row r="119" spans="1:14" ht="21" customHeight="1">
      <c r="A119" s="13" t="s">
        <v>548</v>
      </c>
      <c r="B119" s="13">
        <v>11697244009</v>
      </c>
      <c r="C119" s="13">
        <v>8517457481</v>
      </c>
      <c r="D119" s="13">
        <v>15829480691</v>
      </c>
      <c r="E119" s="13">
        <v>9567734496.6455879</v>
      </c>
      <c r="F119" s="13">
        <v>10432125077</v>
      </c>
      <c r="G119" s="13">
        <v>13078072865</v>
      </c>
      <c r="H119" s="13">
        <v>10041251531</v>
      </c>
      <c r="I119" s="13">
        <v>11896278886</v>
      </c>
      <c r="J119" s="13">
        <v>12238995138.799999</v>
      </c>
      <c r="K119" s="2" t="s">
        <v>559</v>
      </c>
      <c r="L119" s="2">
        <f>SUM(J119:J120)</f>
        <v>12238995138.799999</v>
      </c>
    </row>
    <row r="120" spans="1:14" ht="13.5" customHeight="1">
      <c r="A120"/>
      <c r="B120"/>
      <c r="C120"/>
      <c r="D120"/>
      <c r="E120"/>
      <c r="F120"/>
      <c r="G120"/>
      <c r="H120"/>
      <c r="I120"/>
    </row>
    <row r="121" spans="1:14" ht="13.5" customHeight="1">
      <c r="A121"/>
      <c r="B121"/>
      <c r="C121"/>
      <c r="D121"/>
      <c r="E121"/>
      <c r="F121"/>
      <c r="G121"/>
      <c r="H121"/>
      <c r="I121"/>
    </row>
    <row r="122" spans="1:14" ht="13.5" customHeight="1">
      <c r="A122"/>
      <c r="B122"/>
      <c r="C122"/>
      <c r="D122"/>
      <c r="E122"/>
      <c r="F122"/>
      <c r="G122"/>
      <c r="H122"/>
      <c r="I122"/>
      <c r="K122" s="2" t="s">
        <v>559</v>
      </c>
      <c r="L122" s="28" t="e">
        <f>GETPIVOTDATA("합계 : Feb 2026(KRW)",$A$65,"Provider","Yandex Cloud","Studio","PUBG STUDIO")</f>
        <v>#REF!</v>
      </c>
      <c r="M122" s="94">
        <v>63576.28</v>
      </c>
    </row>
    <row r="123" spans="1:14" ht="13.5" customHeight="1">
      <c r="A123"/>
      <c r="B123"/>
      <c r="C123"/>
      <c r="D123"/>
      <c r="E123"/>
      <c r="F123"/>
      <c r="G123"/>
      <c r="H123"/>
      <c r="I123"/>
    </row>
    <row r="124" spans="1:14" ht="13.5" customHeight="1">
      <c r="A124"/>
      <c r="B124"/>
      <c r="C124"/>
      <c r="D124"/>
      <c r="E124"/>
      <c r="F124"/>
      <c r="G124"/>
      <c r="H124"/>
      <c r="I124"/>
    </row>
    <row r="125" spans="1:14" ht="13.5" customHeight="1">
      <c r="A125" s="13"/>
      <c r="B125" s="13"/>
      <c r="C125" s="13"/>
      <c r="D125" s="13"/>
      <c r="E125" s="13"/>
      <c r="F125" s="13"/>
      <c r="G125" s="13"/>
      <c r="H125" s="13"/>
      <c r="I125" s="13"/>
      <c r="J125" s="13"/>
    </row>
    <row r="126" spans="1:14" ht="13.5" customHeight="1">
      <c r="A126" s="13"/>
      <c r="B126" s="13"/>
      <c r="C126" s="13"/>
      <c r="D126" s="13"/>
      <c r="E126" s="13"/>
      <c r="F126" s="13"/>
      <c r="G126" s="13"/>
      <c r="H126" s="13"/>
      <c r="I126" s="13"/>
      <c r="J126" s="13"/>
    </row>
    <row r="127" spans="1:14" ht="13.5" customHeight="1">
      <c r="A127" s="13"/>
      <c r="B127" s="13"/>
      <c r="C127" s="13"/>
      <c r="D127" s="13"/>
      <c r="E127" s="13"/>
      <c r="F127" s="13"/>
      <c r="G127" s="13"/>
      <c r="H127" s="13"/>
      <c r="I127" s="13"/>
      <c r="J127" s="13"/>
    </row>
    <row r="128" spans="1:14" ht="13.5" customHeight="1">
      <c r="A128" s="81" t="s">
        <v>4</v>
      </c>
      <c r="B128" s="13" t="s">
        <v>549</v>
      </c>
      <c r="C128"/>
      <c r="D128"/>
      <c r="E128"/>
      <c r="F128"/>
      <c r="G128"/>
      <c r="H128"/>
    </row>
    <row r="129" spans="1:15" ht="13.5" customHeight="1">
      <c r="A129"/>
      <c r="B129"/>
      <c r="C129"/>
      <c r="D129"/>
      <c r="E129"/>
      <c r="F129"/>
      <c r="G129"/>
      <c r="H129"/>
    </row>
    <row r="130" spans="1:15" ht="17">
      <c r="A130" s="81" t="s">
        <v>539</v>
      </c>
      <c r="B130" s="13" t="s">
        <v>550</v>
      </c>
      <c r="C130" s="13" t="s">
        <v>551</v>
      </c>
      <c r="D130" s="13" t="s">
        <v>552</v>
      </c>
      <c r="E130" s="13" t="s">
        <v>553</v>
      </c>
      <c r="F130" s="13" t="s">
        <v>554</v>
      </c>
      <c r="G130" s="13" t="s">
        <v>555</v>
      </c>
      <c r="H130" s="13" t="s">
        <v>556</v>
      </c>
      <c r="I130" s="13" t="s">
        <v>589</v>
      </c>
      <c r="J130" s="13" t="s">
        <v>540</v>
      </c>
      <c r="L130" s="13"/>
      <c r="M130" s="13"/>
      <c r="N130" s="13"/>
      <c r="O130" s="13"/>
    </row>
    <row r="131" spans="1:15" ht="17">
      <c r="A131" s="26" t="s">
        <v>541</v>
      </c>
      <c r="B131" s="13">
        <v>974563484</v>
      </c>
      <c r="C131" s="13">
        <v>740535918</v>
      </c>
      <c r="D131" s="13">
        <v>949642261</v>
      </c>
      <c r="E131" s="13">
        <v>650926203</v>
      </c>
      <c r="F131" s="13">
        <v>916280001</v>
      </c>
      <c r="G131" s="13">
        <v>669160974</v>
      </c>
      <c r="H131" s="13">
        <v>894789092</v>
      </c>
      <c r="I131" s="13">
        <v>10</v>
      </c>
      <c r="J131" s="13">
        <v>0</v>
      </c>
      <c r="L131" s="13"/>
      <c r="N131" s="13"/>
      <c r="O131" s="13"/>
    </row>
    <row r="132" spans="1:15" ht="17">
      <c r="A132" s="82" t="s">
        <v>542</v>
      </c>
      <c r="B132" s="13">
        <v>968344851</v>
      </c>
      <c r="C132" s="13">
        <v>733951290</v>
      </c>
      <c r="D132" s="13">
        <v>944443949</v>
      </c>
      <c r="E132" s="13">
        <v>644277143</v>
      </c>
      <c r="F132" s="13">
        <v>909473492</v>
      </c>
      <c r="G132" s="13">
        <v>663356159</v>
      </c>
      <c r="H132" s="13">
        <v>888242646</v>
      </c>
      <c r="I132" s="13">
        <v>9</v>
      </c>
      <c r="J132" s="13">
        <v>0</v>
      </c>
      <c r="N132" s="13"/>
      <c r="O132" s="13"/>
    </row>
    <row r="133" spans="1:15" ht="17">
      <c r="A133" s="83" t="s">
        <v>590</v>
      </c>
      <c r="B133" s="13">
        <v>921689465</v>
      </c>
      <c r="C133" s="13">
        <v>689008671</v>
      </c>
      <c r="D133" s="13">
        <v>899905653</v>
      </c>
      <c r="E133" s="13">
        <v>599777963</v>
      </c>
      <c r="F133" s="13">
        <v>865196956</v>
      </c>
      <c r="G133" s="13">
        <v>616285601</v>
      </c>
      <c r="H133" s="13">
        <v>844093018</v>
      </c>
      <c r="I133" s="13">
        <v>1</v>
      </c>
      <c r="J133" s="13">
        <v>0</v>
      </c>
      <c r="L133" s="13"/>
      <c r="N133" s="13"/>
      <c r="O133" s="13"/>
    </row>
    <row r="134" spans="1:15" ht="17">
      <c r="A134" s="84" t="s">
        <v>591</v>
      </c>
      <c r="B134" s="13">
        <v>921689465</v>
      </c>
      <c r="C134" s="13">
        <v>689008671</v>
      </c>
      <c r="D134" s="13">
        <v>899905653</v>
      </c>
      <c r="E134" s="13">
        <v>599777963</v>
      </c>
      <c r="F134" s="13">
        <v>865196956</v>
      </c>
      <c r="G134" s="13">
        <v>616285601</v>
      </c>
      <c r="H134" s="13">
        <v>844093018</v>
      </c>
      <c r="I134" s="13">
        <v>1</v>
      </c>
      <c r="J134" s="13">
        <v>0</v>
      </c>
      <c r="L134" s="13"/>
      <c r="N134" s="13"/>
      <c r="O134" s="13"/>
    </row>
    <row r="135" spans="1:15" ht="17">
      <c r="A135" s="83" t="s">
        <v>592</v>
      </c>
      <c r="B135" s="13">
        <v>26068686</v>
      </c>
      <c r="C135" s="13">
        <v>26050000</v>
      </c>
      <c r="D135" s="13">
        <v>26050000</v>
      </c>
      <c r="E135" s="13">
        <v>26050000</v>
      </c>
      <c r="F135" s="13">
        <v>26050000</v>
      </c>
      <c r="G135" s="13">
        <v>26072440</v>
      </c>
      <c r="H135" s="13">
        <v>26050000</v>
      </c>
      <c r="I135" s="13">
        <v>4</v>
      </c>
      <c r="J135" s="13">
        <v>0</v>
      </c>
      <c r="L135" s="27"/>
      <c r="M135" s="28"/>
      <c r="N135" s="13"/>
      <c r="O135" s="13"/>
    </row>
    <row r="136" spans="1:15" ht="17">
      <c r="A136" s="84" t="s">
        <v>370</v>
      </c>
      <c r="B136" s="13">
        <v>26068686</v>
      </c>
      <c r="C136" s="13">
        <v>26050000</v>
      </c>
      <c r="D136" s="13">
        <v>26050000</v>
      </c>
      <c r="E136" s="13">
        <v>26050000</v>
      </c>
      <c r="F136" s="13">
        <v>26050000</v>
      </c>
      <c r="G136" s="13">
        <v>26072440</v>
      </c>
      <c r="H136" s="13">
        <v>26050000</v>
      </c>
      <c r="I136" s="13">
        <v>4</v>
      </c>
      <c r="J136" s="13">
        <v>0</v>
      </c>
      <c r="L136" s="13"/>
      <c r="M136" s="13"/>
      <c r="N136" s="13"/>
      <c r="O136" s="13"/>
    </row>
    <row r="137" spans="1:15" ht="13.5" customHeight="1">
      <c r="A137" s="83" t="s">
        <v>593</v>
      </c>
      <c r="B137" s="13">
        <v>1637229</v>
      </c>
      <c r="C137" s="13">
        <v>1394062</v>
      </c>
      <c r="D137" s="13">
        <v>1300651</v>
      </c>
      <c r="E137" s="13">
        <v>1293148</v>
      </c>
      <c r="F137" s="13">
        <v>1354057</v>
      </c>
      <c r="G137" s="13">
        <v>1437475</v>
      </c>
      <c r="H137" s="13">
        <v>1357700</v>
      </c>
      <c r="I137" s="13">
        <v>1</v>
      </c>
      <c r="J137" s="13">
        <v>0</v>
      </c>
      <c r="L137" s="13"/>
      <c r="M137" s="13"/>
      <c r="N137" s="13"/>
      <c r="O137" s="13"/>
    </row>
    <row r="138" spans="1:15" ht="13.5" customHeight="1">
      <c r="A138" s="84" t="s">
        <v>594</v>
      </c>
      <c r="B138" s="13">
        <v>1637229</v>
      </c>
      <c r="C138" s="13">
        <v>1394062</v>
      </c>
      <c r="D138" s="13">
        <v>1300651</v>
      </c>
      <c r="E138" s="13">
        <v>1293148</v>
      </c>
      <c r="F138" s="13">
        <v>1354057</v>
      </c>
      <c r="G138" s="13">
        <v>1437475</v>
      </c>
      <c r="H138" s="13">
        <v>1357700</v>
      </c>
      <c r="I138" s="13">
        <v>1</v>
      </c>
      <c r="J138" s="13">
        <v>0</v>
      </c>
      <c r="L138" s="13"/>
      <c r="M138" s="13"/>
      <c r="N138" s="13"/>
      <c r="O138" s="13"/>
    </row>
    <row r="139" spans="1:15" ht="13.5" customHeight="1">
      <c r="A139" s="83" t="s">
        <v>595</v>
      </c>
      <c r="B139" s="13">
        <v>17302333</v>
      </c>
      <c r="C139" s="13">
        <v>16500000</v>
      </c>
      <c r="D139" s="13">
        <v>16500000</v>
      </c>
      <c r="E139" s="13">
        <v>16500000</v>
      </c>
      <c r="F139" s="13">
        <v>16500000</v>
      </c>
      <c r="G139" s="13">
        <v>19189620</v>
      </c>
      <c r="H139" s="13">
        <v>16500000</v>
      </c>
      <c r="I139" s="13">
        <v>1</v>
      </c>
      <c r="J139" s="13">
        <v>0</v>
      </c>
      <c r="L139" s="13"/>
      <c r="M139" s="13"/>
      <c r="N139" s="13"/>
      <c r="O139" s="13"/>
    </row>
    <row r="140" spans="1:15" ht="13.5" customHeight="1">
      <c r="A140" s="84" t="s">
        <v>596</v>
      </c>
      <c r="B140" s="13">
        <v>17302333</v>
      </c>
      <c r="C140" s="13">
        <v>16500000</v>
      </c>
      <c r="D140" s="13">
        <v>16500000</v>
      </c>
      <c r="E140" s="13">
        <v>16500000</v>
      </c>
      <c r="F140" s="13">
        <v>16500000</v>
      </c>
      <c r="G140" s="13">
        <v>19189620</v>
      </c>
      <c r="H140" s="13">
        <v>16500000</v>
      </c>
      <c r="I140" s="13">
        <v>1</v>
      </c>
      <c r="J140" s="13">
        <v>0</v>
      </c>
      <c r="L140" s="13"/>
      <c r="M140" s="13"/>
      <c r="N140" s="13"/>
      <c r="O140" s="13"/>
    </row>
    <row r="141" spans="1:15" ht="13.5" customHeight="1">
      <c r="A141" s="83" t="s">
        <v>597</v>
      </c>
      <c r="B141" s="13">
        <v>1647138</v>
      </c>
      <c r="C141" s="13">
        <v>998557</v>
      </c>
      <c r="D141" s="13">
        <v>687645</v>
      </c>
      <c r="E141" s="13">
        <v>656032</v>
      </c>
      <c r="F141" s="13">
        <v>372479</v>
      </c>
      <c r="G141" s="13">
        <v>371023</v>
      </c>
      <c r="H141" s="13">
        <v>241928</v>
      </c>
      <c r="I141" s="13">
        <v>2</v>
      </c>
      <c r="J141" s="13">
        <v>0</v>
      </c>
      <c r="L141" s="13"/>
      <c r="M141" s="13"/>
      <c r="N141" s="13"/>
      <c r="O141" s="13"/>
    </row>
    <row r="142" spans="1:15" ht="13.5" customHeight="1">
      <c r="A142" s="84" t="s">
        <v>370</v>
      </c>
      <c r="B142" s="13"/>
      <c r="C142" s="13"/>
      <c r="D142" s="13">
        <v>160</v>
      </c>
      <c r="E142" s="13">
        <v>1</v>
      </c>
      <c r="F142" s="13">
        <v>1</v>
      </c>
      <c r="G142" s="13">
        <v>1</v>
      </c>
      <c r="H142" s="13">
        <v>2</v>
      </c>
      <c r="I142" s="13">
        <v>1</v>
      </c>
      <c r="J142" s="13">
        <v>0</v>
      </c>
    </row>
    <row r="143" spans="1:15" ht="13.5" customHeight="1">
      <c r="A143" s="84" t="s">
        <v>598</v>
      </c>
      <c r="B143" s="13">
        <v>1647138</v>
      </c>
      <c r="C143" s="13">
        <v>998557</v>
      </c>
      <c r="D143" s="13">
        <v>687485</v>
      </c>
      <c r="E143" s="13">
        <v>656031</v>
      </c>
      <c r="F143" s="13">
        <v>372478</v>
      </c>
      <c r="G143" s="13">
        <v>371022</v>
      </c>
      <c r="H143" s="13">
        <v>241926</v>
      </c>
      <c r="I143" s="13">
        <v>1</v>
      </c>
      <c r="J143" s="13">
        <v>0</v>
      </c>
    </row>
    <row r="144" spans="1:15" ht="13.5" customHeight="1">
      <c r="A144" s="82" t="s">
        <v>567</v>
      </c>
      <c r="B144" s="13">
        <v>6218633</v>
      </c>
      <c r="C144" s="13">
        <v>6584628</v>
      </c>
      <c r="D144" s="13">
        <v>5198312</v>
      </c>
      <c r="E144" s="13">
        <v>6649060</v>
      </c>
      <c r="F144" s="13">
        <v>6806509</v>
      </c>
      <c r="G144" s="13">
        <v>5804815</v>
      </c>
      <c r="H144" s="13">
        <v>6546446</v>
      </c>
      <c r="I144" s="13">
        <v>1</v>
      </c>
      <c r="J144" s="13">
        <v>0</v>
      </c>
    </row>
    <row r="145" spans="1:12" ht="13.5" customHeight="1">
      <c r="A145" s="83" t="s">
        <v>599</v>
      </c>
      <c r="B145" s="13">
        <v>6218633</v>
      </c>
      <c r="C145" s="13">
        <v>6584628</v>
      </c>
      <c r="D145" s="13">
        <v>5198312</v>
      </c>
      <c r="E145" s="13">
        <v>6649060</v>
      </c>
      <c r="F145" s="13">
        <v>6806509</v>
      </c>
      <c r="G145" s="13">
        <v>5804815</v>
      </c>
      <c r="H145" s="13">
        <v>6546446</v>
      </c>
      <c r="I145" s="13">
        <v>1</v>
      </c>
      <c r="J145" s="13">
        <v>0</v>
      </c>
    </row>
    <row r="146" spans="1:12" ht="13.5" customHeight="1">
      <c r="A146" s="84" t="s">
        <v>600</v>
      </c>
      <c r="B146" s="13">
        <v>6218633</v>
      </c>
      <c r="C146" s="13">
        <v>6584628</v>
      </c>
      <c r="D146" s="13">
        <v>5198312</v>
      </c>
      <c r="E146" s="13">
        <v>6649060</v>
      </c>
      <c r="F146" s="13">
        <v>6806509</v>
      </c>
      <c r="G146" s="13">
        <v>5804815</v>
      </c>
      <c r="H146" s="13">
        <v>6546446</v>
      </c>
      <c r="I146" s="13">
        <v>1</v>
      </c>
      <c r="J146" s="13">
        <v>0</v>
      </c>
    </row>
    <row r="147" spans="1:12" ht="13.5" customHeight="1">
      <c r="A147" s="26" t="s">
        <v>543</v>
      </c>
      <c r="B147" s="13">
        <v>6294935396</v>
      </c>
      <c r="C147" s="13">
        <v>3260806399</v>
      </c>
      <c r="D147" s="13">
        <v>10558514935</v>
      </c>
      <c r="E147" s="13">
        <v>4385145295</v>
      </c>
      <c r="F147" s="13">
        <v>4773368743</v>
      </c>
      <c r="G147" s="13">
        <v>7098110408</v>
      </c>
      <c r="H147" s="13">
        <v>4490430687</v>
      </c>
      <c r="I147" s="13">
        <v>209</v>
      </c>
      <c r="J147" s="13">
        <v>0</v>
      </c>
    </row>
    <row r="148" spans="1:12" ht="13.5" customHeight="1">
      <c r="A148" s="82" t="s">
        <v>544</v>
      </c>
      <c r="B148" s="13">
        <v>50399448</v>
      </c>
      <c r="C148" s="13">
        <v>46819477</v>
      </c>
      <c r="D148" s="13">
        <v>42868625</v>
      </c>
      <c r="E148" s="13">
        <v>46741008</v>
      </c>
      <c r="F148" s="13">
        <v>43309097</v>
      </c>
      <c r="G148" s="13">
        <v>46584615</v>
      </c>
      <c r="H148" s="13">
        <v>42134889</v>
      </c>
      <c r="I148" s="13">
        <v>9</v>
      </c>
      <c r="J148" s="13">
        <v>0</v>
      </c>
    </row>
    <row r="149" spans="1:12" ht="13.5" customHeight="1">
      <c r="A149" s="83" t="s">
        <v>601</v>
      </c>
      <c r="B149" s="13">
        <v>3589532</v>
      </c>
      <c r="C149" s="13">
        <v>3640028</v>
      </c>
      <c r="D149" s="13">
        <v>3546314</v>
      </c>
      <c r="E149" s="13">
        <v>3573112</v>
      </c>
      <c r="F149" s="13">
        <v>3674808</v>
      </c>
      <c r="G149" s="13">
        <v>3661997</v>
      </c>
      <c r="H149" s="13">
        <v>3645460</v>
      </c>
      <c r="I149" s="13">
        <v>3</v>
      </c>
      <c r="J149" s="13">
        <v>0</v>
      </c>
    </row>
    <row r="150" spans="1:12" ht="13.5" customHeight="1">
      <c r="A150" s="84" t="s">
        <v>602</v>
      </c>
      <c r="B150" s="13">
        <v>3589532</v>
      </c>
      <c r="C150" s="13">
        <v>3640028</v>
      </c>
      <c r="D150" s="13">
        <v>3546314</v>
      </c>
      <c r="E150" s="13">
        <v>3573112</v>
      </c>
      <c r="F150" s="13">
        <v>3674808</v>
      </c>
      <c r="G150" s="13">
        <v>3661997</v>
      </c>
      <c r="H150" s="13">
        <v>3645460</v>
      </c>
      <c r="I150" s="13">
        <v>3</v>
      </c>
      <c r="J150" s="13">
        <v>0</v>
      </c>
      <c r="L150" s="181"/>
    </row>
    <row r="151" spans="1:12" ht="13.5" customHeight="1">
      <c r="A151" s="83" t="s">
        <v>603</v>
      </c>
      <c r="B151" s="13">
        <v>10092</v>
      </c>
      <c r="C151" s="13">
        <v>12163</v>
      </c>
      <c r="D151" s="13">
        <v>8375</v>
      </c>
      <c r="E151" s="13">
        <v>9106</v>
      </c>
      <c r="F151" s="13">
        <v>9704</v>
      </c>
      <c r="G151" s="13">
        <v>8690</v>
      </c>
      <c r="H151" s="13">
        <v>10663</v>
      </c>
      <c r="I151" s="13">
        <v>1</v>
      </c>
      <c r="J151" s="13">
        <v>0</v>
      </c>
    </row>
    <row r="152" spans="1:12" ht="13.5" customHeight="1">
      <c r="A152" s="84" t="s">
        <v>370</v>
      </c>
      <c r="B152" s="13">
        <v>10092</v>
      </c>
      <c r="C152" s="13">
        <v>12163</v>
      </c>
      <c r="D152" s="13">
        <v>8375</v>
      </c>
      <c r="E152" s="13">
        <v>9106</v>
      </c>
      <c r="F152" s="13">
        <v>9704</v>
      </c>
      <c r="G152" s="13">
        <v>8690</v>
      </c>
      <c r="H152" s="13">
        <v>10663</v>
      </c>
      <c r="I152" s="13">
        <v>1</v>
      </c>
      <c r="J152" s="13">
        <v>0</v>
      </c>
    </row>
    <row r="153" spans="1:12" ht="13.5" customHeight="1">
      <c r="A153" s="83" t="s">
        <v>604</v>
      </c>
      <c r="B153" s="13">
        <v>4357199</v>
      </c>
      <c r="C153" s="13">
        <v>4269485</v>
      </c>
      <c r="D153" s="13">
        <v>4345761</v>
      </c>
      <c r="E153" s="13">
        <v>5489350</v>
      </c>
      <c r="F153" s="13">
        <v>4787297</v>
      </c>
      <c r="G153" s="13">
        <v>5374145</v>
      </c>
      <c r="H153" s="13">
        <v>5177865</v>
      </c>
      <c r="I153" s="13">
        <v>3</v>
      </c>
      <c r="J153" s="13">
        <v>0</v>
      </c>
    </row>
    <row r="154" spans="1:12" ht="13.5" customHeight="1">
      <c r="A154" s="84" t="s">
        <v>602</v>
      </c>
      <c r="B154" s="13">
        <v>4357199</v>
      </c>
      <c r="C154" s="13">
        <v>4269485</v>
      </c>
      <c r="D154" s="13">
        <v>4345761</v>
      </c>
      <c r="E154" s="13">
        <v>5489350</v>
      </c>
      <c r="F154" s="13">
        <v>4787297</v>
      </c>
      <c r="G154" s="13">
        <v>5374145</v>
      </c>
      <c r="H154" s="13">
        <v>5177865</v>
      </c>
      <c r="I154" s="13">
        <v>3</v>
      </c>
      <c r="J154" s="13">
        <v>0</v>
      </c>
    </row>
    <row r="155" spans="1:12" ht="13.5" customHeight="1">
      <c r="A155" s="83" t="s">
        <v>605</v>
      </c>
      <c r="B155" s="13">
        <v>42442625</v>
      </c>
      <c r="C155" s="13">
        <v>38897801</v>
      </c>
      <c r="D155" s="13">
        <v>34960534</v>
      </c>
      <c r="E155" s="13">
        <v>37665835</v>
      </c>
      <c r="F155" s="13">
        <v>34825214</v>
      </c>
      <c r="G155" s="13">
        <v>37528129</v>
      </c>
      <c r="H155" s="13">
        <v>33286868</v>
      </c>
      <c r="I155" s="13">
        <v>1</v>
      </c>
      <c r="J155" s="13">
        <v>0</v>
      </c>
    </row>
    <row r="156" spans="1:12" ht="13.5" customHeight="1">
      <c r="A156" s="84" t="s">
        <v>598</v>
      </c>
      <c r="B156" s="13">
        <v>42442625</v>
      </c>
      <c r="C156" s="13">
        <v>38897801</v>
      </c>
      <c r="D156" s="13">
        <v>34960534</v>
      </c>
      <c r="E156" s="13">
        <v>37665835</v>
      </c>
      <c r="F156" s="13">
        <v>34825214</v>
      </c>
      <c r="G156" s="13">
        <v>37528129</v>
      </c>
      <c r="H156" s="13">
        <v>33286868</v>
      </c>
      <c r="I156" s="13">
        <v>1</v>
      </c>
      <c r="J156" s="13">
        <v>0</v>
      </c>
    </row>
    <row r="157" spans="1:12" ht="13.5" customHeight="1">
      <c r="A157" s="83" t="s">
        <v>606</v>
      </c>
      <c r="B157" s="13"/>
      <c r="C157" s="13"/>
      <c r="D157" s="13">
        <v>7641</v>
      </c>
      <c r="E157" s="13">
        <v>3605</v>
      </c>
      <c r="F157" s="13">
        <v>12074</v>
      </c>
      <c r="G157" s="13">
        <v>11654</v>
      </c>
      <c r="H157" s="13">
        <v>14033</v>
      </c>
      <c r="I157" s="13">
        <v>1</v>
      </c>
      <c r="J157" s="13">
        <v>0</v>
      </c>
    </row>
    <row r="158" spans="1:12" ht="13.5" customHeight="1">
      <c r="A158" s="84" t="s">
        <v>607</v>
      </c>
      <c r="B158" s="13"/>
      <c r="C158" s="13"/>
      <c r="D158" s="13">
        <v>7641</v>
      </c>
      <c r="E158" s="13">
        <v>3605</v>
      </c>
      <c r="F158" s="13">
        <v>12074</v>
      </c>
      <c r="G158" s="13">
        <v>11654</v>
      </c>
      <c r="H158" s="13">
        <v>14033</v>
      </c>
      <c r="I158" s="13">
        <v>1</v>
      </c>
      <c r="J158" s="13">
        <v>0</v>
      </c>
    </row>
    <row r="159" spans="1:12" ht="13.5" customHeight="1">
      <c r="A159" s="82" t="s">
        <v>562</v>
      </c>
      <c r="B159" s="13">
        <v>23164</v>
      </c>
      <c r="C159" s="13">
        <v>145340</v>
      </c>
      <c r="D159" s="13">
        <v>142739</v>
      </c>
      <c r="E159" s="13">
        <v>145778</v>
      </c>
      <c r="F159" s="13">
        <v>150607</v>
      </c>
      <c r="G159" s="13">
        <v>146609</v>
      </c>
      <c r="H159" s="13">
        <v>147869</v>
      </c>
      <c r="I159" s="13">
        <v>1</v>
      </c>
      <c r="J159" s="13">
        <v>0</v>
      </c>
    </row>
    <row r="160" spans="1:12" ht="13.5" customHeight="1">
      <c r="A160" s="83" t="s">
        <v>608</v>
      </c>
      <c r="B160" s="13">
        <v>23164</v>
      </c>
      <c r="C160" s="13">
        <v>145340</v>
      </c>
      <c r="D160" s="13">
        <v>142739</v>
      </c>
      <c r="E160" s="13">
        <v>145778</v>
      </c>
      <c r="F160" s="13">
        <v>150607</v>
      </c>
      <c r="G160" s="13">
        <v>146609</v>
      </c>
      <c r="H160" s="13">
        <v>147869</v>
      </c>
      <c r="I160" s="13">
        <v>1</v>
      </c>
      <c r="J160" s="13">
        <v>0</v>
      </c>
    </row>
    <row r="161" spans="1:15" ht="13.5" customHeight="1">
      <c r="A161" s="84" t="s">
        <v>370</v>
      </c>
      <c r="B161" s="13">
        <v>23164</v>
      </c>
      <c r="C161" s="13">
        <v>145340</v>
      </c>
      <c r="D161" s="13">
        <v>142739</v>
      </c>
      <c r="E161" s="13">
        <v>145778</v>
      </c>
      <c r="F161" s="13">
        <v>150607</v>
      </c>
      <c r="G161" s="13">
        <v>146609</v>
      </c>
      <c r="H161" s="13">
        <v>147869</v>
      </c>
      <c r="I161" s="13">
        <v>1</v>
      </c>
      <c r="J161" s="13">
        <v>0</v>
      </c>
    </row>
    <row r="162" spans="1:15" ht="13.5" customHeight="1">
      <c r="A162" s="82" t="s">
        <v>542</v>
      </c>
      <c r="B162" s="13">
        <v>4207544056</v>
      </c>
      <c r="C162" s="13">
        <v>1293279739</v>
      </c>
      <c r="D162" s="13">
        <v>1285894755</v>
      </c>
      <c r="E162" s="13">
        <v>1547557436</v>
      </c>
      <c r="F162" s="13">
        <v>1687286199</v>
      </c>
      <c r="G162" s="13">
        <v>3836070626</v>
      </c>
      <c r="H162" s="13">
        <v>996029964</v>
      </c>
      <c r="I162" s="13">
        <v>112</v>
      </c>
      <c r="J162" s="13">
        <v>0</v>
      </c>
    </row>
    <row r="163" spans="1:15" ht="13.5" customHeight="1">
      <c r="A163" s="83" t="s">
        <v>590</v>
      </c>
      <c r="B163" s="13">
        <v>273365756</v>
      </c>
      <c r="C163" s="13">
        <v>17665499</v>
      </c>
      <c r="D163" s="13">
        <v>23157265</v>
      </c>
      <c r="E163" s="13">
        <v>122776263</v>
      </c>
      <c r="F163" s="13">
        <v>216917194</v>
      </c>
      <c r="G163" s="13">
        <v>213312950</v>
      </c>
      <c r="H163" s="13">
        <v>195571926</v>
      </c>
      <c r="I163" s="13">
        <v>2</v>
      </c>
      <c r="J163" s="13">
        <v>0</v>
      </c>
    </row>
    <row r="164" spans="1:15" ht="13.5" customHeight="1">
      <c r="A164" s="84" t="s">
        <v>591</v>
      </c>
      <c r="B164" s="13">
        <v>273365756</v>
      </c>
      <c r="C164" s="13">
        <v>17665499</v>
      </c>
      <c r="D164" s="13">
        <v>23157265</v>
      </c>
      <c r="E164" s="13">
        <v>122776263</v>
      </c>
      <c r="F164" s="13">
        <v>216917194</v>
      </c>
      <c r="G164" s="13">
        <v>213312950</v>
      </c>
      <c r="H164" s="13">
        <v>195571926</v>
      </c>
      <c r="I164" s="13">
        <v>2</v>
      </c>
      <c r="J164" s="13">
        <v>0</v>
      </c>
    </row>
    <row r="165" spans="1:15" ht="13.5" customHeight="1">
      <c r="A165" s="83" t="s">
        <v>609</v>
      </c>
      <c r="B165" s="13">
        <v>3084836192</v>
      </c>
      <c r="C165" s="13">
        <v>497880981</v>
      </c>
      <c r="D165" s="13">
        <v>522359034</v>
      </c>
      <c r="E165" s="13">
        <v>628877036</v>
      </c>
      <c r="F165" s="13">
        <v>633289623</v>
      </c>
      <c r="G165" s="13">
        <v>3401718857</v>
      </c>
      <c r="H165" s="13">
        <v>658554082</v>
      </c>
      <c r="I165" s="13">
        <v>10</v>
      </c>
      <c r="J165" s="13">
        <v>0</v>
      </c>
    </row>
    <row r="166" spans="1:15" ht="13.5" customHeight="1">
      <c r="A166" s="84" t="s">
        <v>370</v>
      </c>
      <c r="B166" s="13">
        <v>3084836192</v>
      </c>
      <c r="C166" s="13">
        <v>497880981</v>
      </c>
      <c r="D166" s="13">
        <v>522359034</v>
      </c>
      <c r="E166" s="13">
        <v>628877036</v>
      </c>
      <c r="F166" s="13">
        <v>633289623</v>
      </c>
      <c r="G166" s="13">
        <v>3401718857</v>
      </c>
      <c r="H166" s="13">
        <v>658554082</v>
      </c>
      <c r="I166" s="13">
        <v>10</v>
      </c>
      <c r="J166" s="13">
        <v>0</v>
      </c>
    </row>
    <row r="167" spans="1:15" ht="13.5" customHeight="1">
      <c r="A167" s="83" t="s">
        <v>592</v>
      </c>
      <c r="B167" s="13">
        <v>107599525</v>
      </c>
      <c r="C167" s="13">
        <v>129884612</v>
      </c>
      <c r="D167" s="13">
        <v>96695028</v>
      </c>
      <c r="E167" s="13">
        <v>116405640</v>
      </c>
      <c r="F167" s="13">
        <v>122470066</v>
      </c>
      <c r="G167" s="13">
        <v>131566979</v>
      </c>
      <c r="H167" s="13">
        <v>121801246</v>
      </c>
      <c r="I167" s="13">
        <v>11</v>
      </c>
      <c r="J167" s="13">
        <v>0</v>
      </c>
    </row>
    <row r="168" spans="1:15" ht="13.5" customHeight="1">
      <c r="A168" s="84" t="s">
        <v>370</v>
      </c>
      <c r="B168" s="13">
        <v>107599525</v>
      </c>
      <c r="C168" s="13">
        <v>129884612</v>
      </c>
      <c r="D168" s="13">
        <v>96695028</v>
      </c>
      <c r="E168" s="13">
        <v>116405640</v>
      </c>
      <c r="F168" s="13">
        <v>122470066</v>
      </c>
      <c r="G168" s="13">
        <v>131566979</v>
      </c>
      <c r="H168" s="13">
        <v>121801246</v>
      </c>
      <c r="I168" s="13">
        <v>11</v>
      </c>
      <c r="J168" s="13">
        <v>0</v>
      </c>
    </row>
    <row r="169" spans="1:15" ht="13.5" customHeight="1">
      <c r="A169" s="83" t="s">
        <v>610</v>
      </c>
      <c r="B169" s="13">
        <v>2140690</v>
      </c>
      <c r="C169" s="13">
        <v>2173643</v>
      </c>
      <c r="D169" s="13">
        <v>2169225</v>
      </c>
      <c r="E169" s="13">
        <v>3011886</v>
      </c>
      <c r="F169" s="13">
        <v>2929026</v>
      </c>
      <c r="G169" s="13">
        <v>3075940</v>
      </c>
      <c r="H169" s="13">
        <v>3120163</v>
      </c>
      <c r="I169" s="13">
        <v>1</v>
      </c>
      <c r="J169" s="13">
        <v>0</v>
      </c>
    </row>
    <row r="170" spans="1:15" ht="13.5" customHeight="1">
      <c r="A170" s="84" t="s">
        <v>611</v>
      </c>
      <c r="B170" s="13">
        <v>2140690</v>
      </c>
      <c r="C170" s="13">
        <v>2173643</v>
      </c>
      <c r="D170" s="13">
        <v>2169225</v>
      </c>
      <c r="E170" s="13">
        <v>3011886</v>
      </c>
      <c r="F170" s="13">
        <v>2929026</v>
      </c>
      <c r="G170" s="13">
        <v>3075940</v>
      </c>
      <c r="H170" s="13">
        <v>3120163</v>
      </c>
      <c r="I170" s="13">
        <v>1</v>
      </c>
      <c r="J170" s="13">
        <v>0</v>
      </c>
    </row>
    <row r="171" spans="1:15" ht="13.5" customHeight="1">
      <c r="A171" s="83" t="s">
        <v>542</v>
      </c>
      <c r="B171" s="13">
        <v>5416</v>
      </c>
      <c r="C171" s="13">
        <v>13005</v>
      </c>
      <c r="D171" s="13">
        <v>9236</v>
      </c>
      <c r="E171" s="13">
        <v>9054</v>
      </c>
      <c r="F171" s="13">
        <v>10076</v>
      </c>
      <c r="G171" s="13">
        <v>-699869664</v>
      </c>
      <c r="H171" s="13">
        <v>-699856373</v>
      </c>
      <c r="I171" s="13">
        <v>3</v>
      </c>
      <c r="J171" s="13">
        <v>0</v>
      </c>
    </row>
    <row r="172" spans="1:15" ht="13.5" customHeight="1">
      <c r="A172" s="84" t="s">
        <v>370</v>
      </c>
      <c r="B172" s="13">
        <v>5416</v>
      </c>
      <c r="C172" s="13">
        <v>13005</v>
      </c>
      <c r="D172" s="13">
        <v>9236</v>
      </c>
      <c r="E172" s="13">
        <v>9054</v>
      </c>
      <c r="F172" s="13">
        <v>10076</v>
      </c>
      <c r="G172" s="13">
        <v>-699869664</v>
      </c>
      <c r="H172" s="13">
        <v>-699856373</v>
      </c>
      <c r="I172" s="13">
        <v>3</v>
      </c>
      <c r="J172" s="13">
        <v>0</v>
      </c>
    </row>
    <row r="173" spans="1:15" ht="13.5" customHeight="1">
      <c r="A173" s="83" t="s">
        <v>612</v>
      </c>
      <c r="B173" s="13">
        <v>4570841</v>
      </c>
      <c r="C173" s="13">
        <v>4437309</v>
      </c>
      <c r="D173" s="13">
        <v>4379762</v>
      </c>
      <c r="E173" s="13">
        <v>4801060</v>
      </c>
      <c r="F173" s="13">
        <v>5447512</v>
      </c>
      <c r="G173" s="13">
        <v>5817327</v>
      </c>
      <c r="H173" s="13">
        <v>5718803</v>
      </c>
      <c r="I173" s="13">
        <v>1</v>
      </c>
      <c r="J173" s="13">
        <v>0</v>
      </c>
    </row>
    <row r="174" spans="1:15" ht="13.5" customHeight="1">
      <c r="A174" s="84" t="s">
        <v>594</v>
      </c>
      <c r="B174" s="13">
        <v>4570841</v>
      </c>
      <c r="C174" s="13">
        <v>4437309</v>
      </c>
      <c r="D174" s="13">
        <v>4379762</v>
      </c>
      <c r="E174" s="13">
        <v>4801060</v>
      </c>
      <c r="F174" s="13">
        <v>5447512</v>
      </c>
      <c r="G174" s="13">
        <v>5817327</v>
      </c>
      <c r="H174" s="13">
        <v>5718803</v>
      </c>
      <c r="I174" s="13">
        <v>1</v>
      </c>
      <c r="J174" s="13">
        <v>0</v>
      </c>
    </row>
    <row r="175" spans="1:15" ht="13.5" customHeight="1">
      <c r="A175" s="83" t="s">
        <v>613</v>
      </c>
      <c r="B175" s="13"/>
      <c r="C175" s="13"/>
      <c r="D175" s="13">
        <v>0</v>
      </c>
      <c r="E175" s="13">
        <v>2548</v>
      </c>
      <c r="F175" s="13">
        <v>21744</v>
      </c>
      <c r="G175" s="13">
        <v>8603</v>
      </c>
      <c r="H175" s="13">
        <v>10483</v>
      </c>
      <c r="I175" s="13">
        <v>1</v>
      </c>
      <c r="J175" s="13">
        <v>0</v>
      </c>
      <c r="O175" s="48"/>
    </row>
    <row r="176" spans="1:15" ht="13.5" customHeight="1">
      <c r="A176" s="84" t="s">
        <v>370</v>
      </c>
      <c r="B176" s="13"/>
      <c r="C176" s="13"/>
      <c r="D176" s="13">
        <v>0</v>
      </c>
      <c r="E176" s="13">
        <v>2548</v>
      </c>
      <c r="F176" s="13">
        <v>21744</v>
      </c>
      <c r="G176" s="13">
        <v>8603</v>
      </c>
      <c r="H176" s="13">
        <v>10483</v>
      </c>
      <c r="I176" s="13">
        <v>1</v>
      </c>
      <c r="J176" s="13">
        <v>0</v>
      </c>
    </row>
    <row r="177" spans="1:10" ht="13.5" customHeight="1">
      <c r="A177" s="83" t="s">
        <v>614</v>
      </c>
      <c r="B177" s="13">
        <v>3468758</v>
      </c>
      <c r="C177" s="13">
        <v>3209340</v>
      </c>
      <c r="D177" s="13">
        <v>3328739</v>
      </c>
      <c r="E177" s="13">
        <v>3650194</v>
      </c>
      <c r="F177" s="13">
        <v>3604833</v>
      </c>
      <c r="G177" s="13">
        <v>3684004</v>
      </c>
      <c r="H177" s="13">
        <v>3564086</v>
      </c>
      <c r="I177" s="13">
        <v>1</v>
      </c>
      <c r="J177" s="13">
        <v>0</v>
      </c>
    </row>
    <row r="178" spans="1:10" ht="13.5" customHeight="1">
      <c r="A178" s="84" t="s">
        <v>370</v>
      </c>
      <c r="B178" s="13">
        <v>3468758</v>
      </c>
      <c r="C178" s="13">
        <v>3209340</v>
      </c>
      <c r="D178" s="13">
        <v>3328739</v>
      </c>
      <c r="E178" s="13">
        <v>3650194</v>
      </c>
      <c r="F178" s="13">
        <v>3604833</v>
      </c>
      <c r="G178" s="13">
        <v>3684004</v>
      </c>
      <c r="H178" s="13">
        <v>3564086</v>
      </c>
      <c r="I178" s="13">
        <v>1</v>
      </c>
      <c r="J178" s="13">
        <v>0</v>
      </c>
    </row>
    <row r="179" spans="1:10" ht="13.5" customHeight="1">
      <c r="A179" s="83" t="s">
        <v>615</v>
      </c>
      <c r="B179" s="13">
        <v>1554411</v>
      </c>
      <c r="C179" s="13">
        <v>1615472</v>
      </c>
      <c r="D179" s="13">
        <v>2027184</v>
      </c>
      <c r="E179" s="13">
        <v>1327705</v>
      </c>
      <c r="F179" s="13">
        <v>2435841</v>
      </c>
      <c r="G179" s="13">
        <v>2470086</v>
      </c>
      <c r="H179" s="13">
        <v>2488596</v>
      </c>
      <c r="I179" s="13">
        <v>1</v>
      </c>
      <c r="J179" s="13">
        <v>0</v>
      </c>
    </row>
    <row r="180" spans="1:10" ht="13.5" customHeight="1">
      <c r="A180" s="84" t="s">
        <v>370</v>
      </c>
      <c r="B180" s="13">
        <v>1554411</v>
      </c>
      <c r="C180" s="13">
        <v>1615472</v>
      </c>
      <c r="D180" s="13">
        <v>2027184</v>
      </c>
      <c r="E180" s="13">
        <v>1327705</v>
      </c>
      <c r="F180" s="13">
        <v>2435841</v>
      </c>
      <c r="G180" s="13">
        <v>2470086</v>
      </c>
      <c r="H180" s="13">
        <v>2488596</v>
      </c>
      <c r="I180" s="13">
        <v>1</v>
      </c>
      <c r="J180" s="13">
        <v>0</v>
      </c>
    </row>
    <row r="181" spans="1:10" ht="13.5" customHeight="1">
      <c r="A181" s="83" t="s">
        <v>616</v>
      </c>
      <c r="B181" s="13">
        <v>2522685</v>
      </c>
      <c r="C181" s="13">
        <v>2615606</v>
      </c>
      <c r="D181" s="13">
        <v>3337652</v>
      </c>
      <c r="E181" s="13">
        <v>3359791</v>
      </c>
      <c r="F181" s="13">
        <v>3388168</v>
      </c>
      <c r="G181" s="13">
        <v>8201142</v>
      </c>
      <c r="H181" s="13">
        <v>10463631</v>
      </c>
      <c r="I181" s="13">
        <v>2</v>
      </c>
      <c r="J181" s="13">
        <v>0</v>
      </c>
    </row>
    <row r="182" spans="1:10" ht="13.5" customHeight="1">
      <c r="A182" s="84" t="s">
        <v>370</v>
      </c>
      <c r="B182" s="13">
        <v>2522685</v>
      </c>
      <c r="C182" s="13">
        <v>2615606</v>
      </c>
      <c r="D182" s="13">
        <v>3337652</v>
      </c>
      <c r="E182" s="13">
        <v>3359791</v>
      </c>
      <c r="F182" s="13">
        <v>3388168</v>
      </c>
      <c r="G182" s="13">
        <v>8201142</v>
      </c>
      <c r="H182" s="13">
        <v>10463631</v>
      </c>
      <c r="I182" s="13">
        <v>2</v>
      </c>
      <c r="J182" s="13">
        <v>0</v>
      </c>
    </row>
    <row r="183" spans="1:10" ht="13.5" customHeight="1">
      <c r="A183" s="83" t="s">
        <v>617</v>
      </c>
      <c r="B183" s="13"/>
      <c r="C183" s="13"/>
      <c r="D183" s="13">
        <v>230411</v>
      </c>
      <c r="E183" s="13">
        <v>989577</v>
      </c>
      <c r="F183" s="13">
        <v>1622821</v>
      </c>
      <c r="G183" s="13">
        <v>5222058</v>
      </c>
      <c r="H183" s="13">
        <v>5777879</v>
      </c>
      <c r="I183" s="13">
        <v>2</v>
      </c>
      <c r="J183" s="13">
        <v>0</v>
      </c>
    </row>
    <row r="184" spans="1:10" ht="13.5" customHeight="1">
      <c r="A184" s="84" t="s">
        <v>370</v>
      </c>
      <c r="B184" s="13"/>
      <c r="C184" s="13"/>
      <c r="D184" s="13">
        <v>230411</v>
      </c>
      <c r="E184" s="13">
        <v>989577</v>
      </c>
      <c r="F184" s="13">
        <v>1622821</v>
      </c>
      <c r="G184" s="13">
        <v>5222058</v>
      </c>
      <c r="H184" s="13">
        <v>5777879</v>
      </c>
      <c r="I184" s="13">
        <v>2</v>
      </c>
      <c r="J184" s="13">
        <v>0</v>
      </c>
    </row>
    <row r="185" spans="1:10" ht="13.5" customHeight="1">
      <c r="A185" s="83" t="s">
        <v>618</v>
      </c>
      <c r="B185" s="13">
        <v>1629700</v>
      </c>
      <c r="C185" s="13">
        <v>1858534</v>
      </c>
      <c r="D185" s="13">
        <v>2714649</v>
      </c>
      <c r="E185" s="13">
        <v>2596925</v>
      </c>
      <c r="F185" s="13">
        <v>2752322</v>
      </c>
      <c r="G185" s="13">
        <v>3161016</v>
      </c>
      <c r="H185" s="13">
        <v>3495022</v>
      </c>
      <c r="I185" s="13">
        <v>2</v>
      </c>
      <c r="J185" s="13">
        <v>0</v>
      </c>
    </row>
    <row r="186" spans="1:10" ht="13.5" customHeight="1">
      <c r="A186" s="84" t="s">
        <v>370</v>
      </c>
      <c r="B186" s="13">
        <v>1629700</v>
      </c>
      <c r="C186" s="13">
        <v>1858534</v>
      </c>
      <c r="D186" s="13">
        <v>2714649</v>
      </c>
      <c r="E186" s="13">
        <v>2596925</v>
      </c>
      <c r="F186" s="13">
        <v>2752322</v>
      </c>
      <c r="G186" s="13">
        <v>3161016</v>
      </c>
      <c r="H186" s="13">
        <v>3495022</v>
      </c>
      <c r="I186" s="13">
        <v>2</v>
      </c>
      <c r="J186" s="13">
        <v>0</v>
      </c>
    </row>
    <row r="187" spans="1:10" ht="13.5" customHeight="1">
      <c r="A187" s="83" t="s">
        <v>619</v>
      </c>
      <c r="B187" s="13">
        <v>10646155</v>
      </c>
      <c r="C187" s="13">
        <v>6647392</v>
      </c>
      <c r="D187" s="13">
        <v>9432061</v>
      </c>
      <c r="E187" s="13">
        <v>14444999</v>
      </c>
      <c r="F187" s="13">
        <v>20802722</v>
      </c>
      <c r="G187" s="13">
        <v>18273026</v>
      </c>
      <c r="H187" s="13">
        <v>28694400</v>
      </c>
      <c r="I187" s="13">
        <v>8</v>
      </c>
      <c r="J187" s="13">
        <v>0</v>
      </c>
    </row>
    <row r="188" spans="1:10" ht="13.5" customHeight="1">
      <c r="A188" s="84" t="s">
        <v>594</v>
      </c>
      <c r="B188" s="13">
        <v>2845993</v>
      </c>
      <c r="C188" s="13">
        <v>2883454</v>
      </c>
      <c r="D188" s="13">
        <v>3008796</v>
      </c>
      <c r="E188" s="13">
        <v>2956316</v>
      </c>
      <c r="F188" s="13">
        <v>2739119</v>
      </c>
      <c r="G188" s="13">
        <v>3008046</v>
      </c>
      <c r="H188" s="13">
        <v>3093269</v>
      </c>
      <c r="I188" s="13">
        <v>1</v>
      </c>
      <c r="J188" s="13">
        <v>0</v>
      </c>
    </row>
    <row r="189" spans="1:10" ht="13.5" customHeight="1">
      <c r="A189" s="84" t="s">
        <v>370</v>
      </c>
      <c r="B189" s="13">
        <v>247965</v>
      </c>
      <c r="C189" s="13">
        <v>414598</v>
      </c>
      <c r="D189" s="13">
        <v>1022388</v>
      </c>
      <c r="E189" s="13">
        <v>997007</v>
      </c>
      <c r="F189" s="13">
        <v>702874</v>
      </c>
      <c r="G189" s="13">
        <v>1026389</v>
      </c>
      <c r="H189" s="13">
        <v>1067558</v>
      </c>
      <c r="I189" s="13">
        <v>2</v>
      </c>
      <c r="J189" s="13">
        <v>0</v>
      </c>
    </row>
    <row r="190" spans="1:10" ht="13.5" customHeight="1">
      <c r="A190" s="84" t="s">
        <v>620</v>
      </c>
      <c r="B190" s="13">
        <v>4974784</v>
      </c>
      <c r="C190" s="13">
        <v>89990</v>
      </c>
      <c r="D190" s="13">
        <v>235464</v>
      </c>
      <c r="E190" s="13">
        <v>4161994</v>
      </c>
      <c r="F190" s="13">
        <v>5403094</v>
      </c>
      <c r="G190" s="13">
        <v>5762299</v>
      </c>
      <c r="H190" s="13">
        <v>5461117</v>
      </c>
      <c r="I190" s="13">
        <v>2</v>
      </c>
      <c r="J190" s="13">
        <v>0</v>
      </c>
    </row>
    <row r="191" spans="1:10" ht="13.5" customHeight="1">
      <c r="A191" s="84" t="s">
        <v>621</v>
      </c>
      <c r="B191" s="13"/>
      <c r="C191" s="13"/>
      <c r="D191" s="13">
        <v>7070</v>
      </c>
      <c r="E191" s="13">
        <v>467696</v>
      </c>
      <c r="F191" s="13">
        <v>1051493</v>
      </c>
      <c r="G191" s="13">
        <v>1460019</v>
      </c>
      <c r="H191" s="13">
        <v>2097111</v>
      </c>
      <c r="I191" s="13">
        <v>1</v>
      </c>
      <c r="J191" s="13">
        <v>0</v>
      </c>
    </row>
    <row r="192" spans="1:10" ht="13.5" customHeight="1">
      <c r="A192" s="84" t="s">
        <v>622</v>
      </c>
      <c r="B192" s="13">
        <v>2577413</v>
      </c>
      <c r="C192" s="13">
        <v>3259350</v>
      </c>
      <c r="D192" s="13">
        <v>5158343</v>
      </c>
      <c r="E192" s="13">
        <v>5861986</v>
      </c>
      <c r="F192" s="13">
        <v>10906142</v>
      </c>
      <c r="G192" s="13">
        <v>7016273</v>
      </c>
      <c r="H192" s="13">
        <v>16975345</v>
      </c>
      <c r="I192" s="13">
        <v>2</v>
      </c>
      <c r="J192" s="13">
        <v>0</v>
      </c>
    </row>
    <row r="193" spans="1:10" ht="13.5" customHeight="1">
      <c r="A193" s="83" t="s">
        <v>623</v>
      </c>
      <c r="B193" s="13">
        <v>116638454</v>
      </c>
      <c r="C193" s="13">
        <v>111862693</v>
      </c>
      <c r="D193" s="13">
        <v>108603135</v>
      </c>
      <c r="E193" s="13">
        <v>112468102</v>
      </c>
      <c r="F193" s="13">
        <v>122505681</v>
      </c>
      <c r="G193" s="13">
        <v>142686662</v>
      </c>
      <c r="H193" s="13">
        <v>112899262</v>
      </c>
      <c r="I193" s="13">
        <v>11</v>
      </c>
      <c r="J193" s="13">
        <v>0</v>
      </c>
    </row>
    <row r="194" spans="1:10" ht="13.5" customHeight="1">
      <c r="A194" s="84" t="s">
        <v>624</v>
      </c>
      <c r="B194" s="13">
        <v>10328787</v>
      </c>
      <c r="C194" s="13">
        <v>10327030</v>
      </c>
      <c r="D194" s="13">
        <v>10369678</v>
      </c>
      <c r="E194" s="13">
        <v>10827077</v>
      </c>
      <c r="F194" s="13">
        <v>8600317</v>
      </c>
      <c r="G194" s="13">
        <v>8758181</v>
      </c>
      <c r="H194" s="13">
        <v>8411288</v>
      </c>
      <c r="I194" s="13">
        <v>1</v>
      </c>
      <c r="J194" s="13">
        <v>0</v>
      </c>
    </row>
    <row r="195" spans="1:10" ht="13.5" customHeight="1">
      <c r="A195" s="84" t="s">
        <v>594</v>
      </c>
      <c r="B195" s="13">
        <v>13378227</v>
      </c>
      <c r="C195" s="13">
        <v>11374059</v>
      </c>
      <c r="D195" s="13">
        <v>12672283</v>
      </c>
      <c r="E195" s="13">
        <v>12429577</v>
      </c>
      <c r="F195" s="13">
        <v>10968733</v>
      </c>
      <c r="G195" s="13">
        <v>15230796</v>
      </c>
      <c r="H195" s="13">
        <v>10181633</v>
      </c>
      <c r="I195" s="13">
        <v>1</v>
      </c>
      <c r="J195" s="13">
        <v>0</v>
      </c>
    </row>
    <row r="196" spans="1:10" ht="13.5" customHeight="1">
      <c r="A196" s="84" t="s">
        <v>370</v>
      </c>
      <c r="B196" s="13">
        <v>3104705</v>
      </c>
      <c r="C196" s="13">
        <v>3410750</v>
      </c>
      <c r="D196" s="13">
        <v>3445863</v>
      </c>
      <c r="E196" s="13">
        <v>2646262</v>
      </c>
      <c r="F196" s="13">
        <v>2678673</v>
      </c>
      <c r="G196" s="13">
        <v>3314658</v>
      </c>
      <c r="H196" s="13">
        <v>4182963</v>
      </c>
      <c r="I196" s="13">
        <v>2</v>
      </c>
      <c r="J196" s="13">
        <v>0</v>
      </c>
    </row>
    <row r="197" spans="1:10" ht="13.5" customHeight="1">
      <c r="A197" s="84" t="s">
        <v>625</v>
      </c>
      <c r="B197" s="13">
        <v>46859706</v>
      </c>
      <c r="C197" s="13">
        <v>46497275</v>
      </c>
      <c r="D197" s="13">
        <v>45448876</v>
      </c>
      <c r="E197" s="13">
        <v>49044060</v>
      </c>
      <c r="F197" s="13">
        <v>49543694</v>
      </c>
      <c r="G197" s="13">
        <v>65722669</v>
      </c>
      <c r="H197" s="13">
        <v>53926788</v>
      </c>
      <c r="I197" s="13">
        <v>1</v>
      </c>
      <c r="J197" s="13">
        <v>0</v>
      </c>
    </row>
    <row r="198" spans="1:10" ht="13.5" customHeight="1">
      <c r="A198" s="84" t="s">
        <v>600</v>
      </c>
      <c r="B198" s="13">
        <v>5895626</v>
      </c>
      <c r="C198" s="13">
        <v>5930898</v>
      </c>
      <c r="D198" s="13">
        <v>5927748</v>
      </c>
      <c r="E198" s="13">
        <v>6203050</v>
      </c>
      <c r="F198" s="13">
        <v>6198761</v>
      </c>
      <c r="G198" s="13">
        <v>5919275</v>
      </c>
      <c r="H198" s="13">
        <v>5607735</v>
      </c>
      <c r="I198" s="13">
        <v>1</v>
      </c>
      <c r="J198" s="13">
        <v>0</v>
      </c>
    </row>
    <row r="199" spans="1:10" ht="13.5" customHeight="1">
      <c r="A199" s="84" t="s">
        <v>621</v>
      </c>
      <c r="B199" s="13">
        <v>37071403</v>
      </c>
      <c r="C199" s="13">
        <v>34322681</v>
      </c>
      <c r="D199" s="13">
        <v>30738687</v>
      </c>
      <c r="E199" s="13">
        <v>31318076</v>
      </c>
      <c r="F199" s="13">
        <v>44515503</v>
      </c>
      <c r="G199" s="13">
        <v>43741083</v>
      </c>
      <c r="H199" s="13">
        <v>30588855</v>
      </c>
      <c r="I199" s="13">
        <v>5</v>
      </c>
      <c r="J199" s="13">
        <v>0</v>
      </c>
    </row>
    <row r="200" spans="1:10" ht="13.5" customHeight="1">
      <c r="A200" s="83" t="s">
        <v>626</v>
      </c>
      <c r="B200" s="13">
        <v>255701</v>
      </c>
      <c r="C200" s="13">
        <v>306663</v>
      </c>
      <c r="D200" s="13">
        <v>302458</v>
      </c>
      <c r="E200" s="13">
        <v>429850</v>
      </c>
      <c r="F200" s="13">
        <v>825670</v>
      </c>
      <c r="G200" s="13">
        <v>833770</v>
      </c>
      <c r="H200" s="13">
        <v>1041636</v>
      </c>
      <c r="I200" s="13">
        <v>1</v>
      </c>
      <c r="J200" s="13">
        <v>0</v>
      </c>
    </row>
    <row r="201" spans="1:10" ht="13.5" customHeight="1">
      <c r="A201" s="84" t="s">
        <v>370</v>
      </c>
      <c r="B201" s="13">
        <v>255701</v>
      </c>
      <c r="C201" s="13">
        <v>306663</v>
      </c>
      <c r="D201" s="13">
        <v>302458</v>
      </c>
      <c r="E201" s="13">
        <v>429850</v>
      </c>
      <c r="F201" s="13">
        <v>825670</v>
      </c>
      <c r="G201" s="13">
        <v>833770</v>
      </c>
      <c r="H201" s="13">
        <v>1041636</v>
      </c>
      <c r="I201" s="13">
        <v>1</v>
      </c>
      <c r="J201" s="13">
        <v>0</v>
      </c>
    </row>
    <row r="202" spans="1:10" ht="13.5" customHeight="1">
      <c r="A202" s="83" t="s">
        <v>627</v>
      </c>
      <c r="B202" s="13">
        <v>6505</v>
      </c>
      <c r="C202" s="13">
        <v>11663</v>
      </c>
      <c r="D202" s="13">
        <v>9349</v>
      </c>
      <c r="E202" s="13">
        <v>9284</v>
      </c>
      <c r="F202" s="13">
        <v>10678</v>
      </c>
      <c r="G202" s="13">
        <v>11240</v>
      </c>
      <c r="H202" s="13">
        <v>11565</v>
      </c>
      <c r="I202" s="13">
        <v>1</v>
      </c>
      <c r="J202" s="13">
        <v>0</v>
      </c>
    </row>
    <row r="203" spans="1:10" ht="13.5" customHeight="1">
      <c r="A203" s="84" t="s">
        <v>370</v>
      </c>
      <c r="B203" s="13">
        <v>6505</v>
      </c>
      <c r="C203" s="13">
        <v>11663</v>
      </c>
      <c r="D203" s="13">
        <v>9349</v>
      </c>
      <c r="E203" s="13">
        <v>9284</v>
      </c>
      <c r="F203" s="13">
        <v>10678</v>
      </c>
      <c r="G203" s="13">
        <v>11240</v>
      </c>
      <c r="H203" s="13">
        <v>11565</v>
      </c>
      <c r="I203" s="13">
        <v>1</v>
      </c>
      <c r="J203" s="13">
        <v>0</v>
      </c>
    </row>
    <row r="204" spans="1:10" ht="13.5" customHeight="1">
      <c r="A204" s="83" t="s">
        <v>628</v>
      </c>
      <c r="B204" s="13">
        <v>75441837</v>
      </c>
      <c r="C204" s="13">
        <v>79899485</v>
      </c>
      <c r="D204" s="13">
        <v>74541765</v>
      </c>
      <c r="E204" s="13">
        <v>79498678</v>
      </c>
      <c r="F204" s="13">
        <v>81408881</v>
      </c>
      <c r="G204" s="13">
        <v>86890263</v>
      </c>
      <c r="H204" s="13">
        <v>88302088</v>
      </c>
      <c r="I204" s="13">
        <v>6</v>
      </c>
      <c r="J204" s="13">
        <v>0</v>
      </c>
    </row>
    <row r="205" spans="1:10" ht="13.5" customHeight="1">
      <c r="A205" s="84" t="s">
        <v>594</v>
      </c>
      <c r="B205" s="13">
        <v>66751810</v>
      </c>
      <c r="C205" s="13">
        <v>69921937</v>
      </c>
      <c r="D205" s="13">
        <v>64748446</v>
      </c>
      <c r="E205" s="13">
        <v>68843344</v>
      </c>
      <c r="F205" s="13">
        <v>68664593</v>
      </c>
      <c r="G205" s="13">
        <v>71296717</v>
      </c>
      <c r="H205" s="13">
        <v>73708695</v>
      </c>
      <c r="I205" s="13">
        <v>1</v>
      </c>
      <c r="J205" s="13">
        <v>0</v>
      </c>
    </row>
    <row r="206" spans="1:10" ht="13.5" customHeight="1">
      <c r="A206" s="84" t="s">
        <v>629</v>
      </c>
      <c r="B206" s="13">
        <v>3400715</v>
      </c>
      <c r="C206" s="13">
        <v>3856463</v>
      </c>
      <c r="D206" s="13">
        <v>3767342</v>
      </c>
      <c r="E206" s="13">
        <v>4126647</v>
      </c>
      <c r="F206" s="13">
        <v>4181143</v>
      </c>
      <c r="G206" s="13">
        <v>5487556</v>
      </c>
      <c r="H206" s="13">
        <v>5222312</v>
      </c>
      <c r="I206" s="13">
        <v>1</v>
      </c>
      <c r="J206" s="13">
        <v>0</v>
      </c>
    </row>
    <row r="207" spans="1:10" ht="13.5" customHeight="1">
      <c r="A207" s="84" t="s">
        <v>370</v>
      </c>
      <c r="B207" s="13">
        <v>5289312</v>
      </c>
      <c r="C207" s="13">
        <v>6121085</v>
      </c>
      <c r="D207" s="13">
        <v>6025977</v>
      </c>
      <c r="E207" s="13">
        <v>6528687</v>
      </c>
      <c r="F207" s="13">
        <v>8563145</v>
      </c>
      <c r="G207" s="13">
        <v>10105990</v>
      </c>
      <c r="H207" s="13">
        <v>9371081</v>
      </c>
      <c r="I207" s="13">
        <v>3</v>
      </c>
      <c r="J207" s="13">
        <v>0</v>
      </c>
    </row>
    <row r="208" spans="1:10" ht="13.5" customHeight="1">
      <c r="A208" s="84" t="s">
        <v>630</v>
      </c>
      <c r="B208" s="13"/>
      <c r="C208" s="13"/>
      <c r="D208" s="13"/>
      <c r="E208" s="13"/>
      <c r="F208" s="13"/>
      <c r="G208" s="13"/>
      <c r="H208" s="13"/>
      <c r="I208" s="13">
        <v>1</v>
      </c>
      <c r="J208" s="13">
        <v>0</v>
      </c>
    </row>
    <row r="209" spans="1:10" ht="13.5" customHeight="1">
      <c r="A209" s="83" t="s">
        <v>595</v>
      </c>
      <c r="B209" s="13">
        <v>212235602</v>
      </c>
      <c r="C209" s="13">
        <v>220611696</v>
      </c>
      <c r="D209" s="13">
        <v>226266559</v>
      </c>
      <c r="E209" s="13">
        <v>239292690</v>
      </c>
      <c r="F209" s="13">
        <v>246870234</v>
      </c>
      <c r="G209" s="13">
        <v>266808572</v>
      </c>
      <c r="H209" s="13">
        <v>257223146</v>
      </c>
      <c r="I209" s="13">
        <v>7</v>
      </c>
      <c r="J209" s="13">
        <v>0</v>
      </c>
    </row>
    <row r="210" spans="1:10" ht="13.5" customHeight="1">
      <c r="A210" s="84" t="s">
        <v>596</v>
      </c>
      <c r="B210" s="13">
        <v>209713983</v>
      </c>
      <c r="C210" s="13">
        <v>217900002</v>
      </c>
      <c r="D210" s="13">
        <v>223594437</v>
      </c>
      <c r="E210" s="13">
        <v>236169805</v>
      </c>
      <c r="F210" s="13">
        <v>243877035</v>
      </c>
      <c r="G210" s="13">
        <v>263737456</v>
      </c>
      <c r="H210" s="13">
        <v>252914121</v>
      </c>
      <c r="I210" s="13">
        <v>5</v>
      </c>
      <c r="J210" s="13">
        <v>0</v>
      </c>
    </row>
    <row r="211" spans="1:10" ht="13.5" customHeight="1">
      <c r="A211" s="84" t="s">
        <v>370</v>
      </c>
      <c r="B211" s="13">
        <v>2521619</v>
      </c>
      <c r="C211" s="13">
        <v>2711694</v>
      </c>
      <c r="D211" s="13">
        <v>2672122</v>
      </c>
      <c r="E211" s="13">
        <v>3122885</v>
      </c>
      <c r="F211" s="13">
        <v>2993199</v>
      </c>
      <c r="G211" s="13">
        <v>3071116</v>
      </c>
      <c r="H211" s="13">
        <v>4309025</v>
      </c>
      <c r="I211" s="13">
        <v>2</v>
      </c>
      <c r="J211" s="13">
        <v>0</v>
      </c>
    </row>
    <row r="212" spans="1:10" ht="13.5" customHeight="1">
      <c r="A212" s="83" t="s">
        <v>631</v>
      </c>
      <c r="B212" s="13">
        <v>2174842</v>
      </c>
      <c r="C212" s="13">
        <v>2586333</v>
      </c>
      <c r="D212" s="13">
        <v>2659474</v>
      </c>
      <c r="E212" s="13">
        <v>2815000</v>
      </c>
      <c r="F212" s="13">
        <v>2775657</v>
      </c>
      <c r="G212" s="13">
        <v>3216541</v>
      </c>
      <c r="H212" s="13">
        <v>2523293</v>
      </c>
      <c r="I212" s="13">
        <v>2</v>
      </c>
      <c r="J212" s="13">
        <v>0</v>
      </c>
    </row>
    <row r="213" spans="1:10" ht="13.5" customHeight="1">
      <c r="A213" s="84" t="s">
        <v>370</v>
      </c>
      <c r="B213" s="13">
        <v>2174842</v>
      </c>
      <c r="C213" s="13">
        <v>2586333</v>
      </c>
      <c r="D213" s="13">
        <v>2659474</v>
      </c>
      <c r="E213" s="13">
        <v>2815000</v>
      </c>
      <c r="F213" s="13">
        <v>2775657</v>
      </c>
      <c r="G213" s="13">
        <v>3216541</v>
      </c>
      <c r="H213" s="13">
        <v>2523293</v>
      </c>
      <c r="I213" s="13">
        <v>2</v>
      </c>
      <c r="J213" s="13">
        <v>0</v>
      </c>
    </row>
    <row r="214" spans="1:10" ht="13.5" customHeight="1">
      <c r="A214" s="83" t="s">
        <v>632</v>
      </c>
      <c r="B214" s="13"/>
      <c r="C214" s="13"/>
      <c r="D214" s="13">
        <v>10885</v>
      </c>
      <c r="E214" s="13">
        <v>82724</v>
      </c>
      <c r="F214" s="13">
        <v>501677</v>
      </c>
      <c r="G214" s="13">
        <v>662946</v>
      </c>
      <c r="H214" s="13">
        <v>807452</v>
      </c>
      <c r="I214" s="13">
        <v>2</v>
      </c>
      <c r="J214" s="13">
        <v>0</v>
      </c>
    </row>
    <row r="215" spans="1:10" ht="13.5" customHeight="1">
      <c r="A215" s="84" t="s">
        <v>370</v>
      </c>
      <c r="B215" s="13"/>
      <c r="C215" s="13"/>
      <c r="D215" s="13">
        <v>10885</v>
      </c>
      <c r="E215" s="13">
        <v>82724</v>
      </c>
      <c r="F215" s="13">
        <v>501677</v>
      </c>
      <c r="G215" s="13">
        <v>662946</v>
      </c>
      <c r="H215" s="13">
        <v>807452</v>
      </c>
      <c r="I215" s="13">
        <v>2</v>
      </c>
      <c r="J215" s="13">
        <v>0</v>
      </c>
    </row>
    <row r="216" spans="1:10" ht="13.5" customHeight="1">
      <c r="A216" s="83" t="s">
        <v>633</v>
      </c>
      <c r="B216" s="13">
        <v>2306</v>
      </c>
      <c r="C216" s="13">
        <v>719896</v>
      </c>
      <c r="D216" s="13">
        <v>2405786</v>
      </c>
      <c r="E216" s="13">
        <v>1280932</v>
      </c>
      <c r="F216" s="13">
        <v>327253</v>
      </c>
      <c r="G216" s="13">
        <v>493898</v>
      </c>
      <c r="H216" s="13">
        <v>639720</v>
      </c>
      <c r="I216" s="13">
        <v>1</v>
      </c>
      <c r="J216" s="13">
        <v>0</v>
      </c>
    </row>
    <row r="217" spans="1:10" ht="13.5" customHeight="1">
      <c r="A217" s="84" t="s">
        <v>370</v>
      </c>
      <c r="B217" s="13">
        <v>2306</v>
      </c>
      <c r="C217" s="13">
        <v>719896</v>
      </c>
      <c r="D217" s="13">
        <v>2405786</v>
      </c>
      <c r="E217" s="13">
        <v>1280932</v>
      </c>
      <c r="F217" s="13">
        <v>327253</v>
      </c>
      <c r="G217" s="13">
        <v>493898</v>
      </c>
      <c r="H217" s="13">
        <v>639720</v>
      </c>
      <c r="I217" s="13">
        <v>1</v>
      </c>
      <c r="J217" s="13">
        <v>0</v>
      </c>
    </row>
    <row r="218" spans="1:10" ht="13.5" customHeight="1">
      <c r="A218" s="83" t="s">
        <v>634</v>
      </c>
      <c r="B218" s="13">
        <v>288833</v>
      </c>
      <c r="C218" s="13">
        <v>993031</v>
      </c>
      <c r="D218" s="13">
        <v>1031380</v>
      </c>
      <c r="E218" s="13">
        <v>1095577</v>
      </c>
      <c r="F218" s="13">
        <v>1068589</v>
      </c>
      <c r="G218" s="13">
        <v>318738</v>
      </c>
      <c r="H218" s="13">
        <v>0</v>
      </c>
      <c r="I218" s="13">
        <v>1</v>
      </c>
      <c r="J218" s="13">
        <v>0</v>
      </c>
    </row>
    <row r="219" spans="1:10" ht="13.5" customHeight="1">
      <c r="A219" s="84" t="s">
        <v>635</v>
      </c>
      <c r="B219" s="13">
        <v>288833</v>
      </c>
      <c r="C219" s="13">
        <v>993031</v>
      </c>
      <c r="D219" s="13">
        <v>1031380</v>
      </c>
      <c r="E219" s="13">
        <v>1095577</v>
      </c>
      <c r="F219" s="13">
        <v>1068589</v>
      </c>
      <c r="G219" s="13">
        <v>318738</v>
      </c>
      <c r="H219" s="13">
        <v>0</v>
      </c>
      <c r="I219" s="13">
        <v>1</v>
      </c>
      <c r="J219" s="13">
        <v>0</v>
      </c>
    </row>
    <row r="220" spans="1:10" ht="13.5" customHeight="1">
      <c r="A220" s="83" t="s">
        <v>636</v>
      </c>
      <c r="B220" s="13"/>
      <c r="C220" s="13">
        <v>142286</v>
      </c>
      <c r="D220" s="13">
        <v>651452</v>
      </c>
      <c r="E220" s="13">
        <v>841257</v>
      </c>
      <c r="F220" s="13">
        <v>635940</v>
      </c>
      <c r="G220" s="13">
        <v>336175</v>
      </c>
      <c r="H220" s="13">
        <v>620383</v>
      </c>
      <c r="I220" s="13">
        <v>1</v>
      </c>
      <c r="J220" s="13">
        <v>0</v>
      </c>
    </row>
    <row r="221" spans="1:10" ht="13.5" customHeight="1">
      <c r="A221" s="84" t="s">
        <v>370</v>
      </c>
      <c r="B221" s="13"/>
      <c r="C221" s="13">
        <v>142286</v>
      </c>
      <c r="D221" s="13">
        <v>651452</v>
      </c>
      <c r="E221" s="13">
        <v>841257</v>
      </c>
      <c r="F221" s="13">
        <v>635940</v>
      </c>
      <c r="G221" s="13">
        <v>336175</v>
      </c>
      <c r="H221" s="13">
        <v>620383</v>
      </c>
      <c r="I221" s="13">
        <v>1</v>
      </c>
      <c r="J221" s="13">
        <v>0</v>
      </c>
    </row>
    <row r="222" spans="1:10" ht="13.5" customHeight="1">
      <c r="A222" s="83" t="s">
        <v>637</v>
      </c>
      <c r="B222" s="13">
        <v>21070856</v>
      </c>
      <c r="C222" s="13">
        <v>30386976</v>
      </c>
      <c r="D222" s="13">
        <v>25070220</v>
      </c>
      <c r="E222" s="13">
        <v>50465830</v>
      </c>
      <c r="F222" s="13">
        <v>52098241</v>
      </c>
      <c r="G222" s="13">
        <v>58812021</v>
      </c>
      <c r="H222" s="13">
        <v>45957739</v>
      </c>
      <c r="I222" s="13">
        <v>1</v>
      </c>
      <c r="J222" s="13">
        <v>0</v>
      </c>
    </row>
    <row r="223" spans="1:10" ht="14.5" customHeight="1">
      <c r="A223" s="84" t="s">
        <v>635</v>
      </c>
      <c r="B223" s="13">
        <v>21070856</v>
      </c>
      <c r="C223" s="13">
        <v>30386976</v>
      </c>
      <c r="D223" s="13">
        <v>25070220</v>
      </c>
      <c r="E223" s="13">
        <v>50465830</v>
      </c>
      <c r="F223" s="13">
        <v>52098241</v>
      </c>
      <c r="G223" s="13">
        <v>58812021</v>
      </c>
      <c r="H223" s="13">
        <v>45957739</v>
      </c>
      <c r="I223" s="13">
        <v>1</v>
      </c>
      <c r="J223" s="13">
        <v>0</v>
      </c>
    </row>
    <row r="224" spans="1:10" ht="13.5" customHeight="1">
      <c r="A224" s="83" t="s">
        <v>638</v>
      </c>
      <c r="B224" s="13"/>
      <c r="C224" s="13"/>
      <c r="D224" s="13">
        <v>247867</v>
      </c>
      <c r="E224" s="13">
        <v>2494074</v>
      </c>
      <c r="F224" s="13">
        <v>3871203</v>
      </c>
      <c r="G224" s="13">
        <v>5241928</v>
      </c>
      <c r="H224" s="13">
        <v>9199750</v>
      </c>
      <c r="I224" s="13">
        <v>1</v>
      </c>
      <c r="J224" s="13">
        <v>0</v>
      </c>
    </row>
    <row r="225" spans="1:10" ht="13.5" customHeight="1">
      <c r="A225" s="84" t="s">
        <v>635</v>
      </c>
      <c r="B225" s="13"/>
      <c r="C225" s="13"/>
      <c r="D225" s="13">
        <v>247867</v>
      </c>
      <c r="E225" s="13">
        <v>2494074</v>
      </c>
      <c r="F225" s="13">
        <v>3871203</v>
      </c>
      <c r="G225" s="13">
        <v>5241928</v>
      </c>
      <c r="H225" s="13">
        <v>9199750</v>
      </c>
      <c r="I225" s="13">
        <v>1</v>
      </c>
      <c r="J225" s="13">
        <v>0</v>
      </c>
    </row>
    <row r="226" spans="1:10" ht="13.5" customHeight="1">
      <c r="A226" s="83" t="s">
        <v>639</v>
      </c>
      <c r="B226" s="13"/>
      <c r="C226" s="13"/>
      <c r="D226" s="13"/>
      <c r="E226" s="13"/>
      <c r="F226" s="13">
        <v>13381</v>
      </c>
      <c r="G226" s="13">
        <v>192734</v>
      </c>
      <c r="H226" s="13">
        <v>560861</v>
      </c>
      <c r="I226" s="13">
        <v>2</v>
      </c>
      <c r="J226" s="13">
        <v>0</v>
      </c>
    </row>
    <row r="227" spans="1:10" ht="13.5" customHeight="1">
      <c r="A227" s="84" t="s">
        <v>370</v>
      </c>
      <c r="B227" s="13"/>
      <c r="C227" s="13"/>
      <c r="D227" s="13"/>
      <c r="E227" s="13"/>
      <c r="F227" s="13">
        <v>13381</v>
      </c>
      <c r="G227" s="13">
        <v>192734</v>
      </c>
      <c r="H227" s="13">
        <v>560861</v>
      </c>
      <c r="I227" s="13">
        <v>2</v>
      </c>
      <c r="J227" s="13">
        <v>0</v>
      </c>
    </row>
    <row r="228" spans="1:10" ht="13.5" customHeight="1">
      <c r="A228" s="83" t="s">
        <v>640</v>
      </c>
      <c r="B228" s="13"/>
      <c r="C228" s="13"/>
      <c r="D228" s="13"/>
      <c r="E228" s="13"/>
      <c r="F228" s="13"/>
      <c r="G228" s="13"/>
      <c r="H228" s="13"/>
      <c r="I228" s="13">
        <v>1</v>
      </c>
      <c r="J228" s="13">
        <v>0</v>
      </c>
    </row>
    <row r="229" spans="1:10" ht="13.5" customHeight="1">
      <c r="A229" s="84" t="s">
        <v>370</v>
      </c>
      <c r="B229" s="13"/>
      <c r="C229" s="13"/>
      <c r="D229" s="13"/>
      <c r="E229" s="13"/>
      <c r="F229" s="13"/>
      <c r="G229" s="13"/>
      <c r="H229" s="13"/>
      <c r="I229" s="13">
        <v>1</v>
      </c>
      <c r="J229" s="13">
        <v>0</v>
      </c>
    </row>
    <row r="230" spans="1:10" ht="13.5" customHeight="1">
      <c r="A230" s="83" t="s">
        <v>641</v>
      </c>
      <c r="B230" s="13">
        <v>102927</v>
      </c>
      <c r="C230" s="13">
        <v>604513</v>
      </c>
      <c r="D230" s="13">
        <v>773135</v>
      </c>
      <c r="E230" s="13">
        <v>845095</v>
      </c>
      <c r="F230" s="13">
        <v>835478</v>
      </c>
      <c r="G230" s="13">
        <v>854916</v>
      </c>
      <c r="H230" s="13">
        <v>813392</v>
      </c>
      <c r="I230" s="13">
        <v>1</v>
      </c>
      <c r="J230" s="13">
        <v>0</v>
      </c>
    </row>
    <row r="231" spans="1:10" ht="13.5" customHeight="1">
      <c r="A231" s="84" t="s">
        <v>370</v>
      </c>
      <c r="B231" s="13">
        <v>102927</v>
      </c>
      <c r="C231" s="13">
        <v>604513</v>
      </c>
      <c r="D231" s="13">
        <v>773135</v>
      </c>
      <c r="E231" s="13">
        <v>845095</v>
      </c>
      <c r="F231" s="13">
        <v>835478</v>
      </c>
      <c r="G231" s="13">
        <v>854916</v>
      </c>
      <c r="H231" s="13">
        <v>813392</v>
      </c>
      <c r="I231" s="13">
        <v>1</v>
      </c>
      <c r="J231" s="13">
        <v>0</v>
      </c>
    </row>
    <row r="232" spans="1:10" ht="13.5" customHeight="1">
      <c r="A232" s="83" t="s">
        <v>642</v>
      </c>
      <c r="B232" s="13"/>
      <c r="C232" s="13"/>
      <c r="D232" s="13">
        <v>0</v>
      </c>
      <c r="E232" s="13">
        <v>11407</v>
      </c>
      <c r="F232" s="13">
        <v>4156</v>
      </c>
      <c r="G232" s="13">
        <v>33733</v>
      </c>
      <c r="H232" s="13">
        <v>45283</v>
      </c>
      <c r="I232" s="13">
        <v>2</v>
      </c>
      <c r="J232" s="13">
        <v>0</v>
      </c>
    </row>
    <row r="233" spans="1:10" ht="13.5" customHeight="1">
      <c r="A233" s="84" t="s">
        <v>370</v>
      </c>
      <c r="B233" s="13"/>
      <c r="C233" s="13"/>
      <c r="D233" s="13">
        <v>0</v>
      </c>
      <c r="E233" s="13">
        <v>11407</v>
      </c>
      <c r="F233" s="13">
        <v>4156</v>
      </c>
      <c r="G233" s="13">
        <v>33733</v>
      </c>
      <c r="H233" s="13">
        <v>45283</v>
      </c>
      <c r="I233" s="13">
        <v>2</v>
      </c>
      <c r="J233" s="13">
        <v>0</v>
      </c>
    </row>
    <row r="234" spans="1:10" ht="13.5" customHeight="1">
      <c r="A234" s="83" t="s">
        <v>643</v>
      </c>
      <c r="B234" s="13"/>
      <c r="C234" s="13"/>
      <c r="D234" s="13"/>
      <c r="E234" s="13"/>
      <c r="F234" s="13"/>
      <c r="G234" s="13">
        <v>13427</v>
      </c>
      <c r="H234" s="13">
        <v>5427</v>
      </c>
      <c r="I234" s="13">
        <v>1</v>
      </c>
      <c r="J234" s="13">
        <v>0</v>
      </c>
    </row>
    <row r="235" spans="1:10" ht="13.5" customHeight="1">
      <c r="A235" s="84" t="s">
        <v>370</v>
      </c>
      <c r="B235" s="13"/>
      <c r="C235" s="13"/>
      <c r="D235" s="13"/>
      <c r="E235" s="13"/>
      <c r="F235" s="13"/>
      <c r="G235" s="13">
        <v>13427</v>
      </c>
      <c r="H235" s="13">
        <v>5427</v>
      </c>
      <c r="I235" s="13">
        <v>1</v>
      </c>
      <c r="J235" s="13">
        <v>0</v>
      </c>
    </row>
    <row r="236" spans="1:10" ht="13.5" customHeight="1">
      <c r="A236" s="83" t="s">
        <v>644</v>
      </c>
      <c r="B236" s="13">
        <v>101953933</v>
      </c>
      <c r="C236" s="13">
        <v>5369336</v>
      </c>
      <c r="D236" s="13">
        <v>8350990</v>
      </c>
      <c r="E236" s="13">
        <v>6674984</v>
      </c>
      <c r="F236" s="13">
        <v>8248963</v>
      </c>
      <c r="G236" s="13">
        <v>5531763</v>
      </c>
      <c r="H236" s="13">
        <v>3703059</v>
      </c>
      <c r="I236" s="13">
        <v>1</v>
      </c>
      <c r="J236" s="13">
        <v>0</v>
      </c>
    </row>
    <row r="237" spans="1:10" ht="13.5" customHeight="1">
      <c r="A237" s="84" t="s">
        <v>370</v>
      </c>
      <c r="B237" s="13">
        <v>101953933</v>
      </c>
      <c r="C237" s="13">
        <v>5369336</v>
      </c>
      <c r="D237" s="13">
        <v>8350990</v>
      </c>
      <c r="E237" s="13">
        <v>6674984</v>
      </c>
      <c r="F237" s="13">
        <v>8248963</v>
      </c>
      <c r="G237" s="13">
        <v>5531763</v>
      </c>
      <c r="H237" s="13">
        <v>3703059</v>
      </c>
      <c r="I237" s="13">
        <v>1</v>
      </c>
      <c r="J237" s="13">
        <v>0</v>
      </c>
    </row>
    <row r="238" spans="1:10" ht="13.5" customHeight="1">
      <c r="A238" s="83" t="s">
        <v>645</v>
      </c>
      <c r="B238" s="13">
        <v>367203</v>
      </c>
      <c r="C238" s="13">
        <v>3010111</v>
      </c>
      <c r="D238" s="13">
        <v>4652174</v>
      </c>
      <c r="E238" s="13">
        <v>4683506</v>
      </c>
      <c r="F238" s="13">
        <v>8289762</v>
      </c>
      <c r="G238" s="13">
        <v>14226962</v>
      </c>
      <c r="H238" s="13">
        <v>16385148</v>
      </c>
      <c r="I238" s="13">
        <v>5</v>
      </c>
      <c r="J238" s="13">
        <v>0</v>
      </c>
    </row>
    <row r="239" spans="1:10" ht="13.5" customHeight="1">
      <c r="A239" s="84" t="s">
        <v>370</v>
      </c>
      <c r="B239" s="13">
        <v>367203</v>
      </c>
      <c r="C239" s="13">
        <v>3010111</v>
      </c>
      <c r="D239" s="13">
        <v>4652174</v>
      </c>
      <c r="E239" s="13">
        <v>4683506</v>
      </c>
      <c r="F239" s="13">
        <v>8289762</v>
      </c>
      <c r="G239" s="13">
        <v>14226962</v>
      </c>
      <c r="H239" s="13">
        <v>16385148</v>
      </c>
      <c r="I239" s="13">
        <v>5</v>
      </c>
      <c r="J239" s="13">
        <v>0</v>
      </c>
    </row>
    <row r="240" spans="1:10" ht="13.5" customHeight="1">
      <c r="A240" s="83" t="s">
        <v>646</v>
      </c>
      <c r="B240" s="13"/>
      <c r="C240" s="13"/>
      <c r="D240" s="13">
        <v>9373</v>
      </c>
      <c r="E240" s="13">
        <v>8904</v>
      </c>
      <c r="F240" s="13">
        <v>9848</v>
      </c>
      <c r="G240" s="13">
        <v>8695</v>
      </c>
      <c r="H240" s="13">
        <v>6198</v>
      </c>
      <c r="I240" s="13">
        <v>1</v>
      </c>
      <c r="J240" s="13">
        <v>0</v>
      </c>
    </row>
    <row r="241" spans="1:10" ht="13.5" customHeight="1">
      <c r="A241" s="84" t="s">
        <v>370</v>
      </c>
      <c r="B241" s="13"/>
      <c r="C241" s="13"/>
      <c r="D241" s="13">
        <v>9373</v>
      </c>
      <c r="E241" s="13">
        <v>8904</v>
      </c>
      <c r="F241" s="13">
        <v>9848</v>
      </c>
      <c r="G241" s="13">
        <v>8695</v>
      </c>
      <c r="H241" s="13">
        <v>6198</v>
      </c>
      <c r="I241" s="13">
        <v>1</v>
      </c>
      <c r="J241" s="13">
        <v>0</v>
      </c>
    </row>
    <row r="242" spans="1:10" ht="13.5" customHeight="1">
      <c r="A242" s="83" t="s">
        <v>647</v>
      </c>
      <c r="B242" s="13">
        <v>85824</v>
      </c>
      <c r="C242" s="13">
        <v>91412</v>
      </c>
      <c r="D242" s="13">
        <v>64537</v>
      </c>
      <c r="E242" s="13">
        <v>65826</v>
      </c>
      <c r="F242" s="13">
        <v>65604</v>
      </c>
      <c r="G242" s="13">
        <v>66997</v>
      </c>
      <c r="H242" s="13">
        <v>59397</v>
      </c>
      <c r="I242" s="13">
        <v>1</v>
      </c>
      <c r="J242" s="13">
        <v>0</v>
      </c>
    </row>
    <row r="243" spans="1:10" ht="13.5" customHeight="1">
      <c r="A243" s="84" t="s">
        <v>370</v>
      </c>
      <c r="B243" s="13">
        <v>85824</v>
      </c>
      <c r="C243" s="13">
        <v>91412</v>
      </c>
      <c r="D243" s="13">
        <v>64537</v>
      </c>
      <c r="E243" s="13">
        <v>65826</v>
      </c>
      <c r="F243" s="13">
        <v>65604</v>
      </c>
      <c r="G243" s="13">
        <v>66997</v>
      </c>
      <c r="H243" s="13">
        <v>59397</v>
      </c>
      <c r="I243" s="13">
        <v>1</v>
      </c>
      <c r="J243" s="13">
        <v>0</v>
      </c>
    </row>
    <row r="244" spans="1:10" ht="13.5" customHeight="1">
      <c r="A244" s="83" t="s">
        <v>648</v>
      </c>
      <c r="B244" s="13"/>
      <c r="C244" s="13"/>
      <c r="D244" s="13">
        <v>0</v>
      </c>
      <c r="E244" s="13">
        <v>2502</v>
      </c>
      <c r="F244" s="13">
        <v>21719</v>
      </c>
      <c r="G244" s="13">
        <v>8581</v>
      </c>
      <c r="H244" s="13">
        <v>10489</v>
      </c>
      <c r="I244" s="13">
        <v>1</v>
      </c>
      <c r="J244" s="13">
        <v>0</v>
      </c>
    </row>
    <row r="245" spans="1:10" ht="13.5" customHeight="1">
      <c r="A245" s="84" t="s">
        <v>635</v>
      </c>
      <c r="B245" s="13"/>
      <c r="C245" s="13"/>
      <c r="D245" s="13">
        <v>0</v>
      </c>
      <c r="E245" s="13">
        <v>2502</v>
      </c>
      <c r="F245" s="13">
        <v>21719</v>
      </c>
      <c r="G245" s="13">
        <v>8581</v>
      </c>
      <c r="H245" s="13">
        <v>10489</v>
      </c>
      <c r="I245" s="13">
        <v>1</v>
      </c>
      <c r="J245" s="13">
        <v>0</v>
      </c>
    </row>
    <row r="246" spans="1:10" ht="13.5" customHeight="1">
      <c r="A246" s="83" t="s">
        <v>649</v>
      </c>
      <c r="B246" s="13">
        <v>2525521</v>
      </c>
      <c r="C246" s="13">
        <v>111563</v>
      </c>
      <c r="D246" s="13">
        <v>109511</v>
      </c>
      <c r="E246" s="13">
        <v>112268</v>
      </c>
      <c r="F246" s="13">
        <v>113131</v>
      </c>
      <c r="G246" s="13">
        <v>363946</v>
      </c>
      <c r="H246" s="13">
        <v>283435</v>
      </c>
      <c r="I246" s="13">
        <v>1</v>
      </c>
      <c r="J246" s="13">
        <v>0</v>
      </c>
    </row>
    <row r="247" spans="1:10" ht="13.5" customHeight="1">
      <c r="A247" s="84" t="s">
        <v>650</v>
      </c>
      <c r="B247" s="13">
        <v>2525521</v>
      </c>
      <c r="C247" s="13">
        <v>111563</v>
      </c>
      <c r="D247" s="13">
        <v>109511</v>
      </c>
      <c r="E247" s="13">
        <v>112268</v>
      </c>
      <c r="F247" s="13">
        <v>113131</v>
      </c>
      <c r="G247" s="13">
        <v>363946</v>
      </c>
      <c r="H247" s="13">
        <v>283435</v>
      </c>
      <c r="I247" s="13">
        <v>1</v>
      </c>
      <c r="J247" s="13">
        <v>0</v>
      </c>
    </row>
    <row r="248" spans="1:10" ht="13.5" customHeight="1">
      <c r="A248" s="83" t="s">
        <v>651</v>
      </c>
      <c r="B248" s="13"/>
      <c r="C248" s="13"/>
      <c r="D248" s="13"/>
      <c r="E248" s="13"/>
      <c r="F248" s="13">
        <v>13078</v>
      </c>
      <c r="G248" s="13">
        <v>14670</v>
      </c>
      <c r="H248" s="13">
        <v>16856</v>
      </c>
      <c r="I248" s="13">
        <v>1</v>
      </c>
      <c r="J248" s="13">
        <v>0</v>
      </c>
    </row>
    <row r="249" spans="1:10" ht="13.5" customHeight="1">
      <c r="A249" s="84" t="s">
        <v>370</v>
      </c>
      <c r="B249" s="13"/>
      <c r="C249" s="13"/>
      <c r="D249" s="13"/>
      <c r="E249" s="13"/>
      <c r="F249" s="13">
        <v>13078</v>
      </c>
      <c r="G249" s="13">
        <v>14670</v>
      </c>
      <c r="H249" s="13">
        <v>16856</v>
      </c>
      <c r="I249" s="13">
        <v>1</v>
      </c>
      <c r="J249" s="13">
        <v>0</v>
      </c>
    </row>
    <row r="250" spans="1:10" ht="13.5" customHeight="1">
      <c r="A250" s="83" t="s">
        <v>597</v>
      </c>
      <c r="B250" s="13">
        <v>182053583</v>
      </c>
      <c r="C250" s="13">
        <v>168570689</v>
      </c>
      <c r="D250" s="13">
        <v>160294459</v>
      </c>
      <c r="E250" s="13">
        <v>142126268</v>
      </c>
      <c r="F250" s="13">
        <v>141079427</v>
      </c>
      <c r="G250" s="13">
        <v>151799124</v>
      </c>
      <c r="H250" s="13">
        <v>115337710</v>
      </c>
      <c r="I250" s="13">
        <v>9</v>
      </c>
      <c r="J250" s="13">
        <v>0</v>
      </c>
    </row>
    <row r="251" spans="1:10" ht="13.5" customHeight="1">
      <c r="A251" s="84" t="s">
        <v>652</v>
      </c>
      <c r="B251" s="13">
        <v>4575704</v>
      </c>
      <c r="C251" s="13">
        <v>4625992</v>
      </c>
      <c r="D251" s="13">
        <v>4588542</v>
      </c>
      <c r="E251" s="13">
        <v>2241491</v>
      </c>
      <c r="F251" s="13"/>
      <c r="G251" s="13">
        <v>0</v>
      </c>
      <c r="H251" s="13">
        <v>0</v>
      </c>
      <c r="I251" s="13">
        <v>1</v>
      </c>
      <c r="J251" s="13">
        <v>0</v>
      </c>
    </row>
    <row r="252" spans="1:10" ht="13.5" customHeight="1">
      <c r="A252" s="84" t="s">
        <v>370</v>
      </c>
      <c r="B252" s="13">
        <v>14868136</v>
      </c>
      <c r="C252" s="13">
        <v>13677823</v>
      </c>
      <c r="D252" s="13">
        <v>13420612</v>
      </c>
      <c r="E252" s="13">
        <v>14278684</v>
      </c>
      <c r="F252" s="13">
        <v>15236964</v>
      </c>
      <c r="G252" s="13">
        <v>17997564</v>
      </c>
      <c r="H252" s="13">
        <v>14645783</v>
      </c>
      <c r="I252" s="13">
        <v>5</v>
      </c>
      <c r="J252" s="13">
        <v>0</v>
      </c>
    </row>
    <row r="253" spans="1:10" ht="13.5" customHeight="1">
      <c r="A253" s="84" t="s">
        <v>598</v>
      </c>
      <c r="B253" s="13">
        <v>162358430</v>
      </c>
      <c r="C253" s="13">
        <v>149656850</v>
      </c>
      <c r="D253" s="13">
        <v>139855055</v>
      </c>
      <c r="E253" s="13">
        <v>125237057</v>
      </c>
      <c r="F253" s="13">
        <v>125494773</v>
      </c>
      <c r="G253" s="13">
        <v>133346808</v>
      </c>
      <c r="H253" s="13">
        <v>100285637</v>
      </c>
      <c r="I253" s="13">
        <v>2</v>
      </c>
      <c r="J253" s="13">
        <v>0</v>
      </c>
    </row>
    <row r="254" spans="1:10" ht="13.5" customHeight="1">
      <c r="A254" s="84" t="s">
        <v>653</v>
      </c>
      <c r="B254" s="13">
        <v>251313</v>
      </c>
      <c r="C254" s="13">
        <v>610024</v>
      </c>
      <c r="D254" s="13">
        <v>2430250</v>
      </c>
      <c r="E254" s="13">
        <v>369036</v>
      </c>
      <c r="F254" s="13">
        <v>347690</v>
      </c>
      <c r="G254" s="13">
        <v>454752</v>
      </c>
      <c r="H254" s="13">
        <v>406290</v>
      </c>
      <c r="I254" s="13">
        <v>1</v>
      </c>
      <c r="J254" s="13">
        <v>0</v>
      </c>
    </row>
    <row r="255" spans="1:10" ht="13.5" customHeight="1">
      <c r="A255" s="83" t="s">
        <v>654</v>
      </c>
      <c r="B255" s="13"/>
      <c r="C255" s="13"/>
      <c r="D255" s="13"/>
      <c r="E255" s="13"/>
      <c r="F255" s="13"/>
      <c r="G255" s="13"/>
      <c r="H255" s="13">
        <v>115867</v>
      </c>
      <c r="I255" s="13">
        <v>1</v>
      </c>
      <c r="J255" s="13">
        <v>0</v>
      </c>
    </row>
    <row r="256" spans="1:10" ht="13.5" customHeight="1">
      <c r="A256" s="84" t="s">
        <v>370</v>
      </c>
      <c r="B256" s="13"/>
      <c r="C256" s="13"/>
      <c r="D256" s="13"/>
      <c r="E256" s="13"/>
      <c r="F256" s="13"/>
      <c r="G256" s="13"/>
      <c r="H256" s="13">
        <v>115867</v>
      </c>
      <c r="I256" s="13">
        <v>1</v>
      </c>
      <c r="J256" s="13">
        <v>0</v>
      </c>
    </row>
    <row r="257" spans="1:10" ht="13.5" customHeight="1">
      <c r="A257" s="83" t="s">
        <v>655</v>
      </c>
      <c r="B257" s="13"/>
      <c r="C257" s="13"/>
      <c r="D257" s="13"/>
      <c r="E257" s="13"/>
      <c r="F257" s="13"/>
      <c r="G257" s="13"/>
      <c r="H257" s="13">
        <v>45112</v>
      </c>
      <c r="I257" s="13">
        <v>1</v>
      </c>
      <c r="J257" s="13">
        <v>0</v>
      </c>
    </row>
    <row r="258" spans="1:10" ht="13.5" customHeight="1">
      <c r="A258" s="84" t="s">
        <v>596</v>
      </c>
      <c r="B258" s="13"/>
      <c r="C258" s="13"/>
      <c r="D258" s="13"/>
      <c r="E258" s="13"/>
      <c r="F258" s="13"/>
      <c r="G258" s="13"/>
      <c r="H258" s="13">
        <v>45112</v>
      </c>
      <c r="I258" s="13">
        <v>1</v>
      </c>
      <c r="J258" s="13">
        <v>0</v>
      </c>
    </row>
    <row r="259" spans="1:10" ht="13.5" customHeight="1">
      <c r="A259" s="83" t="s">
        <v>656</v>
      </c>
      <c r="B259" s="13"/>
      <c r="C259" s="13"/>
      <c r="D259" s="13"/>
      <c r="E259" s="13"/>
      <c r="F259" s="13"/>
      <c r="G259" s="13"/>
      <c r="H259" s="13">
        <v>11752</v>
      </c>
      <c r="I259" s="13">
        <v>1</v>
      </c>
      <c r="J259" s="13">
        <v>0</v>
      </c>
    </row>
    <row r="260" spans="1:10" ht="13.5" customHeight="1">
      <c r="A260" s="84" t="s">
        <v>370</v>
      </c>
      <c r="B260" s="13"/>
      <c r="C260" s="13"/>
      <c r="D260" s="13"/>
      <c r="E260" s="13"/>
      <c r="F260" s="13"/>
      <c r="G260" s="13"/>
      <c r="H260" s="13">
        <v>11752</v>
      </c>
      <c r="I260" s="13">
        <v>1</v>
      </c>
      <c r="J260" s="13">
        <v>0</v>
      </c>
    </row>
    <row r="261" spans="1:10" ht="13.5" customHeight="1">
      <c r="A261" s="83" t="s">
        <v>657</v>
      </c>
      <c r="B261" s="13"/>
      <c r="C261" s="13"/>
      <c r="D261" s="13"/>
      <c r="E261" s="13"/>
      <c r="F261" s="13"/>
      <c r="G261" s="13"/>
      <c r="H261" s="13"/>
      <c r="I261" s="13">
        <v>1</v>
      </c>
      <c r="J261" s="13">
        <v>0</v>
      </c>
    </row>
    <row r="262" spans="1:10" ht="13.5" customHeight="1">
      <c r="A262" s="84" t="s">
        <v>370</v>
      </c>
      <c r="B262" s="13"/>
      <c r="C262" s="13"/>
      <c r="D262" s="13"/>
      <c r="E262" s="13"/>
      <c r="F262" s="13"/>
      <c r="G262" s="13"/>
      <c r="H262" s="13"/>
      <c r="I262" s="13">
        <v>1</v>
      </c>
      <c r="J262" s="13">
        <v>0</v>
      </c>
    </row>
    <row r="263" spans="1:10" ht="13.5" customHeight="1">
      <c r="A263" s="83" t="s">
        <v>658</v>
      </c>
      <c r="B263" s="13"/>
      <c r="C263" s="13"/>
      <c r="D263" s="13"/>
      <c r="E263" s="13"/>
      <c r="F263" s="13"/>
      <c r="G263" s="13"/>
      <c r="H263" s="13"/>
      <c r="I263" s="13">
        <v>1</v>
      </c>
      <c r="J263" s="13">
        <v>0</v>
      </c>
    </row>
    <row r="264" spans="1:10" ht="13.5" customHeight="1">
      <c r="A264" s="84" t="s">
        <v>596</v>
      </c>
      <c r="B264" s="13"/>
      <c r="C264" s="13"/>
      <c r="D264" s="13"/>
      <c r="E264" s="13"/>
      <c r="F264" s="13"/>
      <c r="G264" s="13"/>
      <c r="H264" s="13"/>
      <c r="I264" s="13">
        <v>1</v>
      </c>
      <c r="J264" s="13">
        <v>0</v>
      </c>
    </row>
    <row r="265" spans="1:10" ht="13.5" customHeight="1">
      <c r="A265" s="82" t="s">
        <v>564</v>
      </c>
      <c r="B265" s="13">
        <v>10378012</v>
      </c>
      <c r="C265" s="13">
        <v>16438773</v>
      </c>
      <c r="D265" s="13">
        <v>20227398</v>
      </c>
      <c r="E265" s="13">
        <v>21074628</v>
      </c>
      <c r="F265" s="13">
        <v>18572305</v>
      </c>
      <c r="G265" s="13">
        <v>22714023</v>
      </c>
      <c r="H265" s="13">
        <v>22790740</v>
      </c>
      <c r="I265" s="13">
        <v>2</v>
      </c>
      <c r="J265" s="13">
        <v>0</v>
      </c>
    </row>
    <row r="266" spans="1:10" ht="13.5" customHeight="1">
      <c r="A266" s="83" t="s">
        <v>659</v>
      </c>
      <c r="B266" s="13">
        <v>10378012</v>
      </c>
      <c r="C266" s="13">
        <v>16392501</v>
      </c>
      <c r="D266" s="13">
        <v>19757718</v>
      </c>
      <c r="E266" s="13">
        <v>19787353</v>
      </c>
      <c r="F266" s="13">
        <v>14566944</v>
      </c>
      <c r="G266" s="13">
        <v>17775376</v>
      </c>
      <c r="H266" s="13">
        <v>18442442</v>
      </c>
      <c r="I266" s="13">
        <v>1</v>
      </c>
      <c r="J266" s="13">
        <v>0</v>
      </c>
    </row>
    <row r="267" spans="1:10" ht="13.5" customHeight="1">
      <c r="A267" s="84" t="s">
        <v>660</v>
      </c>
      <c r="B267" s="13">
        <v>10378012</v>
      </c>
      <c r="C267" s="13">
        <v>16392501</v>
      </c>
      <c r="D267" s="13">
        <v>19757718</v>
      </c>
      <c r="E267" s="13">
        <v>19787353</v>
      </c>
      <c r="F267" s="13">
        <v>14566944</v>
      </c>
      <c r="G267" s="13">
        <v>17775376</v>
      </c>
      <c r="H267" s="13">
        <v>18442442</v>
      </c>
      <c r="I267" s="13">
        <v>1</v>
      </c>
      <c r="J267" s="13">
        <v>0</v>
      </c>
    </row>
    <row r="268" spans="1:10" ht="13.5" customHeight="1">
      <c r="A268" s="83" t="s">
        <v>661</v>
      </c>
      <c r="B268" s="13"/>
      <c r="C268" s="13">
        <v>46272</v>
      </c>
      <c r="D268" s="13">
        <v>469680</v>
      </c>
      <c r="E268" s="13">
        <v>1287275</v>
      </c>
      <c r="F268" s="13">
        <v>4005361</v>
      </c>
      <c r="G268" s="13">
        <v>4938647</v>
      </c>
      <c r="H268" s="13">
        <v>4348298</v>
      </c>
      <c r="I268" s="13">
        <v>1</v>
      </c>
      <c r="J268" s="13">
        <v>0</v>
      </c>
    </row>
    <row r="269" spans="1:10" ht="13.5" customHeight="1">
      <c r="A269" s="84" t="s">
        <v>660</v>
      </c>
      <c r="B269" s="13"/>
      <c r="C269" s="13">
        <v>46272</v>
      </c>
      <c r="D269" s="13">
        <v>469680</v>
      </c>
      <c r="E269" s="13">
        <v>1287275</v>
      </c>
      <c r="F269" s="13">
        <v>4005361</v>
      </c>
      <c r="G269" s="13">
        <v>4938647</v>
      </c>
      <c r="H269" s="13">
        <v>4348298</v>
      </c>
      <c r="I269" s="13">
        <v>1</v>
      </c>
      <c r="J269" s="13">
        <v>0</v>
      </c>
    </row>
    <row r="270" spans="1:10" ht="13.5" customHeight="1">
      <c r="A270" s="82" t="s">
        <v>566</v>
      </c>
      <c r="B270" s="13">
        <v>3354486</v>
      </c>
      <c r="C270" s="13">
        <v>3340268</v>
      </c>
      <c r="D270" s="13">
        <v>3307884</v>
      </c>
      <c r="E270" s="13">
        <v>3427707</v>
      </c>
      <c r="F270" s="13">
        <v>3507599</v>
      </c>
      <c r="G270" s="13">
        <v>3449608</v>
      </c>
      <c r="H270" s="13">
        <v>3603187</v>
      </c>
      <c r="I270" s="13">
        <v>1</v>
      </c>
      <c r="J270" s="13">
        <v>0</v>
      </c>
    </row>
    <row r="271" spans="1:10" ht="13.5" customHeight="1">
      <c r="A271" s="83" t="s">
        <v>662</v>
      </c>
      <c r="B271" s="13">
        <v>3354486</v>
      </c>
      <c r="C271" s="13">
        <v>3340268</v>
      </c>
      <c r="D271" s="13">
        <v>3307884</v>
      </c>
      <c r="E271" s="13">
        <v>3427707</v>
      </c>
      <c r="F271" s="13">
        <v>3507599</v>
      </c>
      <c r="G271" s="13">
        <v>3449608</v>
      </c>
      <c r="H271" s="13">
        <v>3603187</v>
      </c>
      <c r="I271" s="13">
        <v>1</v>
      </c>
      <c r="J271" s="13">
        <v>0</v>
      </c>
    </row>
    <row r="272" spans="1:10" ht="13.5" customHeight="1">
      <c r="A272" s="84" t="s">
        <v>663</v>
      </c>
      <c r="B272" s="13">
        <v>3354486</v>
      </c>
      <c r="C272" s="13">
        <v>3340268</v>
      </c>
      <c r="D272" s="13">
        <v>3307884</v>
      </c>
      <c r="E272" s="13">
        <v>3427707</v>
      </c>
      <c r="F272" s="13">
        <v>3507599</v>
      </c>
      <c r="G272" s="13">
        <v>3449608</v>
      </c>
      <c r="H272" s="13">
        <v>3603187</v>
      </c>
      <c r="I272" s="13">
        <v>1</v>
      </c>
      <c r="J272" s="13">
        <v>0</v>
      </c>
    </row>
    <row r="273" spans="1:10" ht="13.5" customHeight="1">
      <c r="A273" s="82" t="s">
        <v>567</v>
      </c>
      <c r="B273" s="13">
        <v>143600031</v>
      </c>
      <c r="C273" s="13">
        <v>140024116</v>
      </c>
      <c r="D273" s="13">
        <v>130476342</v>
      </c>
      <c r="E273" s="13">
        <v>140904911</v>
      </c>
      <c r="F273" s="13">
        <v>141237920</v>
      </c>
      <c r="G273" s="13">
        <v>140700948</v>
      </c>
      <c r="H273" s="13">
        <v>126100421</v>
      </c>
      <c r="I273" s="13">
        <v>5</v>
      </c>
      <c r="J273" s="13">
        <v>0</v>
      </c>
    </row>
    <row r="274" spans="1:10" ht="13.5" customHeight="1">
      <c r="A274" s="83" t="s">
        <v>609</v>
      </c>
      <c r="B274" s="13">
        <v>15152367</v>
      </c>
      <c r="C274" s="13">
        <v>14487190</v>
      </c>
      <c r="D274" s="13">
        <v>11578876</v>
      </c>
      <c r="E274" s="13">
        <v>12106728</v>
      </c>
      <c r="F274" s="13">
        <v>12329264</v>
      </c>
      <c r="G274" s="13">
        <v>12220160</v>
      </c>
      <c r="H274" s="13">
        <v>12132204</v>
      </c>
      <c r="I274" s="13">
        <v>1</v>
      </c>
      <c r="J274" s="13">
        <v>0</v>
      </c>
    </row>
    <row r="275" spans="1:10" ht="13.5" customHeight="1">
      <c r="A275" s="84" t="s">
        <v>600</v>
      </c>
      <c r="B275" s="13">
        <v>15152367</v>
      </c>
      <c r="C275" s="13">
        <v>14487190</v>
      </c>
      <c r="D275" s="13">
        <v>11578876</v>
      </c>
      <c r="E275" s="13">
        <v>12106728</v>
      </c>
      <c r="F275" s="13">
        <v>12329264</v>
      </c>
      <c r="G275" s="13">
        <v>12220160</v>
      </c>
      <c r="H275" s="13">
        <v>12132204</v>
      </c>
      <c r="I275" s="13">
        <v>1</v>
      </c>
      <c r="J275" s="13">
        <v>0</v>
      </c>
    </row>
    <row r="276" spans="1:10" ht="13.5" customHeight="1">
      <c r="A276" s="83" t="s">
        <v>593</v>
      </c>
      <c r="B276" s="13">
        <v>5492735</v>
      </c>
      <c r="C276" s="13">
        <v>5415507</v>
      </c>
      <c r="D276" s="13">
        <v>5403269</v>
      </c>
      <c r="E276" s="13">
        <v>5534176</v>
      </c>
      <c r="F276" s="13">
        <v>5177185</v>
      </c>
      <c r="G276" s="13">
        <v>5347055</v>
      </c>
      <c r="H276" s="13">
        <v>4934684</v>
      </c>
      <c r="I276" s="13">
        <v>1</v>
      </c>
      <c r="J276" s="13">
        <v>0</v>
      </c>
    </row>
    <row r="277" spans="1:10" ht="13.5" customHeight="1">
      <c r="A277" s="84" t="s">
        <v>600</v>
      </c>
      <c r="B277" s="13">
        <v>5492735</v>
      </c>
      <c r="C277" s="13">
        <v>5415507</v>
      </c>
      <c r="D277" s="13">
        <v>5403269</v>
      </c>
      <c r="E277" s="13">
        <v>5534176</v>
      </c>
      <c r="F277" s="13">
        <v>5177185</v>
      </c>
      <c r="G277" s="13">
        <v>5347055</v>
      </c>
      <c r="H277" s="13">
        <v>4934684</v>
      </c>
      <c r="I277" s="13">
        <v>1</v>
      </c>
      <c r="J277" s="13">
        <v>0</v>
      </c>
    </row>
    <row r="278" spans="1:10" ht="13.5" customHeight="1">
      <c r="A278" s="83" t="s">
        <v>628</v>
      </c>
      <c r="B278" s="13">
        <v>90760410</v>
      </c>
      <c r="C278" s="13">
        <v>87563506</v>
      </c>
      <c r="D278" s="13">
        <v>81783019</v>
      </c>
      <c r="E278" s="13">
        <v>90130856</v>
      </c>
      <c r="F278" s="13">
        <v>90746615</v>
      </c>
      <c r="G278" s="13">
        <v>91942704</v>
      </c>
      <c r="H278" s="13">
        <v>84083228</v>
      </c>
      <c r="I278" s="13">
        <v>2</v>
      </c>
      <c r="J278" s="13">
        <v>0</v>
      </c>
    </row>
    <row r="279" spans="1:10" ht="13.5" customHeight="1">
      <c r="A279" s="84" t="s">
        <v>600</v>
      </c>
      <c r="B279" s="13">
        <v>90760410</v>
      </c>
      <c r="C279" s="13">
        <v>87563506</v>
      </c>
      <c r="D279" s="13">
        <v>81783019</v>
      </c>
      <c r="E279" s="13">
        <v>90130856</v>
      </c>
      <c r="F279" s="13">
        <v>90746615</v>
      </c>
      <c r="G279" s="13">
        <v>91942704</v>
      </c>
      <c r="H279" s="13">
        <v>84083228</v>
      </c>
      <c r="I279" s="13">
        <v>2</v>
      </c>
      <c r="J279" s="13">
        <v>0</v>
      </c>
    </row>
    <row r="280" spans="1:10" ht="13.5" customHeight="1">
      <c r="A280" s="83" t="s">
        <v>599</v>
      </c>
      <c r="B280" s="13">
        <v>32194519</v>
      </c>
      <c r="C280" s="13">
        <v>32557913</v>
      </c>
      <c r="D280" s="13">
        <v>31711178</v>
      </c>
      <c r="E280" s="13">
        <v>33133151</v>
      </c>
      <c r="F280" s="13">
        <v>32984856</v>
      </c>
      <c r="G280" s="13">
        <v>31191029</v>
      </c>
      <c r="H280" s="13">
        <v>24950305</v>
      </c>
      <c r="I280" s="13">
        <v>1</v>
      </c>
      <c r="J280" s="13">
        <v>0</v>
      </c>
    </row>
    <row r="281" spans="1:10" ht="13.5" customHeight="1">
      <c r="A281" s="84" t="s">
        <v>600</v>
      </c>
      <c r="B281" s="13">
        <v>32194519</v>
      </c>
      <c r="C281" s="13">
        <v>32557913</v>
      </c>
      <c r="D281" s="13">
        <v>31711178</v>
      </c>
      <c r="E281" s="13">
        <v>33133151</v>
      </c>
      <c r="F281" s="13">
        <v>32984856</v>
      </c>
      <c r="G281" s="13">
        <v>31191029</v>
      </c>
      <c r="H281" s="13">
        <v>24950305</v>
      </c>
      <c r="I281" s="13">
        <v>1</v>
      </c>
      <c r="J281" s="13">
        <v>0</v>
      </c>
    </row>
    <row r="282" spans="1:10" ht="13.5" customHeight="1">
      <c r="A282" s="82" t="s">
        <v>568</v>
      </c>
      <c r="B282" s="13">
        <v>1737570968</v>
      </c>
      <c r="C282" s="13">
        <v>1679739040</v>
      </c>
      <c r="D282" s="13">
        <v>1703069958</v>
      </c>
      <c r="E282" s="13">
        <v>1832148702</v>
      </c>
      <c r="F282" s="13">
        <v>1915032516</v>
      </c>
      <c r="G282" s="13">
        <v>1986639840</v>
      </c>
      <c r="H282" s="13">
        <v>1947140636</v>
      </c>
      <c r="I282" s="13">
        <v>44</v>
      </c>
      <c r="J282" s="13">
        <v>0</v>
      </c>
    </row>
    <row r="283" spans="1:10" ht="13.5" customHeight="1">
      <c r="A283" s="83" t="s">
        <v>664</v>
      </c>
      <c r="B283" s="13">
        <v>3416936</v>
      </c>
      <c r="C283" s="13">
        <v>4834329</v>
      </c>
      <c r="D283" s="13">
        <v>6877287</v>
      </c>
      <c r="E283" s="13">
        <v>9220012</v>
      </c>
      <c r="F283" s="13">
        <v>12209718</v>
      </c>
      <c r="G283" s="13">
        <v>17201584</v>
      </c>
      <c r="H283" s="13">
        <v>14748534</v>
      </c>
      <c r="I283" s="13">
        <v>4</v>
      </c>
      <c r="J283" s="13">
        <v>0</v>
      </c>
    </row>
    <row r="284" spans="1:10" ht="13.5" customHeight="1">
      <c r="A284" s="84" t="s">
        <v>370</v>
      </c>
      <c r="B284" s="13">
        <v>3416936</v>
      </c>
      <c r="C284" s="13">
        <v>4834329</v>
      </c>
      <c r="D284" s="13">
        <v>6877287</v>
      </c>
      <c r="E284" s="13">
        <v>9220012</v>
      </c>
      <c r="F284" s="13">
        <v>12209718</v>
      </c>
      <c r="G284" s="13">
        <v>17201584</v>
      </c>
      <c r="H284" s="13">
        <v>14748534</v>
      </c>
      <c r="I284" s="13">
        <v>4</v>
      </c>
      <c r="J284" s="13">
        <v>0</v>
      </c>
    </row>
    <row r="285" spans="1:10" ht="13.5" customHeight="1">
      <c r="A285" s="83" t="s">
        <v>665</v>
      </c>
      <c r="B285" s="13">
        <v>17911045</v>
      </c>
      <c r="C285" s="13">
        <v>43796165</v>
      </c>
      <c r="D285" s="13">
        <v>16256913</v>
      </c>
      <c r="E285" s="13">
        <v>14985502</v>
      </c>
      <c r="F285" s="13">
        <v>15986371</v>
      </c>
      <c r="G285" s="13">
        <v>25473108</v>
      </c>
      <c r="H285" s="13">
        <v>35804723</v>
      </c>
      <c r="I285" s="13">
        <v>4</v>
      </c>
      <c r="J285" s="13">
        <v>0</v>
      </c>
    </row>
    <row r="286" spans="1:10" ht="13.5" customHeight="1">
      <c r="A286" s="84" t="s">
        <v>370</v>
      </c>
      <c r="B286" s="13">
        <v>17911045</v>
      </c>
      <c r="C286" s="13">
        <v>43796165</v>
      </c>
      <c r="D286" s="13">
        <v>16256913</v>
      </c>
      <c r="E286" s="13">
        <v>14985502</v>
      </c>
      <c r="F286" s="13">
        <v>15986371</v>
      </c>
      <c r="G286" s="13">
        <v>25473108</v>
      </c>
      <c r="H286" s="13">
        <v>35804723</v>
      </c>
      <c r="I286" s="13">
        <v>4</v>
      </c>
      <c r="J286" s="13">
        <v>0</v>
      </c>
    </row>
    <row r="287" spans="1:10" ht="13.5" customHeight="1">
      <c r="A287" s="83" t="s">
        <v>666</v>
      </c>
      <c r="B287" s="13">
        <v>45437913</v>
      </c>
      <c r="C287" s="13">
        <v>41810910</v>
      </c>
      <c r="D287" s="13">
        <v>36774849</v>
      </c>
      <c r="E287" s="13">
        <v>42905643</v>
      </c>
      <c r="F287" s="13">
        <v>46810584</v>
      </c>
      <c r="G287" s="13">
        <v>68389359</v>
      </c>
      <c r="H287" s="13">
        <v>51534106</v>
      </c>
      <c r="I287" s="13">
        <v>1</v>
      </c>
      <c r="J287" s="13">
        <v>0</v>
      </c>
    </row>
    <row r="288" spans="1:10" ht="13.5" customHeight="1">
      <c r="A288" s="84" t="s">
        <v>629</v>
      </c>
      <c r="B288" s="13">
        <v>45437913</v>
      </c>
      <c r="C288" s="13">
        <v>41810910</v>
      </c>
      <c r="D288" s="13">
        <v>36774849</v>
      </c>
      <c r="E288" s="13">
        <v>42905643</v>
      </c>
      <c r="F288" s="13">
        <v>46810584</v>
      </c>
      <c r="G288" s="13">
        <v>68389359</v>
      </c>
      <c r="H288" s="13">
        <v>51534106</v>
      </c>
      <c r="I288" s="13">
        <v>1</v>
      </c>
      <c r="J288" s="13">
        <v>0</v>
      </c>
    </row>
    <row r="289" spans="1:10" ht="13.5" customHeight="1">
      <c r="A289" s="83" t="s">
        <v>609</v>
      </c>
      <c r="B289" s="13">
        <v>44201032</v>
      </c>
      <c r="C289" s="13">
        <v>44813477</v>
      </c>
      <c r="D289" s="13">
        <v>44567698</v>
      </c>
      <c r="E289" s="13">
        <v>46351173</v>
      </c>
      <c r="F289" s="13">
        <v>46981230</v>
      </c>
      <c r="G289" s="13">
        <v>46822296</v>
      </c>
      <c r="H289" s="13">
        <v>46386799</v>
      </c>
      <c r="I289" s="13">
        <v>1</v>
      </c>
      <c r="J289" s="13">
        <v>0</v>
      </c>
    </row>
    <row r="290" spans="1:10" ht="13.5" customHeight="1">
      <c r="A290" s="84" t="s">
        <v>594</v>
      </c>
      <c r="B290" s="13">
        <v>44201032</v>
      </c>
      <c r="C290" s="13">
        <v>44813477</v>
      </c>
      <c r="D290" s="13">
        <v>44567698</v>
      </c>
      <c r="E290" s="13">
        <v>46351173</v>
      </c>
      <c r="F290" s="13">
        <v>46981230</v>
      </c>
      <c r="G290" s="13">
        <v>46822296</v>
      </c>
      <c r="H290" s="13">
        <v>46386799</v>
      </c>
      <c r="I290" s="13">
        <v>1</v>
      </c>
      <c r="J290" s="13">
        <v>0</v>
      </c>
    </row>
    <row r="291" spans="1:10" ht="13.5" customHeight="1">
      <c r="A291" s="83" t="s">
        <v>592</v>
      </c>
      <c r="B291" s="13">
        <v>10601108</v>
      </c>
      <c r="C291" s="13">
        <v>20686391</v>
      </c>
      <c r="D291" s="13">
        <v>20956881</v>
      </c>
      <c r="E291" s="13">
        <v>21975460</v>
      </c>
      <c r="F291" s="13">
        <v>22546217</v>
      </c>
      <c r="G291" s="13">
        <v>22059201</v>
      </c>
      <c r="H291" s="13">
        <v>21880021</v>
      </c>
      <c r="I291" s="13">
        <v>1</v>
      </c>
      <c r="J291" s="13">
        <v>0</v>
      </c>
    </row>
    <row r="292" spans="1:10" ht="13.5" customHeight="1">
      <c r="A292" s="84" t="s">
        <v>629</v>
      </c>
      <c r="B292" s="13">
        <v>10601108</v>
      </c>
      <c r="C292" s="13">
        <v>20686391</v>
      </c>
      <c r="D292" s="13">
        <v>20956881</v>
      </c>
      <c r="E292" s="13">
        <v>21975460</v>
      </c>
      <c r="F292" s="13">
        <v>22546217</v>
      </c>
      <c r="G292" s="13">
        <v>22059201</v>
      </c>
      <c r="H292" s="13">
        <v>21880021</v>
      </c>
      <c r="I292" s="13">
        <v>1</v>
      </c>
      <c r="J292" s="13">
        <v>0</v>
      </c>
    </row>
    <row r="293" spans="1:10" ht="13.5" customHeight="1">
      <c r="A293" s="83" t="s">
        <v>542</v>
      </c>
      <c r="B293" s="13">
        <v>10892</v>
      </c>
      <c r="C293" s="13">
        <v>12297</v>
      </c>
      <c r="D293" s="13">
        <v>8289</v>
      </c>
      <c r="E293" s="13">
        <v>9024</v>
      </c>
      <c r="F293" s="13">
        <v>9770</v>
      </c>
      <c r="G293" s="13">
        <v>8711</v>
      </c>
      <c r="H293" s="13">
        <v>10786</v>
      </c>
      <c r="I293" s="13">
        <v>1</v>
      </c>
      <c r="J293" s="13">
        <v>0</v>
      </c>
    </row>
    <row r="294" spans="1:10" ht="13.5" customHeight="1">
      <c r="A294" s="84" t="s">
        <v>370</v>
      </c>
      <c r="B294" s="13">
        <v>10892</v>
      </c>
      <c r="C294" s="13">
        <v>12297</v>
      </c>
      <c r="D294" s="13">
        <v>8289</v>
      </c>
      <c r="E294" s="13">
        <v>9024</v>
      </c>
      <c r="F294" s="13">
        <v>9770</v>
      </c>
      <c r="G294" s="13">
        <v>8711</v>
      </c>
      <c r="H294" s="13">
        <v>10786</v>
      </c>
      <c r="I294" s="13">
        <v>1</v>
      </c>
      <c r="J294" s="13">
        <v>0</v>
      </c>
    </row>
    <row r="295" spans="1:10" ht="13.5" customHeight="1">
      <c r="A295" s="83" t="s">
        <v>612</v>
      </c>
      <c r="B295" s="13">
        <v>23519917</v>
      </c>
      <c r="C295" s="13">
        <v>23654972</v>
      </c>
      <c r="D295" s="13">
        <v>23464410</v>
      </c>
      <c r="E295" s="13">
        <v>26023327</v>
      </c>
      <c r="F295" s="13">
        <v>26218175</v>
      </c>
      <c r="G295" s="13">
        <v>28490889</v>
      </c>
      <c r="H295" s="13">
        <v>25774592</v>
      </c>
      <c r="I295" s="13">
        <v>1</v>
      </c>
      <c r="J295" s="13">
        <v>0</v>
      </c>
    </row>
    <row r="296" spans="1:10" ht="13.5" customHeight="1">
      <c r="A296" s="84" t="s">
        <v>594</v>
      </c>
      <c r="B296" s="13">
        <v>23519917</v>
      </c>
      <c r="C296" s="13">
        <v>23654972</v>
      </c>
      <c r="D296" s="13">
        <v>23464410</v>
      </c>
      <c r="E296" s="13">
        <v>26023327</v>
      </c>
      <c r="F296" s="13">
        <v>26218175</v>
      </c>
      <c r="G296" s="13">
        <v>28490889</v>
      </c>
      <c r="H296" s="13">
        <v>25774592</v>
      </c>
      <c r="I296" s="13">
        <v>1</v>
      </c>
      <c r="J296" s="13">
        <v>0</v>
      </c>
    </row>
    <row r="297" spans="1:10" ht="13.5" customHeight="1">
      <c r="A297" s="83" t="s">
        <v>667</v>
      </c>
      <c r="B297" s="13">
        <v>8730945</v>
      </c>
      <c r="C297" s="13">
        <v>31264274</v>
      </c>
      <c r="D297" s="13">
        <v>58806968</v>
      </c>
      <c r="E297" s="13">
        <v>15980649</v>
      </c>
      <c r="F297" s="13">
        <v>10294027</v>
      </c>
      <c r="G297" s="13">
        <v>12407734</v>
      </c>
      <c r="H297" s="13">
        <v>18525603</v>
      </c>
      <c r="I297" s="13">
        <v>3</v>
      </c>
      <c r="J297" s="13">
        <v>0</v>
      </c>
    </row>
    <row r="298" spans="1:10" ht="13.5" customHeight="1">
      <c r="A298" s="84" t="s">
        <v>370</v>
      </c>
      <c r="B298" s="13">
        <v>8730945</v>
      </c>
      <c r="C298" s="13">
        <v>31264274</v>
      </c>
      <c r="D298" s="13">
        <v>58806968</v>
      </c>
      <c r="E298" s="13">
        <v>15980649</v>
      </c>
      <c r="F298" s="13">
        <v>10294027</v>
      </c>
      <c r="G298" s="13">
        <v>12407734</v>
      </c>
      <c r="H298" s="13">
        <v>18525603</v>
      </c>
      <c r="I298" s="13">
        <v>3</v>
      </c>
      <c r="J298" s="13">
        <v>0</v>
      </c>
    </row>
    <row r="299" spans="1:10" ht="13.5" customHeight="1">
      <c r="A299" s="83" t="s">
        <v>668</v>
      </c>
      <c r="B299" s="13">
        <v>5923</v>
      </c>
      <c r="C299" s="13">
        <v>3198</v>
      </c>
      <c r="D299" s="13"/>
      <c r="E299" s="13"/>
      <c r="F299" s="13"/>
      <c r="G299" s="13">
        <v>13391</v>
      </c>
      <c r="H299" s="13">
        <v>6138</v>
      </c>
      <c r="I299" s="13">
        <v>2</v>
      </c>
      <c r="J299" s="13">
        <v>0</v>
      </c>
    </row>
    <row r="300" spans="1:10" ht="13.5" customHeight="1">
      <c r="A300" s="84" t="s">
        <v>370</v>
      </c>
      <c r="B300" s="13">
        <v>5923</v>
      </c>
      <c r="C300" s="13">
        <v>3198</v>
      </c>
      <c r="D300" s="13"/>
      <c r="E300" s="13"/>
      <c r="F300" s="13"/>
      <c r="G300" s="13">
        <v>13391</v>
      </c>
      <c r="H300" s="13">
        <v>6138</v>
      </c>
      <c r="I300" s="13">
        <v>2</v>
      </c>
      <c r="J300" s="13">
        <v>0</v>
      </c>
    </row>
    <row r="301" spans="1:10" ht="13.5" customHeight="1">
      <c r="A301" s="83" t="s">
        <v>593</v>
      </c>
      <c r="B301" s="13">
        <v>1569766267</v>
      </c>
      <c r="C301" s="13">
        <v>1453760286</v>
      </c>
      <c r="D301" s="13">
        <v>1466063068</v>
      </c>
      <c r="E301" s="13">
        <v>1594368806</v>
      </c>
      <c r="F301" s="13">
        <v>1671795477</v>
      </c>
      <c r="G301" s="13">
        <v>1721446306</v>
      </c>
      <c r="H301" s="13">
        <v>1691237325</v>
      </c>
      <c r="I301" s="13">
        <v>12</v>
      </c>
      <c r="J301" s="13">
        <v>0</v>
      </c>
    </row>
    <row r="302" spans="1:10" ht="13.5" customHeight="1">
      <c r="A302" s="84" t="s">
        <v>594</v>
      </c>
      <c r="B302" s="13">
        <v>1569766267</v>
      </c>
      <c r="C302" s="13">
        <v>1453760286</v>
      </c>
      <c r="D302" s="13">
        <v>1466063068</v>
      </c>
      <c r="E302" s="13">
        <v>1594368806</v>
      </c>
      <c r="F302" s="13">
        <v>1671795477</v>
      </c>
      <c r="G302" s="13">
        <v>1721446306</v>
      </c>
      <c r="H302" s="13">
        <v>1691237325</v>
      </c>
      <c r="I302" s="13">
        <v>12</v>
      </c>
      <c r="J302" s="13">
        <v>0</v>
      </c>
    </row>
    <row r="303" spans="1:10" ht="13.5" customHeight="1">
      <c r="A303" s="83" t="s">
        <v>618</v>
      </c>
      <c r="B303" s="13">
        <v>7215</v>
      </c>
      <c r="C303" s="13">
        <v>22423</v>
      </c>
      <c r="D303" s="13">
        <v>17118</v>
      </c>
      <c r="E303" s="13">
        <v>17988</v>
      </c>
      <c r="F303" s="13">
        <v>19571</v>
      </c>
      <c r="G303" s="13">
        <v>3962013</v>
      </c>
      <c r="H303" s="13">
        <v>18588244</v>
      </c>
      <c r="I303" s="13">
        <v>4</v>
      </c>
      <c r="J303" s="13">
        <v>0</v>
      </c>
    </row>
    <row r="304" spans="1:10" ht="13.5" customHeight="1">
      <c r="A304" s="84" t="s">
        <v>370</v>
      </c>
      <c r="B304" s="13">
        <v>5929</v>
      </c>
      <c r="C304" s="13">
        <v>11187</v>
      </c>
      <c r="D304" s="13">
        <v>8609</v>
      </c>
      <c r="E304" s="13">
        <v>9016</v>
      </c>
      <c r="F304" s="13">
        <v>9783</v>
      </c>
      <c r="G304" s="13">
        <v>8730</v>
      </c>
      <c r="H304" s="13">
        <v>10685</v>
      </c>
      <c r="I304" s="13">
        <v>1</v>
      </c>
      <c r="J304" s="13">
        <v>0</v>
      </c>
    </row>
    <row r="305" spans="1:10" ht="13.5" customHeight="1">
      <c r="A305" s="84" t="s">
        <v>669</v>
      </c>
      <c r="B305" s="13">
        <v>1286</v>
      </c>
      <c r="C305" s="13">
        <v>11236</v>
      </c>
      <c r="D305" s="13">
        <v>8509</v>
      </c>
      <c r="E305" s="13">
        <v>8972</v>
      </c>
      <c r="F305" s="13">
        <v>9788</v>
      </c>
      <c r="G305" s="13">
        <v>3953283</v>
      </c>
      <c r="H305" s="13">
        <v>8186493</v>
      </c>
      <c r="I305" s="13">
        <v>2</v>
      </c>
      <c r="J305" s="13">
        <v>0</v>
      </c>
    </row>
    <row r="306" spans="1:10" ht="13.5" customHeight="1">
      <c r="A306" s="84" t="s">
        <v>670</v>
      </c>
      <c r="B306" s="13"/>
      <c r="C306" s="13"/>
      <c r="D306" s="13"/>
      <c r="E306" s="13"/>
      <c r="F306" s="13"/>
      <c r="G306" s="13"/>
      <c r="H306" s="13">
        <v>10391066</v>
      </c>
      <c r="I306" s="13">
        <v>1</v>
      </c>
      <c r="J306" s="13">
        <v>0</v>
      </c>
    </row>
    <row r="307" spans="1:10" ht="13.5" customHeight="1">
      <c r="A307" s="83" t="s">
        <v>671</v>
      </c>
      <c r="B307" s="13">
        <v>10341535</v>
      </c>
      <c r="C307" s="13">
        <v>11438920</v>
      </c>
      <c r="D307" s="13">
        <v>25712898</v>
      </c>
      <c r="E307" s="13">
        <v>56449001</v>
      </c>
      <c r="F307" s="13">
        <v>58329376</v>
      </c>
      <c r="G307" s="13">
        <v>36483292</v>
      </c>
      <c r="H307" s="13">
        <v>19480359</v>
      </c>
      <c r="I307" s="13">
        <v>4</v>
      </c>
      <c r="J307" s="13">
        <v>0</v>
      </c>
    </row>
    <row r="308" spans="1:10" ht="13.5" customHeight="1">
      <c r="A308" s="84" t="s">
        <v>370</v>
      </c>
      <c r="B308" s="13">
        <v>10341535</v>
      </c>
      <c r="C308" s="13">
        <v>11438920</v>
      </c>
      <c r="D308" s="13">
        <v>25712898</v>
      </c>
      <c r="E308" s="13">
        <v>56449001</v>
      </c>
      <c r="F308" s="13">
        <v>58329376</v>
      </c>
      <c r="G308" s="13">
        <v>36483292</v>
      </c>
      <c r="H308" s="13">
        <v>19480359</v>
      </c>
      <c r="I308" s="13">
        <v>4</v>
      </c>
      <c r="J308" s="13">
        <v>0</v>
      </c>
    </row>
    <row r="309" spans="1:10" ht="13.5" customHeight="1">
      <c r="A309" s="83" t="s">
        <v>628</v>
      </c>
      <c r="B309" s="13">
        <v>3600208</v>
      </c>
      <c r="C309" s="13">
        <v>3596815</v>
      </c>
      <c r="D309" s="13">
        <v>3540261</v>
      </c>
      <c r="E309" s="13">
        <v>3843236</v>
      </c>
      <c r="F309" s="13">
        <v>3792940</v>
      </c>
      <c r="G309" s="13">
        <v>3854795</v>
      </c>
      <c r="H309" s="13">
        <v>3126933</v>
      </c>
      <c r="I309" s="13">
        <v>3</v>
      </c>
      <c r="J309" s="13">
        <v>0</v>
      </c>
    </row>
    <row r="310" spans="1:10" ht="13.5" customHeight="1">
      <c r="A310" s="84" t="s">
        <v>598</v>
      </c>
      <c r="B310" s="13">
        <v>1915815</v>
      </c>
      <c r="C310" s="13">
        <v>1909640</v>
      </c>
      <c r="D310" s="13">
        <v>1842532</v>
      </c>
      <c r="E310" s="13">
        <v>2014054</v>
      </c>
      <c r="F310" s="13">
        <v>1980991</v>
      </c>
      <c r="G310" s="13">
        <v>2014224</v>
      </c>
      <c r="H310" s="13">
        <v>1331949</v>
      </c>
      <c r="I310" s="13">
        <v>1</v>
      </c>
      <c r="J310" s="13">
        <v>0</v>
      </c>
    </row>
    <row r="311" spans="1:10" ht="13.5" customHeight="1">
      <c r="A311" s="84" t="s">
        <v>672</v>
      </c>
      <c r="B311" s="13">
        <v>43463</v>
      </c>
      <c r="C311" s="13">
        <v>59076</v>
      </c>
      <c r="D311" s="13">
        <v>63778</v>
      </c>
      <c r="E311" s="13">
        <v>25226</v>
      </c>
      <c r="F311" s="13">
        <v>24644</v>
      </c>
      <c r="G311" s="13">
        <v>28469</v>
      </c>
      <c r="H311" s="13">
        <v>44045</v>
      </c>
      <c r="I311" s="13">
        <v>1</v>
      </c>
      <c r="J311" s="13">
        <v>0</v>
      </c>
    </row>
    <row r="312" spans="1:10" ht="13.5" customHeight="1">
      <c r="A312" s="84" t="s">
        <v>669</v>
      </c>
      <c r="B312" s="13">
        <v>1640930</v>
      </c>
      <c r="C312" s="13">
        <v>1628099</v>
      </c>
      <c r="D312" s="13">
        <v>1633951</v>
      </c>
      <c r="E312" s="13">
        <v>1803956</v>
      </c>
      <c r="F312" s="13">
        <v>1787305</v>
      </c>
      <c r="G312" s="13">
        <v>1812102</v>
      </c>
      <c r="H312" s="13">
        <v>1750939</v>
      </c>
      <c r="I312" s="13">
        <v>1</v>
      </c>
      <c r="J312" s="13">
        <v>0</v>
      </c>
    </row>
    <row r="313" spans="1:10" ht="13.5" customHeight="1">
      <c r="A313" s="83" t="s">
        <v>673</v>
      </c>
      <c r="B313" s="13">
        <v>14139</v>
      </c>
      <c r="C313" s="13">
        <v>33528</v>
      </c>
      <c r="D313" s="13">
        <v>14781</v>
      </c>
      <c r="E313" s="13">
        <v>9880</v>
      </c>
      <c r="F313" s="13">
        <v>10606</v>
      </c>
      <c r="G313" s="13">
        <v>9597</v>
      </c>
      <c r="H313" s="13">
        <v>11566</v>
      </c>
      <c r="I313" s="13">
        <v>1</v>
      </c>
      <c r="J313" s="13">
        <v>0</v>
      </c>
    </row>
    <row r="314" spans="1:10" ht="13.5" customHeight="1">
      <c r="A314" s="84" t="s">
        <v>624</v>
      </c>
      <c r="B314" s="13">
        <v>14139</v>
      </c>
      <c r="C314" s="13">
        <v>33528</v>
      </c>
      <c r="D314" s="13">
        <v>14781</v>
      </c>
      <c r="E314" s="13">
        <v>9880</v>
      </c>
      <c r="F314" s="13">
        <v>10606</v>
      </c>
      <c r="G314" s="13">
        <v>9597</v>
      </c>
      <c r="H314" s="13">
        <v>11566</v>
      </c>
      <c r="I314" s="13">
        <v>1</v>
      </c>
      <c r="J314" s="13">
        <v>0</v>
      </c>
    </row>
    <row r="315" spans="1:10" ht="13.5" customHeight="1">
      <c r="A315" s="83" t="s">
        <v>674</v>
      </c>
      <c r="B315" s="13"/>
      <c r="C315" s="13"/>
      <c r="D315" s="13"/>
      <c r="E315" s="13"/>
      <c r="F315" s="13">
        <v>18566</v>
      </c>
      <c r="G315" s="13">
        <v>8879</v>
      </c>
      <c r="H315" s="13">
        <v>14239</v>
      </c>
      <c r="I315" s="13">
        <v>1</v>
      </c>
      <c r="J315" s="13">
        <v>0</v>
      </c>
    </row>
    <row r="316" spans="1:10" ht="13.5" customHeight="1">
      <c r="A316" s="84" t="s">
        <v>629</v>
      </c>
      <c r="B316" s="13"/>
      <c r="C316" s="13"/>
      <c r="D316" s="13"/>
      <c r="E316" s="13"/>
      <c r="F316" s="13">
        <v>18566</v>
      </c>
      <c r="G316" s="13">
        <v>8879</v>
      </c>
      <c r="H316" s="13">
        <v>14239</v>
      </c>
      <c r="I316" s="13">
        <v>1</v>
      </c>
      <c r="J316" s="13">
        <v>0</v>
      </c>
    </row>
    <row r="317" spans="1:10" ht="13.5" customHeight="1">
      <c r="A317" s="83" t="s">
        <v>675</v>
      </c>
      <c r="B317" s="13">
        <v>5893</v>
      </c>
      <c r="C317" s="13">
        <v>11055</v>
      </c>
      <c r="D317" s="13">
        <v>8537</v>
      </c>
      <c r="E317" s="13">
        <v>9001</v>
      </c>
      <c r="F317" s="13">
        <v>9888</v>
      </c>
      <c r="G317" s="13">
        <v>8685</v>
      </c>
      <c r="H317" s="13">
        <v>10668</v>
      </c>
      <c r="I317" s="13">
        <v>1</v>
      </c>
      <c r="J317" s="13">
        <v>0</v>
      </c>
    </row>
    <row r="318" spans="1:10" ht="13.5" customHeight="1">
      <c r="A318" s="84" t="s">
        <v>676</v>
      </c>
      <c r="B318" s="13">
        <v>5893</v>
      </c>
      <c r="C318" s="13">
        <v>11055</v>
      </c>
      <c r="D318" s="13">
        <v>8537</v>
      </c>
      <c r="E318" s="13">
        <v>9001</v>
      </c>
      <c r="F318" s="13">
        <v>9888</v>
      </c>
      <c r="G318" s="13">
        <v>8685</v>
      </c>
      <c r="H318" s="13">
        <v>10668</v>
      </c>
      <c r="I318" s="13">
        <v>1</v>
      </c>
      <c r="J318" s="13">
        <v>0</v>
      </c>
    </row>
    <row r="319" spans="1:10" ht="13.5" customHeight="1">
      <c r="A319" s="82" t="s">
        <v>391</v>
      </c>
      <c r="B319" s="13">
        <v>77916618</v>
      </c>
      <c r="C319" s="13">
        <v>24808411</v>
      </c>
      <c r="D319" s="13">
        <v>45854461</v>
      </c>
      <c r="E319" s="13">
        <v>27978220</v>
      </c>
      <c r="F319" s="13">
        <v>37818078</v>
      </c>
      <c r="G319" s="13">
        <v>35681118</v>
      </c>
      <c r="H319" s="13">
        <v>62011411</v>
      </c>
      <c r="I319" s="13">
        <v>5</v>
      </c>
      <c r="J319" s="13">
        <v>0</v>
      </c>
    </row>
    <row r="320" spans="1:10" ht="13.5" customHeight="1">
      <c r="A320" s="83" t="s">
        <v>677</v>
      </c>
      <c r="B320" s="13">
        <v>55842934</v>
      </c>
      <c r="C320" s="13">
        <v>1761198</v>
      </c>
      <c r="D320" s="13">
        <v>21786343</v>
      </c>
      <c r="E320" s="13">
        <v>2964520</v>
      </c>
      <c r="F320" s="13">
        <v>14561700</v>
      </c>
      <c r="G320" s="13">
        <v>9606149</v>
      </c>
      <c r="H320" s="13">
        <v>34855736</v>
      </c>
      <c r="I320" s="13">
        <v>3</v>
      </c>
      <c r="J320" s="13">
        <v>0</v>
      </c>
    </row>
    <row r="321" spans="1:10" ht="13.5" customHeight="1">
      <c r="A321" s="84" t="s">
        <v>635</v>
      </c>
      <c r="B321" s="13">
        <v>55438969</v>
      </c>
      <c r="C321" s="13">
        <v>1603916</v>
      </c>
      <c r="D321" s="13">
        <v>21633922</v>
      </c>
      <c r="E321" s="13">
        <v>2807701</v>
      </c>
      <c r="F321" s="13">
        <v>14400111</v>
      </c>
      <c r="G321" s="13">
        <v>7520491</v>
      </c>
      <c r="H321" s="13">
        <v>32788507</v>
      </c>
      <c r="I321" s="13">
        <v>1</v>
      </c>
      <c r="J321" s="13">
        <v>0</v>
      </c>
    </row>
    <row r="322" spans="1:10" ht="13.5" customHeight="1">
      <c r="A322" s="84" t="s">
        <v>370</v>
      </c>
      <c r="B322" s="13">
        <v>403965</v>
      </c>
      <c r="C322" s="13">
        <v>157282</v>
      </c>
      <c r="D322" s="13">
        <v>152421</v>
      </c>
      <c r="E322" s="13">
        <v>156819</v>
      </c>
      <c r="F322" s="13">
        <v>161589</v>
      </c>
      <c r="G322" s="13">
        <v>2085658</v>
      </c>
      <c r="H322" s="13">
        <v>2067229</v>
      </c>
      <c r="I322" s="13">
        <v>2</v>
      </c>
      <c r="J322" s="13">
        <v>0</v>
      </c>
    </row>
    <row r="323" spans="1:10" ht="13.5" customHeight="1">
      <c r="A323" s="83" t="s">
        <v>634</v>
      </c>
      <c r="B323" s="13">
        <v>17535570</v>
      </c>
      <c r="C323" s="13">
        <v>17842263</v>
      </c>
      <c r="D323" s="13">
        <v>18912195</v>
      </c>
      <c r="E323" s="13">
        <v>19650581</v>
      </c>
      <c r="F323" s="13">
        <v>17815676</v>
      </c>
      <c r="G323" s="13">
        <v>20659940</v>
      </c>
      <c r="H323" s="13">
        <v>21967984</v>
      </c>
      <c r="I323" s="13">
        <v>1</v>
      </c>
      <c r="J323" s="13">
        <v>0</v>
      </c>
    </row>
    <row r="324" spans="1:10" ht="13.5" customHeight="1">
      <c r="A324" s="84" t="s">
        <v>635</v>
      </c>
      <c r="B324" s="13">
        <v>17535570</v>
      </c>
      <c r="C324" s="13">
        <v>17842263</v>
      </c>
      <c r="D324" s="13">
        <v>18912195</v>
      </c>
      <c r="E324" s="13">
        <v>19650581</v>
      </c>
      <c r="F324" s="13">
        <v>17815676</v>
      </c>
      <c r="G324" s="13">
        <v>20659940</v>
      </c>
      <c r="H324" s="13">
        <v>21967984</v>
      </c>
      <c r="I324" s="13">
        <v>1</v>
      </c>
      <c r="J324" s="13">
        <v>0</v>
      </c>
    </row>
    <row r="325" spans="1:10" ht="13.5" customHeight="1">
      <c r="A325" s="83" t="s">
        <v>644</v>
      </c>
      <c r="B325" s="13">
        <v>4538114</v>
      </c>
      <c r="C325" s="13">
        <v>5204950</v>
      </c>
      <c r="D325" s="13">
        <v>5155923</v>
      </c>
      <c r="E325" s="13">
        <v>5363119</v>
      </c>
      <c r="F325" s="13">
        <v>5440702</v>
      </c>
      <c r="G325" s="13">
        <v>5415029</v>
      </c>
      <c r="H325" s="13">
        <v>5187691</v>
      </c>
      <c r="I325" s="13">
        <v>1</v>
      </c>
      <c r="J325" s="13">
        <v>0</v>
      </c>
    </row>
    <row r="326" spans="1:10" ht="13.5" customHeight="1">
      <c r="A326" s="84" t="s">
        <v>635</v>
      </c>
      <c r="B326" s="13">
        <v>4538114</v>
      </c>
      <c r="C326" s="13">
        <v>5204950</v>
      </c>
      <c r="D326" s="13">
        <v>5155923</v>
      </c>
      <c r="E326" s="13">
        <v>5363119</v>
      </c>
      <c r="F326" s="13">
        <v>5440702</v>
      </c>
      <c r="G326" s="13">
        <v>5415029</v>
      </c>
      <c r="H326" s="13">
        <v>5187691</v>
      </c>
      <c r="I326" s="13">
        <v>1</v>
      </c>
      <c r="J326" s="13">
        <v>0</v>
      </c>
    </row>
    <row r="327" spans="1:10" ht="13.5" customHeight="1">
      <c r="A327" s="82" t="s">
        <v>570</v>
      </c>
      <c r="B327" s="13">
        <v>56736532</v>
      </c>
      <c r="C327" s="13">
        <v>48690710</v>
      </c>
      <c r="D327" s="13">
        <v>45920929</v>
      </c>
      <c r="E327" s="13">
        <v>49638086</v>
      </c>
      <c r="F327" s="13">
        <v>47098152</v>
      </c>
      <c r="G327" s="13">
        <v>41553780</v>
      </c>
      <c r="H327" s="13">
        <v>40600032</v>
      </c>
      <c r="I327" s="13">
        <v>17</v>
      </c>
      <c r="J327" s="13">
        <v>0</v>
      </c>
    </row>
    <row r="328" spans="1:10" ht="13.5" customHeight="1">
      <c r="A328" s="83" t="s">
        <v>678</v>
      </c>
      <c r="B328" s="13">
        <v>56736532</v>
      </c>
      <c r="C328" s="13">
        <v>48690710</v>
      </c>
      <c r="D328" s="13">
        <v>45920929</v>
      </c>
      <c r="E328" s="13">
        <v>49638086</v>
      </c>
      <c r="F328" s="13">
        <v>47098152</v>
      </c>
      <c r="G328" s="13">
        <v>41553780</v>
      </c>
      <c r="H328" s="13">
        <v>40600032</v>
      </c>
      <c r="I328" s="13">
        <v>17</v>
      </c>
      <c r="J328" s="13">
        <v>0</v>
      </c>
    </row>
    <row r="329" spans="1:10" ht="13.5" customHeight="1">
      <c r="A329" s="84" t="s">
        <v>679</v>
      </c>
      <c r="B329" s="13">
        <v>56736532</v>
      </c>
      <c r="C329" s="13">
        <v>48690710</v>
      </c>
      <c r="D329" s="13">
        <v>45920929</v>
      </c>
      <c r="E329" s="13">
        <v>49638086</v>
      </c>
      <c r="F329" s="13">
        <v>47098152</v>
      </c>
      <c r="G329" s="13">
        <v>41553780</v>
      </c>
      <c r="H329" s="13">
        <v>40600032</v>
      </c>
      <c r="I329" s="13">
        <v>17</v>
      </c>
      <c r="J329" s="13">
        <v>0</v>
      </c>
    </row>
    <row r="330" spans="1:10" ht="13.5" customHeight="1">
      <c r="A330" s="82" t="s">
        <v>573</v>
      </c>
      <c r="B330" s="13">
        <v>1055148</v>
      </c>
      <c r="C330" s="13">
        <v>1471063</v>
      </c>
      <c r="D330" s="13">
        <v>1465145</v>
      </c>
      <c r="E330" s="13">
        <v>1505713</v>
      </c>
      <c r="F330" s="13">
        <v>1520310</v>
      </c>
      <c r="G330" s="13">
        <v>1893141</v>
      </c>
      <c r="H330" s="13">
        <v>2089818</v>
      </c>
      <c r="I330" s="13">
        <v>2</v>
      </c>
      <c r="J330" s="13">
        <v>0</v>
      </c>
    </row>
    <row r="331" spans="1:10" ht="13.5" customHeight="1">
      <c r="A331" s="83" t="s">
        <v>680</v>
      </c>
      <c r="B331" s="13">
        <v>1055148</v>
      </c>
      <c r="C331" s="13">
        <v>1457941</v>
      </c>
      <c r="D331" s="13">
        <v>1458274</v>
      </c>
      <c r="E331" s="13">
        <v>1496773</v>
      </c>
      <c r="F331" s="13">
        <v>1510606</v>
      </c>
      <c r="G331" s="13">
        <v>1884390</v>
      </c>
      <c r="H331" s="13">
        <v>2078934</v>
      </c>
      <c r="I331" s="13">
        <v>1</v>
      </c>
      <c r="J331" s="13">
        <v>0</v>
      </c>
    </row>
    <row r="332" spans="1:10" ht="13.5" customHeight="1">
      <c r="A332" s="84" t="s">
        <v>621</v>
      </c>
      <c r="B332" s="13">
        <v>1055148</v>
      </c>
      <c r="C332" s="13">
        <v>1457941</v>
      </c>
      <c r="D332" s="13">
        <v>1458274</v>
      </c>
      <c r="E332" s="13">
        <v>1496773</v>
      </c>
      <c r="F332" s="13">
        <v>1510606</v>
      </c>
      <c r="G332" s="13">
        <v>1884390</v>
      </c>
      <c r="H332" s="13">
        <v>2078934</v>
      </c>
      <c r="I332" s="13">
        <v>1</v>
      </c>
      <c r="J332" s="13">
        <v>0</v>
      </c>
    </row>
    <row r="333" spans="1:10" ht="13.5" customHeight="1">
      <c r="A333" s="83" t="s">
        <v>681</v>
      </c>
      <c r="B333" s="13"/>
      <c r="C333" s="13">
        <v>13122</v>
      </c>
      <c r="D333" s="13">
        <v>6871</v>
      </c>
      <c r="E333" s="13">
        <v>8940</v>
      </c>
      <c r="F333" s="13">
        <v>9704</v>
      </c>
      <c r="G333" s="13">
        <v>8751</v>
      </c>
      <c r="H333" s="13">
        <v>10884</v>
      </c>
      <c r="I333" s="13">
        <v>1</v>
      </c>
      <c r="J333" s="13">
        <v>0</v>
      </c>
    </row>
    <row r="334" spans="1:10" ht="13.5" customHeight="1">
      <c r="A334" s="84" t="s">
        <v>370</v>
      </c>
      <c r="B334" s="13"/>
      <c r="C334" s="13">
        <v>13122</v>
      </c>
      <c r="D334" s="13">
        <v>6871</v>
      </c>
      <c r="E334" s="13">
        <v>8940</v>
      </c>
      <c r="F334" s="13">
        <v>9704</v>
      </c>
      <c r="G334" s="13">
        <v>8751</v>
      </c>
      <c r="H334" s="13">
        <v>10884</v>
      </c>
      <c r="I334" s="13">
        <v>1</v>
      </c>
      <c r="J334" s="13">
        <v>0</v>
      </c>
    </row>
    <row r="335" spans="1:10" ht="13.5" customHeight="1">
      <c r="A335" s="82" t="s">
        <v>575</v>
      </c>
      <c r="B335" s="13">
        <v>852610</v>
      </c>
      <c r="C335" s="13">
        <v>859209</v>
      </c>
      <c r="D335" s="13">
        <v>819580</v>
      </c>
      <c r="E335" s="13">
        <v>875797</v>
      </c>
      <c r="F335" s="13">
        <v>865537</v>
      </c>
      <c r="G335" s="13">
        <v>913051</v>
      </c>
      <c r="H335" s="13">
        <v>863269</v>
      </c>
      <c r="I335" s="13">
        <v>1</v>
      </c>
      <c r="J335" s="13">
        <v>0</v>
      </c>
    </row>
    <row r="336" spans="1:10" ht="13.5" customHeight="1">
      <c r="A336" s="83" t="s">
        <v>682</v>
      </c>
      <c r="B336" s="13">
        <v>852610</v>
      </c>
      <c r="C336" s="13">
        <v>859209</v>
      </c>
      <c r="D336" s="13">
        <v>819580</v>
      </c>
      <c r="E336" s="13">
        <v>875797</v>
      </c>
      <c r="F336" s="13">
        <v>865537</v>
      </c>
      <c r="G336" s="13">
        <v>913051</v>
      </c>
      <c r="H336" s="13">
        <v>863269</v>
      </c>
      <c r="I336" s="13">
        <v>1</v>
      </c>
      <c r="J336" s="13">
        <v>0</v>
      </c>
    </row>
    <row r="337" spans="1:10" ht="13.5" customHeight="1">
      <c r="A337" s="84" t="s">
        <v>370</v>
      </c>
      <c r="B337" s="13">
        <v>852610</v>
      </c>
      <c r="C337" s="13">
        <v>859209</v>
      </c>
      <c r="D337" s="13">
        <v>819580</v>
      </c>
      <c r="E337" s="13">
        <v>875797</v>
      </c>
      <c r="F337" s="13">
        <v>865537</v>
      </c>
      <c r="G337" s="13">
        <v>913051</v>
      </c>
      <c r="H337" s="13">
        <v>863269</v>
      </c>
      <c r="I337" s="13">
        <v>1</v>
      </c>
      <c r="J337" s="13">
        <v>0</v>
      </c>
    </row>
    <row r="338" spans="1:10" ht="13.5" customHeight="1">
      <c r="A338" s="82" t="s">
        <v>576</v>
      </c>
      <c r="B338" s="13"/>
      <c r="C338" s="13"/>
      <c r="D338" s="13"/>
      <c r="E338" s="13"/>
      <c r="F338" s="13"/>
      <c r="G338" s="13"/>
      <c r="H338" s="13">
        <v>13362</v>
      </c>
      <c r="I338" s="13">
        <v>1</v>
      </c>
      <c r="J338" s="13">
        <v>0</v>
      </c>
    </row>
    <row r="339" spans="1:10" ht="13.5" customHeight="1">
      <c r="A339" s="83" t="s">
        <v>683</v>
      </c>
      <c r="B339" s="13"/>
      <c r="C339" s="13"/>
      <c r="D339" s="13"/>
      <c r="E339" s="13"/>
      <c r="F339" s="13"/>
      <c r="G339" s="13"/>
      <c r="H339" s="13">
        <v>13362</v>
      </c>
      <c r="I339" s="13">
        <v>1</v>
      </c>
      <c r="J339" s="13">
        <v>0</v>
      </c>
    </row>
    <row r="340" spans="1:10" ht="13.5" customHeight="1">
      <c r="A340" s="84" t="s">
        <v>370</v>
      </c>
      <c r="B340" s="13"/>
      <c r="C340" s="13"/>
      <c r="D340" s="13"/>
      <c r="E340" s="13"/>
      <c r="F340" s="13"/>
      <c r="G340" s="13"/>
      <c r="H340" s="13">
        <v>13362</v>
      </c>
      <c r="I340" s="13">
        <v>1</v>
      </c>
      <c r="J340" s="13">
        <v>0</v>
      </c>
    </row>
    <row r="341" spans="1:10" ht="13.5" customHeight="1">
      <c r="A341" s="82" t="s">
        <v>577</v>
      </c>
      <c r="B341" s="13">
        <v>5504323</v>
      </c>
      <c r="C341" s="13">
        <v>5175438</v>
      </c>
      <c r="D341" s="13">
        <v>4171430</v>
      </c>
      <c r="E341" s="13">
        <v>4336445</v>
      </c>
      <c r="F341" s="13">
        <v>3641808</v>
      </c>
      <c r="G341" s="13">
        <v>0</v>
      </c>
      <c r="H341" s="13">
        <v>0</v>
      </c>
      <c r="I341" s="13">
        <v>1</v>
      </c>
      <c r="J341" s="13">
        <v>0</v>
      </c>
    </row>
    <row r="342" spans="1:10" ht="13.5" customHeight="1">
      <c r="A342" s="83" t="s">
        <v>684</v>
      </c>
      <c r="B342" s="13">
        <v>5504323</v>
      </c>
      <c r="C342" s="13">
        <v>5175438</v>
      </c>
      <c r="D342" s="13">
        <v>4171430</v>
      </c>
      <c r="E342" s="13">
        <v>4336445</v>
      </c>
      <c r="F342" s="13">
        <v>3641808</v>
      </c>
      <c r="G342" s="13">
        <v>0</v>
      </c>
      <c r="H342" s="13">
        <v>0</v>
      </c>
      <c r="I342" s="13">
        <v>1</v>
      </c>
      <c r="J342" s="13">
        <v>0</v>
      </c>
    </row>
    <row r="343" spans="1:10" ht="13.5" customHeight="1">
      <c r="A343" s="84" t="s">
        <v>370</v>
      </c>
      <c r="B343" s="13">
        <v>5504323</v>
      </c>
      <c r="C343" s="13">
        <v>5175438</v>
      </c>
      <c r="D343" s="13">
        <v>4171430</v>
      </c>
      <c r="E343" s="13">
        <v>4336445</v>
      </c>
      <c r="F343" s="13">
        <v>3641808</v>
      </c>
      <c r="G343" s="13">
        <v>0</v>
      </c>
      <c r="H343" s="13">
        <v>0</v>
      </c>
      <c r="I343" s="13">
        <v>1</v>
      </c>
      <c r="J343" s="13">
        <v>0</v>
      </c>
    </row>
    <row r="344" spans="1:10" ht="13.5" customHeight="1">
      <c r="A344" s="82" t="s">
        <v>578</v>
      </c>
      <c r="B344" s="13"/>
      <c r="C344" s="13">
        <v>808</v>
      </c>
      <c r="D344" s="13">
        <v>14506</v>
      </c>
      <c r="E344" s="13">
        <v>16318</v>
      </c>
      <c r="F344" s="13">
        <v>12535</v>
      </c>
      <c r="G344" s="13">
        <v>13166</v>
      </c>
      <c r="H344" s="13">
        <v>13112</v>
      </c>
      <c r="I344" s="13">
        <v>1</v>
      </c>
      <c r="J344" s="13">
        <v>0</v>
      </c>
    </row>
    <row r="345" spans="1:10" ht="13.5" customHeight="1">
      <c r="A345" s="83" t="s">
        <v>579</v>
      </c>
      <c r="B345" s="13"/>
      <c r="C345" s="13">
        <v>808</v>
      </c>
      <c r="D345" s="13">
        <v>14506</v>
      </c>
      <c r="E345" s="13">
        <v>16318</v>
      </c>
      <c r="F345" s="13">
        <v>12535</v>
      </c>
      <c r="G345" s="13">
        <v>13166</v>
      </c>
      <c r="H345" s="13">
        <v>13112</v>
      </c>
      <c r="I345" s="13">
        <v>1</v>
      </c>
      <c r="J345" s="13">
        <v>0</v>
      </c>
    </row>
    <row r="346" spans="1:10" ht="13.5" customHeight="1">
      <c r="A346" s="84" t="s">
        <v>580</v>
      </c>
      <c r="B346" s="13"/>
      <c r="C346" s="13">
        <v>808</v>
      </c>
      <c r="D346" s="13">
        <v>14506</v>
      </c>
      <c r="E346" s="13">
        <v>16318</v>
      </c>
      <c r="F346" s="13">
        <v>12535</v>
      </c>
      <c r="G346" s="13">
        <v>13166</v>
      </c>
      <c r="H346" s="13">
        <v>13112</v>
      </c>
      <c r="I346" s="13">
        <v>1</v>
      </c>
      <c r="J346" s="13">
        <v>0</v>
      </c>
    </row>
    <row r="347" spans="1:10" ht="13.5" customHeight="1">
      <c r="A347" s="82" t="s">
        <v>581</v>
      </c>
      <c r="B347" s="13"/>
      <c r="C347" s="13"/>
      <c r="D347" s="13">
        <v>0</v>
      </c>
      <c r="E347" s="13">
        <v>12032</v>
      </c>
      <c r="F347" s="13">
        <v>184044</v>
      </c>
      <c r="G347" s="13">
        <v>223311</v>
      </c>
      <c r="H347" s="13">
        <v>245741</v>
      </c>
      <c r="I347" s="13">
        <v>3</v>
      </c>
      <c r="J347" s="13">
        <v>0</v>
      </c>
    </row>
    <row r="348" spans="1:10" ht="13.5" customHeight="1">
      <c r="A348" s="83" t="s">
        <v>685</v>
      </c>
      <c r="B348" s="13"/>
      <c r="C348" s="13"/>
      <c r="D348" s="13">
        <v>0</v>
      </c>
      <c r="E348" s="13">
        <v>12032</v>
      </c>
      <c r="F348" s="13">
        <v>184044</v>
      </c>
      <c r="G348" s="13">
        <v>170022</v>
      </c>
      <c r="H348" s="13">
        <v>50841</v>
      </c>
      <c r="I348" s="13">
        <v>1</v>
      </c>
      <c r="J348" s="13">
        <v>0</v>
      </c>
    </row>
    <row r="349" spans="1:10" ht="13.5" customHeight="1">
      <c r="A349" s="84" t="s">
        <v>370</v>
      </c>
      <c r="B349" s="13"/>
      <c r="C349" s="13"/>
      <c r="D349" s="13">
        <v>0</v>
      </c>
      <c r="E349" s="13">
        <v>12032</v>
      </c>
      <c r="F349" s="13">
        <v>184044</v>
      </c>
      <c r="G349" s="13">
        <v>170022</v>
      </c>
      <c r="H349" s="13">
        <v>50841</v>
      </c>
      <c r="I349" s="13">
        <v>1</v>
      </c>
      <c r="J349" s="13">
        <v>0</v>
      </c>
    </row>
    <row r="350" spans="1:10" ht="13.5" customHeight="1">
      <c r="A350" s="83" t="s">
        <v>686</v>
      </c>
      <c r="B350" s="13"/>
      <c r="C350" s="13"/>
      <c r="D350" s="13"/>
      <c r="E350" s="13"/>
      <c r="F350" s="13"/>
      <c r="G350" s="13">
        <v>53289</v>
      </c>
      <c r="H350" s="13">
        <v>194900</v>
      </c>
      <c r="I350" s="13">
        <v>2</v>
      </c>
      <c r="J350" s="13">
        <v>0</v>
      </c>
    </row>
    <row r="351" spans="1:10" ht="13.5" customHeight="1">
      <c r="A351" s="84" t="s">
        <v>370</v>
      </c>
      <c r="B351" s="13"/>
      <c r="C351" s="13"/>
      <c r="D351" s="13"/>
      <c r="E351" s="13"/>
      <c r="F351" s="13"/>
      <c r="G351" s="13"/>
      <c r="H351" s="13">
        <v>12667</v>
      </c>
      <c r="I351" s="13">
        <v>1</v>
      </c>
      <c r="J351" s="13">
        <v>0</v>
      </c>
    </row>
    <row r="352" spans="1:10" ht="13.5" customHeight="1">
      <c r="A352" s="84" t="s">
        <v>687</v>
      </c>
      <c r="B352" s="13"/>
      <c r="C352" s="13"/>
      <c r="D352" s="13"/>
      <c r="E352" s="13"/>
      <c r="F352" s="13"/>
      <c r="G352" s="13">
        <v>53289</v>
      </c>
      <c r="H352" s="13">
        <v>182233</v>
      </c>
      <c r="I352" s="13">
        <v>1</v>
      </c>
      <c r="J352" s="13">
        <v>0</v>
      </c>
    </row>
    <row r="353" spans="1:10" ht="13.5" customHeight="1">
      <c r="A353" s="82" t="s">
        <v>545</v>
      </c>
      <c r="B353" s="13"/>
      <c r="C353" s="13">
        <v>14007</v>
      </c>
      <c r="D353" s="13">
        <v>7274281183</v>
      </c>
      <c r="E353" s="13">
        <v>708782514</v>
      </c>
      <c r="F353" s="13">
        <v>873132036</v>
      </c>
      <c r="G353" s="13">
        <v>981513185</v>
      </c>
      <c r="H353" s="13">
        <v>1246271540</v>
      </c>
      <c r="I353" s="13">
        <v>2</v>
      </c>
      <c r="J353" s="13">
        <v>0</v>
      </c>
    </row>
    <row r="354" spans="1:10" ht="13.5" customHeight="1">
      <c r="A354" s="83" t="s">
        <v>688</v>
      </c>
      <c r="B354" s="13"/>
      <c r="C354" s="13">
        <v>14007</v>
      </c>
      <c r="D354" s="13">
        <v>7274281183</v>
      </c>
      <c r="E354" s="13">
        <v>708782514</v>
      </c>
      <c r="F354" s="13">
        <v>873132036</v>
      </c>
      <c r="G354" s="13">
        <v>981513185</v>
      </c>
      <c r="H354" s="13">
        <v>1246271540</v>
      </c>
      <c r="I354" s="13">
        <v>2</v>
      </c>
      <c r="J354" s="13">
        <v>0</v>
      </c>
    </row>
    <row r="355" spans="1:10" ht="13.5" customHeight="1">
      <c r="A355" s="84" t="s">
        <v>689</v>
      </c>
      <c r="B355" s="13"/>
      <c r="C355" s="13">
        <v>14007</v>
      </c>
      <c r="D355" s="13">
        <v>7274281183</v>
      </c>
      <c r="E355" s="13">
        <v>708782514</v>
      </c>
      <c r="F355" s="13">
        <v>873132036</v>
      </c>
      <c r="G355" s="13">
        <v>981513185</v>
      </c>
      <c r="H355" s="13">
        <v>1246271540</v>
      </c>
      <c r="I355" s="13">
        <v>2</v>
      </c>
      <c r="J355" s="13">
        <v>0</v>
      </c>
    </row>
    <row r="356" spans="1:10" ht="13.5" customHeight="1">
      <c r="A356" s="82" t="s">
        <v>583</v>
      </c>
      <c r="B356" s="13"/>
      <c r="C356" s="13"/>
      <c r="D356" s="13"/>
      <c r="E356" s="13"/>
      <c r="F356" s="13"/>
      <c r="G356" s="13">
        <v>13387</v>
      </c>
      <c r="H356" s="13">
        <v>4422</v>
      </c>
      <c r="I356" s="13">
        <v>1</v>
      </c>
      <c r="J356" s="13">
        <v>0</v>
      </c>
    </row>
    <row r="357" spans="1:10" ht="13.5" customHeight="1">
      <c r="A357" s="83" t="s">
        <v>690</v>
      </c>
      <c r="B357" s="13"/>
      <c r="C357" s="13"/>
      <c r="D357" s="13"/>
      <c r="E357" s="13"/>
      <c r="F357" s="13"/>
      <c r="G357" s="13">
        <v>13387</v>
      </c>
      <c r="H357" s="13">
        <v>4422</v>
      </c>
      <c r="I357" s="13">
        <v>1</v>
      </c>
      <c r="J357" s="13">
        <v>0</v>
      </c>
    </row>
    <row r="358" spans="1:10" ht="13.5" customHeight="1">
      <c r="A358" s="84" t="s">
        <v>370</v>
      </c>
      <c r="B358" s="13"/>
      <c r="C358" s="13"/>
      <c r="D358" s="13"/>
      <c r="E358" s="13"/>
      <c r="F358" s="13"/>
      <c r="G358" s="13">
        <v>13387</v>
      </c>
      <c r="H358" s="13">
        <v>4422</v>
      </c>
      <c r="I358" s="13">
        <v>1</v>
      </c>
      <c r="J358" s="13">
        <v>0</v>
      </c>
    </row>
    <row r="359" spans="1:10" ht="13.5" customHeight="1">
      <c r="A359" s="82" t="s">
        <v>584</v>
      </c>
      <c r="B359" s="13"/>
      <c r="C359" s="13"/>
      <c r="D359" s="13"/>
      <c r="E359" s="13"/>
      <c r="F359" s="13"/>
      <c r="G359" s="13"/>
      <c r="H359" s="13">
        <v>370274</v>
      </c>
      <c r="I359" s="13">
        <v>1</v>
      </c>
      <c r="J359" s="13">
        <v>0</v>
      </c>
    </row>
    <row r="360" spans="1:10" ht="13.5" customHeight="1">
      <c r="A360" s="83" t="s">
        <v>691</v>
      </c>
      <c r="B360" s="13"/>
      <c r="C360" s="13"/>
      <c r="D360" s="13"/>
      <c r="E360" s="13"/>
      <c r="F360" s="13"/>
      <c r="G360" s="13"/>
      <c r="H360" s="13">
        <v>370274</v>
      </c>
      <c r="I360" s="13">
        <v>1</v>
      </c>
      <c r="J360" s="13">
        <v>0</v>
      </c>
    </row>
    <row r="361" spans="1:10" ht="13.5" customHeight="1">
      <c r="A361" s="84" t="s">
        <v>692</v>
      </c>
      <c r="B361" s="13"/>
      <c r="C361" s="13"/>
      <c r="D361" s="13"/>
      <c r="E361" s="13"/>
      <c r="F361" s="13"/>
      <c r="G361" s="13"/>
      <c r="H361" s="13">
        <v>370274</v>
      </c>
      <c r="I361" s="13">
        <v>1</v>
      </c>
      <c r="J361" s="13">
        <v>0</v>
      </c>
    </row>
    <row r="362" spans="1:10" ht="13.5" customHeight="1">
      <c r="A362" s="26" t="s">
        <v>369</v>
      </c>
      <c r="B362" s="13">
        <v>4126725446</v>
      </c>
      <c r="C362" s="13">
        <v>4223983327</v>
      </c>
      <c r="D362" s="13">
        <v>4010017648</v>
      </c>
      <c r="E362" s="13">
        <v>4141516362.5272489</v>
      </c>
      <c r="F362" s="13">
        <v>4015766113</v>
      </c>
      <c r="G362" s="13">
        <v>4284746056</v>
      </c>
      <c r="H362" s="13">
        <v>4157989305</v>
      </c>
      <c r="I362" s="13">
        <v>62</v>
      </c>
      <c r="J362" s="13">
        <v>0</v>
      </c>
    </row>
    <row r="363" spans="1:10" ht="13.5" customHeight="1">
      <c r="A363" s="82" t="s">
        <v>544</v>
      </c>
      <c r="B363" s="13">
        <v>25525204</v>
      </c>
      <c r="C363" s="13">
        <v>24444617</v>
      </c>
      <c r="D363" s="13">
        <v>24573297</v>
      </c>
      <c r="E363" s="13">
        <v>25564274.059999999</v>
      </c>
      <c r="F363" s="13">
        <v>24886365</v>
      </c>
      <c r="G363" s="13">
        <v>26263143</v>
      </c>
      <c r="H363" s="13">
        <v>25596193</v>
      </c>
      <c r="I363" s="13">
        <v>4</v>
      </c>
      <c r="J363" s="13">
        <v>0</v>
      </c>
    </row>
    <row r="364" spans="1:10" ht="13.5" customHeight="1">
      <c r="A364" s="83" t="s">
        <v>601</v>
      </c>
      <c r="B364" s="13">
        <v>25525204</v>
      </c>
      <c r="C364" s="13">
        <v>24444617</v>
      </c>
      <c r="D364" s="13">
        <v>24573297</v>
      </c>
      <c r="E364" s="13">
        <v>25564274.059999999</v>
      </c>
      <c r="F364" s="13">
        <v>24886365</v>
      </c>
      <c r="G364" s="13">
        <v>26263143</v>
      </c>
      <c r="H364" s="13">
        <v>25596193</v>
      </c>
      <c r="I364" s="13">
        <v>4</v>
      </c>
      <c r="J364" s="13">
        <v>0</v>
      </c>
    </row>
    <row r="365" spans="1:10" ht="13.5" customHeight="1">
      <c r="A365" s="84" t="s">
        <v>602</v>
      </c>
      <c r="B365" s="13">
        <v>25525204</v>
      </c>
      <c r="C365" s="13">
        <v>24444617</v>
      </c>
      <c r="D365" s="13">
        <v>24573297</v>
      </c>
      <c r="E365" s="13">
        <v>25564274.059999999</v>
      </c>
      <c r="F365" s="13">
        <v>24886365</v>
      </c>
      <c r="G365" s="13">
        <v>26263143</v>
      </c>
      <c r="H365" s="13">
        <v>25596193</v>
      </c>
      <c r="I365" s="13">
        <v>4</v>
      </c>
      <c r="J365" s="13">
        <v>0</v>
      </c>
    </row>
    <row r="366" spans="1:10" ht="13.5" customHeight="1">
      <c r="A366" s="82" t="s">
        <v>542</v>
      </c>
      <c r="B366" s="13">
        <v>3168680649</v>
      </c>
      <c r="C366" s="13">
        <v>3275684818</v>
      </c>
      <c r="D366" s="13">
        <v>3075780316</v>
      </c>
      <c r="E366" s="13">
        <v>3161348727.3400002</v>
      </c>
      <c r="F366" s="13">
        <v>3078119958</v>
      </c>
      <c r="G366" s="13">
        <v>3161903858</v>
      </c>
      <c r="H366" s="13">
        <v>3126338935</v>
      </c>
      <c r="I366" s="13">
        <v>42</v>
      </c>
      <c r="J366" s="13">
        <v>0</v>
      </c>
    </row>
    <row r="367" spans="1:10" ht="13.5" customHeight="1">
      <c r="A367" s="83" t="s">
        <v>590</v>
      </c>
      <c r="B367" s="13">
        <v>2861911126</v>
      </c>
      <c r="C367" s="13">
        <v>2925267513</v>
      </c>
      <c r="D367" s="13">
        <v>2718482583</v>
      </c>
      <c r="E367" s="13">
        <v>2796869058.0096002</v>
      </c>
      <c r="F367" s="13">
        <v>2647167113</v>
      </c>
      <c r="G367" s="13">
        <v>2729405029</v>
      </c>
      <c r="H367" s="13">
        <v>2691731346</v>
      </c>
      <c r="I367" s="13">
        <v>3</v>
      </c>
      <c r="J367" s="13">
        <v>0</v>
      </c>
    </row>
    <row r="368" spans="1:10" ht="13.5" customHeight="1">
      <c r="A368" s="84" t="s">
        <v>591</v>
      </c>
      <c r="B368" s="13">
        <v>2861911126</v>
      </c>
      <c r="C368" s="13">
        <v>2925267513</v>
      </c>
      <c r="D368" s="13">
        <v>2718482583</v>
      </c>
      <c r="E368" s="13">
        <v>2796869058.0096002</v>
      </c>
      <c r="F368" s="13">
        <v>2647167113</v>
      </c>
      <c r="G368" s="13">
        <v>2729405029</v>
      </c>
      <c r="H368" s="13">
        <v>2691731346</v>
      </c>
      <c r="I368" s="13">
        <v>3</v>
      </c>
      <c r="J368" s="13">
        <v>0</v>
      </c>
    </row>
    <row r="369" spans="1:10" ht="13.5" customHeight="1">
      <c r="A369" s="83" t="s">
        <v>609</v>
      </c>
      <c r="B369" s="13">
        <v>282959952</v>
      </c>
      <c r="C369" s="13">
        <v>325540535</v>
      </c>
      <c r="D369" s="13">
        <v>332100162</v>
      </c>
      <c r="E369" s="13">
        <v>336613272.49680001</v>
      </c>
      <c r="F369" s="13">
        <v>399956994</v>
      </c>
      <c r="G369" s="13">
        <v>402250723</v>
      </c>
      <c r="H369" s="13">
        <v>390455466</v>
      </c>
      <c r="I369" s="13">
        <v>6</v>
      </c>
      <c r="J369" s="13">
        <v>0</v>
      </c>
    </row>
    <row r="370" spans="1:10" ht="13.5" customHeight="1">
      <c r="A370" s="84" t="s">
        <v>370</v>
      </c>
      <c r="B370" s="13">
        <v>252498565</v>
      </c>
      <c r="C370" s="13">
        <v>284790985</v>
      </c>
      <c r="D370" s="13">
        <v>249796521</v>
      </c>
      <c r="E370" s="13">
        <v>251617585.52320001</v>
      </c>
      <c r="F370" s="13">
        <v>294092538</v>
      </c>
      <c r="G370" s="13">
        <v>291591137</v>
      </c>
      <c r="H370" s="13">
        <v>282399996</v>
      </c>
      <c r="I370" s="13">
        <v>5</v>
      </c>
      <c r="J370" s="13">
        <v>0</v>
      </c>
    </row>
    <row r="371" spans="1:10" ht="13.5" customHeight="1">
      <c r="A371" s="84" t="s">
        <v>591</v>
      </c>
      <c r="B371" s="13">
        <v>30461387</v>
      </c>
      <c r="C371" s="13">
        <v>40749550</v>
      </c>
      <c r="D371" s="13">
        <v>82303641</v>
      </c>
      <c r="E371" s="13">
        <v>84995686.9736</v>
      </c>
      <c r="F371" s="13">
        <v>105864456</v>
      </c>
      <c r="G371" s="13">
        <v>110659586</v>
      </c>
      <c r="H371" s="13">
        <v>108055470</v>
      </c>
      <c r="I371" s="13">
        <v>1</v>
      </c>
      <c r="J371" s="13">
        <v>0</v>
      </c>
    </row>
    <row r="372" spans="1:10" ht="13.5" customHeight="1">
      <c r="A372" s="83" t="s">
        <v>592</v>
      </c>
      <c r="B372" s="13">
        <v>3031878</v>
      </c>
      <c r="C372" s="13">
        <v>2943603</v>
      </c>
      <c r="D372" s="13">
        <v>2968924</v>
      </c>
      <c r="E372" s="13">
        <v>3311401.7872000001</v>
      </c>
      <c r="F372" s="13">
        <v>3570659</v>
      </c>
      <c r="G372" s="13">
        <v>3642868</v>
      </c>
      <c r="H372" s="13">
        <v>3769614</v>
      </c>
      <c r="I372" s="13">
        <v>1</v>
      </c>
      <c r="J372" s="13">
        <v>0</v>
      </c>
    </row>
    <row r="373" spans="1:10" ht="13.5" customHeight="1">
      <c r="A373" s="84" t="s">
        <v>370</v>
      </c>
      <c r="B373" s="13">
        <v>3031878</v>
      </c>
      <c r="C373" s="13">
        <v>2943603</v>
      </c>
      <c r="D373" s="13">
        <v>2968924</v>
      </c>
      <c r="E373" s="13">
        <v>3311401.7872000001</v>
      </c>
      <c r="F373" s="13">
        <v>3570659</v>
      </c>
      <c r="G373" s="13">
        <v>3642868</v>
      </c>
      <c r="H373" s="13">
        <v>3769614</v>
      </c>
      <c r="I373" s="13">
        <v>1</v>
      </c>
      <c r="J373" s="13">
        <v>0</v>
      </c>
    </row>
    <row r="374" spans="1:10" ht="13.5" customHeight="1">
      <c r="A374" s="83" t="s">
        <v>614</v>
      </c>
      <c r="B374" s="13">
        <v>4752644</v>
      </c>
      <c r="C374" s="13">
        <v>4729282</v>
      </c>
      <c r="D374" s="13">
        <v>4570596</v>
      </c>
      <c r="E374" s="13">
        <v>4875433.784</v>
      </c>
      <c r="F374" s="13">
        <v>6098403</v>
      </c>
      <c r="G374" s="13">
        <v>5160618</v>
      </c>
      <c r="H374" s="13">
        <v>4907736</v>
      </c>
      <c r="I374" s="13">
        <v>1</v>
      </c>
      <c r="J374" s="13">
        <v>0</v>
      </c>
    </row>
    <row r="375" spans="1:10" ht="13.5" customHeight="1">
      <c r="A375" s="84" t="s">
        <v>370</v>
      </c>
      <c r="B375" s="13">
        <v>4752644</v>
      </c>
      <c r="C375" s="13">
        <v>4729282</v>
      </c>
      <c r="D375" s="13">
        <v>4570596</v>
      </c>
      <c r="E375" s="13">
        <v>4875433.784</v>
      </c>
      <c r="F375" s="13">
        <v>6098403</v>
      </c>
      <c r="G375" s="13">
        <v>5160618</v>
      </c>
      <c r="H375" s="13">
        <v>4907736</v>
      </c>
      <c r="I375" s="13">
        <v>1</v>
      </c>
      <c r="J375" s="13">
        <v>0</v>
      </c>
    </row>
    <row r="376" spans="1:10" ht="13.5" customHeight="1">
      <c r="A376" s="83" t="s">
        <v>616</v>
      </c>
      <c r="B376" s="13">
        <v>9174285</v>
      </c>
      <c r="C376" s="13">
        <v>9778425</v>
      </c>
      <c r="D376" s="13">
        <v>10102923</v>
      </c>
      <c r="E376" s="13">
        <v>10306813.223200001</v>
      </c>
      <c r="F376" s="13">
        <v>10732462</v>
      </c>
      <c r="G376" s="13">
        <v>11368561</v>
      </c>
      <c r="H376" s="13">
        <v>12220988</v>
      </c>
      <c r="I376" s="13">
        <v>1</v>
      </c>
      <c r="J376" s="13">
        <v>0</v>
      </c>
    </row>
    <row r="377" spans="1:10" ht="13.5" customHeight="1">
      <c r="A377" s="84" t="s">
        <v>370</v>
      </c>
      <c r="B377" s="13">
        <v>9174285</v>
      </c>
      <c r="C377" s="13">
        <v>9778425</v>
      </c>
      <c r="D377" s="13">
        <v>10102923</v>
      </c>
      <c r="E377" s="13">
        <v>10306813.223200001</v>
      </c>
      <c r="F377" s="13">
        <v>10732462</v>
      </c>
      <c r="G377" s="13">
        <v>11368561</v>
      </c>
      <c r="H377" s="13">
        <v>12220988</v>
      </c>
      <c r="I377" s="13">
        <v>1</v>
      </c>
      <c r="J377" s="13">
        <v>0</v>
      </c>
    </row>
    <row r="378" spans="1:10" ht="13.5" customHeight="1">
      <c r="A378" s="83" t="s">
        <v>617</v>
      </c>
      <c r="B378" s="13">
        <v>4700283</v>
      </c>
      <c r="C378" s="13">
        <v>4819475</v>
      </c>
      <c r="D378" s="13">
        <v>4998676</v>
      </c>
      <c r="E378" s="13">
        <v>5333632.9903999995</v>
      </c>
      <c r="F378" s="13">
        <v>6047147</v>
      </c>
      <c r="G378" s="13">
        <v>6555691</v>
      </c>
      <c r="H378" s="13">
        <v>7027166</v>
      </c>
      <c r="I378" s="13">
        <v>2</v>
      </c>
      <c r="J378" s="13">
        <v>0</v>
      </c>
    </row>
    <row r="379" spans="1:10" ht="13.5" customHeight="1">
      <c r="A379" s="84" t="s">
        <v>370</v>
      </c>
      <c r="B379" s="13">
        <v>4700283</v>
      </c>
      <c r="C379" s="13">
        <v>4819475</v>
      </c>
      <c r="D379" s="13">
        <v>4998676</v>
      </c>
      <c r="E379" s="13">
        <v>5333632.9903999995</v>
      </c>
      <c r="F379" s="13">
        <v>6047147</v>
      </c>
      <c r="G379" s="13">
        <v>6555691</v>
      </c>
      <c r="H379" s="13">
        <v>7027166</v>
      </c>
      <c r="I379" s="13">
        <v>2</v>
      </c>
      <c r="J379" s="13">
        <v>0</v>
      </c>
    </row>
    <row r="380" spans="1:10" ht="13.5" customHeight="1">
      <c r="A380" s="83" t="s">
        <v>619</v>
      </c>
      <c r="B380" s="13">
        <v>1068581</v>
      </c>
      <c r="C380" s="13">
        <v>1440788</v>
      </c>
      <c r="D380" s="13">
        <v>1369478</v>
      </c>
      <c r="E380" s="13">
        <v>3093066.0488</v>
      </c>
      <c r="F380" s="13">
        <v>3620551</v>
      </c>
      <c r="G380" s="13">
        <v>2674402</v>
      </c>
      <c r="H380" s="13">
        <v>2140969</v>
      </c>
      <c r="I380" s="13">
        <v>3</v>
      </c>
      <c r="J380" s="13">
        <v>0</v>
      </c>
    </row>
    <row r="381" spans="1:10" ht="13.5" customHeight="1">
      <c r="A381" s="84" t="s">
        <v>370</v>
      </c>
      <c r="B381" s="13">
        <v>692381</v>
      </c>
      <c r="C381" s="13">
        <v>950349</v>
      </c>
      <c r="D381" s="13">
        <v>1014215</v>
      </c>
      <c r="E381" s="13">
        <v>2386437.0712000001</v>
      </c>
      <c r="F381" s="13">
        <v>3283575</v>
      </c>
      <c r="G381" s="13">
        <v>2295011</v>
      </c>
      <c r="H381" s="13">
        <v>1400103</v>
      </c>
      <c r="I381" s="13">
        <v>2</v>
      </c>
      <c r="J381" s="13">
        <v>0</v>
      </c>
    </row>
    <row r="382" spans="1:10" ht="13.5" customHeight="1">
      <c r="A382" s="84" t="s">
        <v>591</v>
      </c>
      <c r="B382" s="13">
        <v>376200</v>
      </c>
      <c r="C382" s="13">
        <v>490439</v>
      </c>
      <c r="D382" s="13">
        <v>355263</v>
      </c>
      <c r="E382" s="13">
        <v>706628.97759999998</v>
      </c>
      <c r="F382" s="13">
        <v>336976</v>
      </c>
      <c r="G382" s="13">
        <v>379391</v>
      </c>
      <c r="H382" s="13">
        <v>740866</v>
      </c>
      <c r="I382" s="13">
        <v>1</v>
      </c>
      <c r="J382" s="13">
        <v>0</v>
      </c>
    </row>
    <row r="383" spans="1:10" ht="13.5" customHeight="1">
      <c r="A383" s="83" t="s">
        <v>623</v>
      </c>
      <c r="B383" s="13">
        <v>619812</v>
      </c>
      <c r="C383" s="13">
        <v>649310</v>
      </c>
      <c r="D383" s="13">
        <v>573116</v>
      </c>
      <c r="E383" s="13">
        <v>620537.72560000001</v>
      </c>
      <c r="F383" s="13">
        <v>720843</v>
      </c>
      <c r="G383" s="13">
        <v>644389</v>
      </c>
      <c r="H383" s="13">
        <v>667657</v>
      </c>
      <c r="I383" s="13">
        <v>5</v>
      </c>
      <c r="J383" s="13">
        <v>0</v>
      </c>
    </row>
    <row r="384" spans="1:10" ht="13.5" customHeight="1">
      <c r="A384" s="84" t="s">
        <v>370</v>
      </c>
      <c r="B384" s="13">
        <v>619812</v>
      </c>
      <c r="C384" s="13">
        <v>649310</v>
      </c>
      <c r="D384" s="13">
        <v>573116</v>
      </c>
      <c r="E384" s="13">
        <v>620537.72560000001</v>
      </c>
      <c r="F384" s="13">
        <v>720843</v>
      </c>
      <c r="G384" s="13">
        <v>644389</v>
      </c>
      <c r="H384" s="13">
        <v>667657</v>
      </c>
      <c r="I384" s="13">
        <v>5</v>
      </c>
      <c r="J384" s="13">
        <v>0</v>
      </c>
    </row>
    <row r="385" spans="1:10" ht="13.5" customHeight="1">
      <c r="A385" s="83" t="s">
        <v>626</v>
      </c>
      <c r="B385" s="13"/>
      <c r="C385" s="13">
        <v>261</v>
      </c>
      <c r="D385" s="13">
        <v>1490</v>
      </c>
      <c r="E385" s="13">
        <v>5186.22</v>
      </c>
      <c r="F385" s="13">
        <v>7841</v>
      </c>
      <c r="G385" s="13">
        <v>3395</v>
      </c>
      <c r="H385" s="13">
        <v>0</v>
      </c>
      <c r="I385" s="13">
        <v>1</v>
      </c>
      <c r="J385" s="13">
        <v>0</v>
      </c>
    </row>
    <row r="386" spans="1:10" ht="13.5" customHeight="1">
      <c r="A386" s="84" t="s">
        <v>370</v>
      </c>
      <c r="B386" s="13"/>
      <c r="C386" s="13">
        <v>261</v>
      </c>
      <c r="D386" s="13">
        <v>1490</v>
      </c>
      <c r="E386" s="13">
        <v>5186.22</v>
      </c>
      <c r="F386" s="13">
        <v>7841</v>
      </c>
      <c r="G386" s="13">
        <v>3395</v>
      </c>
      <c r="H386" s="13">
        <v>0</v>
      </c>
      <c r="I386" s="13">
        <v>1</v>
      </c>
      <c r="J386" s="13">
        <v>0</v>
      </c>
    </row>
    <row r="387" spans="1:10" ht="13.5" customHeight="1">
      <c r="A387" s="83" t="s">
        <v>693</v>
      </c>
      <c r="B387" s="13">
        <v>0</v>
      </c>
      <c r="C387" s="13">
        <v>159</v>
      </c>
      <c r="D387" s="13">
        <v>85</v>
      </c>
      <c r="E387" s="13">
        <v>19.032</v>
      </c>
      <c r="F387" s="13">
        <v>27</v>
      </c>
      <c r="G387" s="13">
        <v>29</v>
      </c>
      <c r="H387" s="13">
        <v>65</v>
      </c>
      <c r="I387" s="13">
        <v>3</v>
      </c>
      <c r="J387" s="13">
        <v>0</v>
      </c>
    </row>
    <row r="388" spans="1:10" ht="13.5" customHeight="1">
      <c r="A388" s="84" t="s">
        <v>598</v>
      </c>
      <c r="B388" s="13"/>
      <c r="C388" s="13"/>
      <c r="D388" s="13"/>
      <c r="E388" s="13"/>
      <c r="F388" s="13"/>
      <c r="G388" s="13">
        <v>0</v>
      </c>
      <c r="H388" s="13">
        <v>0</v>
      </c>
      <c r="I388" s="13">
        <v>1</v>
      </c>
      <c r="J388" s="13">
        <v>0</v>
      </c>
    </row>
    <row r="389" spans="1:10" ht="13.5" customHeight="1">
      <c r="A389" s="84" t="s">
        <v>621</v>
      </c>
      <c r="B389" s="13">
        <v>0</v>
      </c>
      <c r="C389" s="13">
        <v>159</v>
      </c>
      <c r="D389" s="13">
        <v>85</v>
      </c>
      <c r="E389" s="13">
        <v>19.032</v>
      </c>
      <c r="F389" s="13">
        <v>27</v>
      </c>
      <c r="G389" s="13">
        <v>29</v>
      </c>
      <c r="H389" s="13">
        <v>65</v>
      </c>
      <c r="I389" s="13">
        <v>2</v>
      </c>
      <c r="J389" s="13">
        <v>0</v>
      </c>
    </row>
    <row r="390" spans="1:10" ht="13.5" customHeight="1">
      <c r="A390" s="83" t="s">
        <v>595</v>
      </c>
      <c r="B390" s="13">
        <v>155119</v>
      </c>
      <c r="C390" s="13">
        <v>148833</v>
      </c>
      <c r="D390" s="13">
        <v>89015</v>
      </c>
      <c r="E390" s="13">
        <v>88956.202399999995</v>
      </c>
      <c r="F390" s="13">
        <v>86061</v>
      </c>
      <c r="G390" s="13">
        <v>88809</v>
      </c>
      <c r="H390" s="13">
        <v>86604</v>
      </c>
      <c r="I390" s="13">
        <v>1</v>
      </c>
      <c r="J390" s="13">
        <v>0</v>
      </c>
    </row>
    <row r="391" spans="1:10" ht="13.5" customHeight="1">
      <c r="A391" s="84" t="s">
        <v>370</v>
      </c>
      <c r="B391" s="13">
        <v>155119</v>
      </c>
      <c r="C391" s="13">
        <v>148833</v>
      </c>
      <c r="D391" s="13">
        <v>89015</v>
      </c>
      <c r="E391" s="13">
        <v>88956.202399999995</v>
      </c>
      <c r="F391" s="13">
        <v>86061</v>
      </c>
      <c r="G391" s="13">
        <v>88809</v>
      </c>
      <c r="H391" s="13">
        <v>86604</v>
      </c>
      <c r="I391" s="13">
        <v>1</v>
      </c>
      <c r="J391" s="13">
        <v>0</v>
      </c>
    </row>
    <row r="392" spans="1:10" ht="13.5" customHeight="1">
      <c r="A392" s="83" t="s">
        <v>632</v>
      </c>
      <c r="B392" s="13">
        <v>155119</v>
      </c>
      <c r="C392" s="13">
        <v>148833</v>
      </c>
      <c r="D392" s="13">
        <v>89015</v>
      </c>
      <c r="E392" s="13">
        <v>88956.202399999995</v>
      </c>
      <c r="F392" s="13">
        <v>3057</v>
      </c>
      <c r="G392" s="13">
        <v>35</v>
      </c>
      <c r="H392" s="13">
        <v>0</v>
      </c>
      <c r="I392" s="13">
        <v>1</v>
      </c>
      <c r="J392" s="13">
        <v>0</v>
      </c>
    </row>
    <row r="393" spans="1:10" ht="13.5" customHeight="1">
      <c r="A393" s="84" t="s">
        <v>370</v>
      </c>
      <c r="B393" s="13">
        <v>155119</v>
      </c>
      <c r="C393" s="13">
        <v>148833</v>
      </c>
      <c r="D393" s="13">
        <v>89015</v>
      </c>
      <c r="E393" s="13">
        <v>88956.202399999995</v>
      </c>
      <c r="F393" s="13">
        <v>3057</v>
      </c>
      <c r="G393" s="13">
        <v>35</v>
      </c>
      <c r="H393" s="13">
        <v>0</v>
      </c>
      <c r="I393" s="13">
        <v>1</v>
      </c>
      <c r="J393" s="13">
        <v>0</v>
      </c>
    </row>
    <row r="394" spans="1:10" ht="13.5" customHeight="1">
      <c r="A394" s="83" t="s">
        <v>651</v>
      </c>
      <c r="B394" s="13"/>
      <c r="C394" s="13"/>
      <c r="D394" s="13"/>
      <c r="E394" s="13"/>
      <c r="F394" s="13"/>
      <c r="G394" s="13">
        <v>4</v>
      </c>
      <c r="H394" s="13">
        <v>18</v>
      </c>
      <c r="I394" s="13">
        <v>1</v>
      </c>
      <c r="J394" s="13">
        <v>0</v>
      </c>
    </row>
    <row r="395" spans="1:10" ht="13.5" customHeight="1">
      <c r="A395" s="84" t="s">
        <v>370</v>
      </c>
      <c r="B395" s="13"/>
      <c r="C395" s="13"/>
      <c r="D395" s="13"/>
      <c r="E395" s="13"/>
      <c r="F395" s="13"/>
      <c r="G395" s="13">
        <v>4</v>
      </c>
      <c r="H395" s="13">
        <v>18</v>
      </c>
      <c r="I395" s="13">
        <v>1</v>
      </c>
      <c r="J395" s="13">
        <v>0</v>
      </c>
    </row>
    <row r="396" spans="1:10" ht="13.5" customHeight="1">
      <c r="A396" s="83" t="s">
        <v>694</v>
      </c>
      <c r="B396" s="13">
        <v>47250</v>
      </c>
      <c r="C396" s="13">
        <v>113201</v>
      </c>
      <c r="D396" s="13">
        <v>329653</v>
      </c>
      <c r="E396" s="13">
        <v>33605.436800000003</v>
      </c>
      <c r="F396" s="13">
        <v>0</v>
      </c>
      <c r="G396" s="13">
        <v>0</v>
      </c>
      <c r="H396" s="13">
        <v>0</v>
      </c>
      <c r="I396" s="13">
        <v>1</v>
      </c>
      <c r="J396" s="13">
        <v>0</v>
      </c>
    </row>
    <row r="397" spans="1:10" ht="13.5" customHeight="1">
      <c r="A397" s="84" t="s">
        <v>621</v>
      </c>
      <c r="B397" s="13">
        <v>47250</v>
      </c>
      <c r="C397" s="13">
        <v>113201</v>
      </c>
      <c r="D397" s="13">
        <v>329653</v>
      </c>
      <c r="E397" s="13">
        <v>33605.436800000003</v>
      </c>
      <c r="F397" s="13">
        <v>0</v>
      </c>
      <c r="G397" s="13">
        <v>0</v>
      </c>
      <c r="H397" s="13">
        <v>0</v>
      </c>
      <c r="I397" s="13">
        <v>1</v>
      </c>
      <c r="J397" s="13">
        <v>0</v>
      </c>
    </row>
    <row r="398" spans="1:10" ht="13.5" customHeight="1">
      <c r="A398" s="83" t="s">
        <v>597</v>
      </c>
      <c r="B398" s="13">
        <v>104600</v>
      </c>
      <c r="C398" s="13">
        <v>104600</v>
      </c>
      <c r="D398" s="13">
        <v>104600</v>
      </c>
      <c r="E398" s="13">
        <v>108784.3744</v>
      </c>
      <c r="F398" s="13">
        <v>108784</v>
      </c>
      <c r="G398" s="13">
        <v>108784</v>
      </c>
      <c r="H398" s="13">
        <v>108784</v>
      </c>
      <c r="I398" s="13">
        <v>1</v>
      </c>
      <c r="J398" s="13">
        <v>0</v>
      </c>
    </row>
    <row r="399" spans="1:10" ht="13.5" customHeight="1">
      <c r="A399" s="84" t="s">
        <v>370</v>
      </c>
      <c r="B399" s="13">
        <v>104600</v>
      </c>
      <c r="C399" s="13">
        <v>104600</v>
      </c>
      <c r="D399" s="13">
        <v>104600</v>
      </c>
      <c r="E399" s="13">
        <v>108784.3744</v>
      </c>
      <c r="F399" s="13">
        <v>108784</v>
      </c>
      <c r="G399" s="13">
        <v>108784</v>
      </c>
      <c r="H399" s="13">
        <v>108784</v>
      </c>
      <c r="I399" s="13">
        <v>1</v>
      </c>
      <c r="J399" s="13">
        <v>0</v>
      </c>
    </row>
    <row r="400" spans="1:10" ht="13.5" customHeight="1">
      <c r="A400" s="83" t="s">
        <v>695</v>
      </c>
      <c r="B400" s="13"/>
      <c r="C400" s="13"/>
      <c r="D400" s="13"/>
      <c r="E400" s="13">
        <v>3.8064</v>
      </c>
      <c r="F400" s="13">
        <v>16</v>
      </c>
      <c r="G400" s="13">
        <v>521</v>
      </c>
      <c r="H400" s="13">
        <v>258</v>
      </c>
      <c r="I400" s="13">
        <v>2</v>
      </c>
      <c r="J400" s="13">
        <v>0</v>
      </c>
    </row>
    <row r="401" spans="1:10" ht="13.5" customHeight="1">
      <c r="A401" s="84" t="s">
        <v>370</v>
      </c>
      <c r="B401" s="13"/>
      <c r="C401" s="13"/>
      <c r="D401" s="13"/>
      <c r="E401" s="13">
        <v>3.8064</v>
      </c>
      <c r="F401" s="13">
        <v>16</v>
      </c>
      <c r="G401" s="13">
        <v>521</v>
      </c>
      <c r="H401" s="13">
        <v>258</v>
      </c>
      <c r="I401" s="13">
        <v>2</v>
      </c>
      <c r="J401" s="13">
        <v>0</v>
      </c>
    </row>
    <row r="402" spans="1:10" ht="13.5" customHeight="1">
      <c r="A402" s="83" t="s">
        <v>397</v>
      </c>
      <c r="B402" s="13"/>
      <c r="C402" s="13"/>
      <c r="D402" s="13"/>
      <c r="E402" s="13"/>
      <c r="F402" s="13"/>
      <c r="G402" s="13">
        <v>0</v>
      </c>
      <c r="H402" s="13">
        <v>13313</v>
      </c>
      <c r="I402" s="13">
        <v>1</v>
      </c>
      <c r="J402" s="13">
        <v>0</v>
      </c>
    </row>
    <row r="403" spans="1:10" ht="13.5" customHeight="1">
      <c r="A403" s="84" t="s">
        <v>370</v>
      </c>
      <c r="B403" s="13"/>
      <c r="C403" s="13"/>
      <c r="D403" s="13"/>
      <c r="E403" s="13"/>
      <c r="F403" s="13"/>
      <c r="G403" s="13">
        <v>0</v>
      </c>
      <c r="H403" s="13">
        <v>13313</v>
      </c>
      <c r="I403" s="13">
        <v>1</v>
      </c>
      <c r="J403" s="13">
        <v>0</v>
      </c>
    </row>
    <row r="404" spans="1:10" ht="13.5" customHeight="1">
      <c r="A404" s="83" t="s">
        <v>696</v>
      </c>
      <c r="B404" s="13"/>
      <c r="C404" s="13"/>
      <c r="D404" s="13"/>
      <c r="E404" s="13"/>
      <c r="F404" s="13"/>
      <c r="G404" s="13"/>
      <c r="H404" s="13">
        <v>17552</v>
      </c>
      <c r="I404" s="13">
        <v>2</v>
      </c>
      <c r="J404" s="13">
        <v>0</v>
      </c>
    </row>
    <row r="405" spans="1:10" ht="13.5" customHeight="1">
      <c r="A405" s="84" t="s">
        <v>370</v>
      </c>
      <c r="B405" s="13"/>
      <c r="C405" s="13"/>
      <c r="D405" s="13"/>
      <c r="E405" s="13"/>
      <c r="F405" s="13"/>
      <c r="G405" s="13"/>
      <c r="H405" s="13">
        <v>17552</v>
      </c>
      <c r="I405" s="13">
        <v>2</v>
      </c>
      <c r="J405" s="13">
        <v>0</v>
      </c>
    </row>
    <row r="406" spans="1:10" ht="12.75" customHeight="1">
      <c r="A406" s="83" t="s">
        <v>697</v>
      </c>
      <c r="B406" s="13"/>
      <c r="C406" s="13"/>
      <c r="D406" s="13"/>
      <c r="E406" s="13"/>
      <c r="F406" s="13"/>
      <c r="G406" s="13">
        <v>0</v>
      </c>
      <c r="H406" s="13">
        <v>13191399</v>
      </c>
      <c r="I406" s="13">
        <v>6</v>
      </c>
      <c r="J406" s="13">
        <v>0</v>
      </c>
    </row>
    <row r="407" spans="1:10" ht="13.5" customHeight="1">
      <c r="A407" s="84" t="s">
        <v>370</v>
      </c>
      <c r="B407" s="13"/>
      <c r="C407" s="13"/>
      <c r="D407" s="13"/>
      <c r="E407" s="13"/>
      <c r="F407" s="13"/>
      <c r="G407" s="13"/>
      <c r="H407" s="13">
        <v>13160320</v>
      </c>
      <c r="I407" s="13">
        <v>5</v>
      </c>
      <c r="J407" s="13">
        <v>0</v>
      </c>
    </row>
    <row r="408" spans="1:10" ht="13.5" customHeight="1">
      <c r="A408" s="84" t="s">
        <v>698</v>
      </c>
      <c r="B408" s="13"/>
      <c r="C408" s="13"/>
      <c r="D408" s="13"/>
      <c r="E408" s="13"/>
      <c r="F408" s="13"/>
      <c r="G408" s="13">
        <v>0</v>
      </c>
      <c r="H408" s="13">
        <v>31079</v>
      </c>
      <c r="I408" s="13">
        <v>1</v>
      </c>
      <c r="J408" s="13">
        <v>0</v>
      </c>
    </row>
    <row r="409" spans="1:10" ht="13.5" customHeight="1">
      <c r="A409" s="82" t="s">
        <v>567</v>
      </c>
      <c r="B409" s="13">
        <v>1098924</v>
      </c>
      <c r="C409" s="13">
        <v>1089382</v>
      </c>
      <c r="D409" s="13">
        <v>1065483</v>
      </c>
      <c r="E409" s="13">
        <v>1125954.0552000001</v>
      </c>
      <c r="F409" s="13">
        <v>1055573</v>
      </c>
      <c r="G409" s="13">
        <v>1055593</v>
      </c>
      <c r="H409" s="13">
        <v>1049657</v>
      </c>
      <c r="I409" s="13">
        <v>4</v>
      </c>
      <c r="J409" s="13">
        <v>0</v>
      </c>
    </row>
    <row r="410" spans="1:10" ht="13.5" customHeight="1">
      <c r="A410" s="83" t="s">
        <v>623</v>
      </c>
      <c r="B410" s="13"/>
      <c r="C410" s="13"/>
      <c r="D410" s="13"/>
      <c r="E410" s="13"/>
      <c r="F410" s="13"/>
      <c r="G410" s="13">
        <v>0</v>
      </c>
      <c r="H410" s="13">
        <v>0</v>
      </c>
      <c r="I410" s="13">
        <v>1</v>
      </c>
      <c r="J410" s="13">
        <v>0</v>
      </c>
    </row>
    <row r="411" spans="1:10" ht="13.5" customHeight="1">
      <c r="A411" s="84" t="s">
        <v>600</v>
      </c>
      <c r="B411" s="13"/>
      <c r="C411" s="13"/>
      <c r="D411" s="13"/>
      <c r="E411" s="13"/>
      <c r="F411" s="13"/>
      <c r="G411" s="13">
        <v>0</v>
      </c>
      <c r="H411" s="13">
        <v>0</v>
      </c>
      <c r="I411" s="13">
        <v>1</v>
      </c>
      <c r="J411" s="13">
        <v>0</v>
      </c>
    </row>
    <row r="412" spans="1:10" ht="13.5" customHeight="1">
      <c r="A412" s="83" t="s">
        <v>599</v>
      </c>
      <c r="B412" s="13">
        <v>1098924</v>
      </c>
      <c r="C412" s="13">
        <v>1089382</v>
      </c>
      <c r="D412" s="13">
        <v>1065483</v>
      </c>
      <c r="E412" s="13">
        <v>1125954.0552000001</v>
      </c>
      <c r="F412" s="13">
        <v>1055573</v>
      </c>
      <c r="G412" s="13">
        <v>1055593</v>
      </c>
      <c r="H412" s="13">
        <v>1049657</v>
      </c>
      <c r="I412" s="13">
        <v>3</v>
      </c>
      <c r="J412" s="13">
        <v>0</v>
      </c>
    </row>
    <row r="413" spans="1:10" ht="13.5" customHeight="1">
      <c r="A413" s="84" t="s">
        <v>600</v>
      </c>
      <c r="B413" s="13">
        <v>1098924</v>
      </c>
      <c r="C413" s="13">
        <v>1089382</v>
      </c>
      <c r="D413" s="13">
        <v>1065483</v>
      </c>
      <c r="E413" s="13">
        <v>1125954.0552000001</v>
      </c>
      <c r="F413" s="13">
        <v>1055573</v>
      </c>
      <c r="G413" s="13">
        <v>1055593</v>
      </c>
      <c r="H413" s="13">
        <v>1049657</v>
      </c>
      <c r="I413" s="13">
        <v>3</v>
      </c>
      <c r="J413" s="13">
        <v>0</v>
      </c>
    </row>
    <row r="414" spans="1:10" ht="13.5" customHeight="1">
      <c r="A414" s="82" t="s">
        <v>568</v>
      </c>
      <c r="B414" s="13">
        <v>771884326</v>
      </c>
      <c r="C414" s="13">
        <v>764750743</v>
      </c>
      <c r="D414" s="13">
        <v>745947979</v>
      </c>
      <c r="E414" s="13">
        <v>795240543.70724869</v>
      </c>
      <c r="F414" s="13">
        <v>735608710</v>
      </c>
      <c r="G414" s="13">
        <v>903197826</v>
      </c>
      <c r="H414" s="13">
        <v>819209414</v>
      </c>
      <c r="I414" s="13">
        <v>6</v>
      </c>
      <c r="J414" s="13">
        <v>0</v>
      </c>
    </row>
    <row r="415" spans="1:10" ht="13.5" customHeight="1">
      <c r="A415" s="83" t="s">
        <v>666</v>
      </c>
      <c r="B415" s="13">
        <v>67015755</v>
      </c>
      <c r="C415" s="13">
        <v>93084079</v>
      </c>
      <c r="D415" s="13">
        <v>86855377</v>
      </c>
      <c r="E415" s="13">
        <v>98894909.464000002</v>
      </c>
      <c r="F415" s="13">
        <v>86537325</v>
      </c>
      <c r="G415" s="13">
        <v>193495469</v>
      </c>
      <c r="H415" s="13">
        <v>100301273</v>
      </c>
      <c r="I415" s="13">
        <v>1</v>
      </c>
      <c r="J415" s="13">
        <v>0</v>
      </c>
    </row>
    <row r="416" spans="1:10" ht="13.5" customHeight="1">
      <c r="A416" s="84" t="s">
        <v>629</v>
      </c>
      <c r="B416" s="13">
        <v>67015755</v>
      </c>
      <c r="C416" s="13">
        <v>93084079</v>
      </c>
      <c r="D416" s="13">
        <v>86855377</v>
      </c>
      <c r="E416" s="13">
        <v>98894909.464000002</v>
      </c>
      <c r="F416" s="13">
        <v>86537325</v>
      </c>
      <c r="G416" s="13">
        <v>193495469</v>
      </c>
      <c r="H416" s="13">
        <v>100301273</v>
      </c>
      <c r="I416" s="13">
        <v>1</v>
      </c>
      <c r="J416" s="13">
        <v>0</v>
      </c>
    </row>
    <row r="417" spans="1:22" ht="13.5" customHeight="1">
      <c r="A417" s="83" t="s">
        <v>593</v>
      </c>
      <c r="B417" s="13">
        <v>704868571</v>
      </c>
      <c r="C417" s="13">
        <v>671666664</v>
      </c>
      <c r="D417" s="13">
        <v>659092602</v>
      </c>
      <c r="E417" s="13">
        <v>696304190.55599988</v>
      </c>
      <c r="F417" s="13">
        <v>646523571</v>
      </c>
      <c r="G417" s="13">
        <v>706952746</v>
      </c>
      <c r="H417" s="13">
        <v>716090021</v>
      </c>
      <c r="I417" s="13">
        <v>3</v>
      </c>
      <c r="J417" s="13">
        <v>0</v>
      </c>
    </row>
    <row r="418" spans="1:22" ht="13.5" customHeight="1">
      <c r="A418" s="84" t="s">
        <v>594</v>
      </c>
      <c r="B418" s="13">
        <v>704868571</v>
      </c>
      <c r="C418" s="13">
        <v>671666664</v>
      </c>
      <c r="D418" s="13">
        <v>659092602</v>
      </c>
      <c r="E418" s="13">
        <v>696304190.55599988</v>
      </c>
      <c r="F418" s="13">
        <v>646523571</v>
      </c>
      <c r="G418" s="13">
        <v>706952746</v>
      </c>
      <c r="H418" s="13">
        <v>716090021</v>
      </c>
      <c r="I418" s="13">
        <v>3</v>
      </c>
      <c r="J418" s="13">
        <v>0</v>
      </c>
    </row>
    <row r="419" spans="1:22" ht="13.5" customHeight="1">
      <c r="A419" s="83" t="s">
        <v>618</v>
      </c>
      <c r="B419" s="13">
        <v>0</v>
      </c>
      <c r="C419" s="13">
        <v>0</v>
      </c>
      <c r="D419" s="13">
        <v>0</v>
      </c>
      <c r="E419" s="13">
        <v>41443.687248793998</v>
      </c>
      <c r="F419" s="13">
        <v>2547814</v>
      </c>
      <c r="G419" s="13">
        <v>2749611</v>
      </c>
      <c r="H419" s="13">
        <v>2818120</v>
      </c>
      <c r="I419" s="13">
        <v>1</v>
      </c>
      <c r="J419" s="13">
        <v>0</v>
      </c>
    </row>
    <row r="420" spans="1:22" ht="13.5" customHeight="1">
      <c r="A420" s="84" t="s">
        <v>370</v>
      </c>
      <c r="B420" s="13">
        <v>0</v>
      </c>
      <c r="C420" s="13">
        <v>0</v>
      </c>
      <c r="D420" s="13">
        <v>0</v>
      </c>
      <c r="E420" s="13">
        <v>41443.687248793998</v>
      </c>
      <c r="F420" s="13">
        <v>2547814</v>
      </c>
      <c r="G420" s="13">
        <v>2749611</v>
      </c>
      <c r="H420" s="13">
        <v>2818120</v>
      </c>
      <c r="I420" s="13">
        <v>1</v>
      </c>
      <c r="J420" s="13">
        <v>0</v>
      </c>
    </row>
    <row r="421" spans="1:22" ht="13.5" customHeight="1">
      <c r="A421" s="83" t="s">
        <v>699</v>
      </c>
      <c r="B421" s="13"/>
      <c r="C421" s="13"/>
      <c r="D421" s="13"/>
      <c r="E421" s="13"/>
      <c r="F421" s="13"/>
      <c r="G421" s="13">
        <v>0</v>
      </c>
      <c r="H421" s="13">
        <v>0</v>
      </c>
      <c r="I421" s="13">
        <v>1</v>
      </c>
      <c r="J421" s="13">
        <v>0</v>
      </c>
      <c r="V421" s="2">
        <f>ROUND(W421*1365,0)</f>
        <v>0</v>
      </c>
    </row>
    <row r="422" spans="1:22" ht="13.5" customHeight="1">
      <c r="A422" s="84" t="s">
        <v>660</v>
      </c>
      <c r="B422" s="13"/>
      <c r="C422" s="13"/>
      <c r="D422" s="13"/>
      <c r="E422" s="13"/>
      <c r="F422" s="13"/>
      <c r="G422" s="13">
        <v>0</v>
      </c>
      <c r="H422" s="13">
        <v>0</v>
      </c>
      <c r="I422" s="13">
        <v>1</v>
      </c>
      <c r="J422" s="13">
        <v>0</v>
      </c>
    </row>
    <row r="423" spans="1:22" ht="13.5" customHeight="1">
      <c r="A423" s="82" t="s">
        <v>391</v>
      </c>
      <c r="B423" s="13">
        <v>159536336</v>
      </c>
      <c r="C423" s="13">
        <v>158013761</v>
      </c>
      <c r="D423" s="13">
        <v>153222965</v>
      </c>
      <c r="E423" s="13">
        <v>157630045.17360002</v>
      </c>
      <c r="F423" s="13">
        <v>157745674</v>
      </c>
      <c r="G423" s="13">
        <v>167348172</v>
      </c>
      <c r="H423" s="13">
        <v>159736778</v>
      </c>
      <c r="I423" s="13">
        <v>2</v>
      </c>
      <c r="J423" s="13">
        <v>0</v>
      </c>
    </row>
    <row r="424" spans="1:22" ht="13.5" customHeight="1">
      <c r="A424" s="83" t="s">
        <v>677</v>
      </c>
      <c r="B424" s="13">
        <v>33073</v>
      </c>
      <c r="C424" s="13">
        <v>35722</v>
      </c>
      <c r="D424" s="13">
        <v>46644</v>
      </c>
      <c r="E424" s="13">
        <v>33693.618399999999</v>
      </c>
      <c r="F424" s="13">
        <v>25672</v>
      </c>
      <c r="G424" s="13">
        <v>14268</v>
      </c>
      <c r="H424" s="13">
        <v>14267</v>
      </c>
      <c r="I424" s="13">
        <v>1</v>
      </c>
      <c r="J424" s="13">
        <v>0</v>
      </c>
    </row>
    <row r="425" spans="1:22" ht="13.5" customHeight="1">
      <c r="A425" s="84" t="s">
        <v>370</v>
      </c>
      <c r="B425" s="13">
        <v>33073</v>
      </c>
      <c r="C425" s="13">
        <v>35722</v>
      </c>
      <c r="D425" s="13">
        <v>46644</v>
      </c>
      <c r="E425" s="13">
        <v>33693.618399999999</v>
      </c>
      <c r="F425" s="13">
        <v>25672</v>
      </c>
      <c r="G425" s="13">
        <v>14268</v>
      </c>
      <c r="H425" s="13">
        <v>14267</v>
      </c>
      <c r="I425" s="13">
        <v>1</v>
      </c>
      <c r="J425" s="13">
        <v>0</v>
      </c>
    </row>
    <row r="426" spans="1:22" ht="13.5" customHeight="1">
      <c r="A426" s="83" t="s">
        <v>644</v>
      </c>
      <c r="B426" s="13">
        <v>159503263</v>
      </c>
      <c r="C426" s="13">
        <v>157978039</v>
      </c>
      <c r="D426" s="13">
        <v>153176321</v>
      </c>
      <c r="E426" s="13">
        <v>157596351.55520001</v>
      </c>
      <c r="F426" s="13">
        <v>157720002</v>
      </c>
      <c r="G426" s="13">
        <v>167333904</v>
      </c>
      <c r="H426" s="13">
        <v>159722511</v>
      </c>
      <c r="I426" s="13">
        <v>1</v>
      </c>
      <c r="J426" s="13">
        <v>0</v>
      </c>
    </row>
    <row r="427" spans="1:22" ht="13.5" customHeight="1">
      <c r="A427" s="84" t="s">
        <v>635</v>
      </c>
      <c r="B427" s="13">
        <v>159503263</v>
      </c>
      <c r="C427" s="13">
        <v>157978039</v>
      </c>
      <c r="D427" s="13">
        <v>153176321</v>
      </c>
      <c r="E427" s="13">
        <v>157596351.55520001</v>
      </c>
      <c r="F427" s="13">
        <v>157720002</v>
      </c>
      <c r="G427" s="13">
        <v>167333904</v>
      </c>
      <c r="H427" s="13">
        <v>159722511</v>
      </c>
      <c r="I427" s="13">
        <v>1</v>
      </c>
      <c r="J427" s="13">
        <v>0</v>
      </c>
    </row>
    <row r="428" spans="1:22" ht="13.5" customHeight="1">
      <c r="A428" s="82" t="s">
        <v>570</v>
      </c>
      <c r="B428" s="13">
        <v>1</v>
      </c>
      <c r="C428" s="13"/>
      <c r="D428" s="13">
        <v>0</v>
      </c>
      <c r="E428" s="13"/>
      <c r="F428" s="13">
        <v>0</v>
      </c>
      <c r="G428" s="13">
        <v>0</v>
      </c>
      <c r="H428" s="13">
        <v>0</v>
      </c>
      <c r="I428" s="13">
        <v>1</v>
      </c>
      <c r="J428" s="13">
        <v>0</v>
      </c>
    </row>
    <row r="429" spans="1:22" ht="13.5" customHeight="1">
      <c r="A429" s="83" t="s">
        <v>678</v>
      </c>
      <c r="B429" s="13">
        <v>1</v>
      </c>
      <c r="C429" s="13"/>
      <c r="D429" s="13">
        <v>0</v>
      </c>
      <c r="E429" s="13"/>
      <c r="F429" s="13">
        <v>0</v>
      </c>
      <c r="G429" s="13">
        <v>0</v>
      </c>
      <c r="H429" s="13">
        <v>0</v>
      </c>
      <c r="I429" s="13">
        <v>1</v>
      </c>
      <c r="J429" s="13">
        <v>0</v>
      </c>
    </row>
    <row r="430" spans="1:22" ht="13.5" customHeight="1">
      <c r="A430" s="84" t="s">
        <v>679</v>
      </c>
      <c r="B430" s="13">
        <v>1</v>
      </c>
      <c r="C430" s="13"/>
      <c r="D430" s="13">
        <v>0</v>
      </c>
      <c r="E430" s="13"/>
      <c r="F430" s="13">
        <v>0</v>
      </c>
      <c r="G430" s="13">
        <v>0</v>
      </c>
      <c r="H430" s="13">
        <v>0</v>
      </c>
      <c r="I430" s="13">
        <v>1</v>
      </c>
      <c r="J430" s="13">
        <v>0</v>
      </c>
    </row>
    <row r="431" spans="1:22" ht="13.5" customHeight="1">
      <c r="A431" s="82" t="s">
        <v>572</v>
      </c>
      <c r="B431" s="13">
        <v>6</v>
      </c>
      <c r="C431" s="13">
        <v>6</v>
      </c>
      <c r="D431" s="13">
        <v>54</v>
      </c>
      <c r="E431" s="13">
        <v>1370.9384</v>
      </c>
      <c r="F431" s="13">
        <v>738</v>
      </c>
      <c r="G431" s="13">
        <v>247</v>
      </c>
      <c r="H431" s="13">
        <v>211</v>
      </c>
      <c r="I431" s="13">
        <v>1</v>
      </c>
      <c r="J431" s="13">
        <v>0</v>
      </c>
    </row>
    <row r="432" spans="1:22" ht="13.5" customHeight="1">
      <c r="A432" s="83" t="s">
        <v>700</v>
      </c>
      <c r="B432" s="13">
        <v>6</v>
      </c>
      <c r="C432" s="13">
        <v>6</v>
      </c>
      <c r="D432" s="13">
        <v>54</v>
      </c>
      <c r="E432" s="13">
        <v>1370.9384</v>
      </c>
      <c r="F432" s="13">
        <v>738</v>
      </c>
      <c r="G432" s="13">
        <v>247</v>
      </c>
      <c r="H432" s="13">
        <v>211</v>
      </c>
      <c r="I432" s="13">
        <v>1</v>
      </c>
      <c r="J432" s="13">
        <v>0</v>
      </c>
    </row>
    <row r="433" spans="1:10" ht="13.5" customHeight="1">
      <c r="A433" s="84" t="s">
        <v>370</v>
      </c>
      <c r="B433" s="13">
        <v>6</v>
      </c>
      <c r="C433" s="13">
        <v>6</v>
      </c>
      <c r="D433" s="13">
        <v>54</v>
      </c>
      <c r="E433" s="13">
        <v>1370.9384</v>
      </c>
      <c r="F433" s="13">
        <v>738</v>
      </c>
      <c r="G433" s="13">
        <v>247</v>
      </c>
      <c r="H433" s="13">
        <v>211</v>
      </c>
      <c r="I433" s="13">
        <v>1</v>
      </c>
      <c r="J433" s="13">
        <v>0</v>
      </c>
    </row>
    <row r="434" spans="1:10" ht="13.5" customHeight="1">
      <c r="A434" s="82" t="s">
        <v>576</v>
      </c>
      <c r="B434" s="13"/>
      <c r="C434" s="13">
        <v>0</v>
      </c>
      <c r="D434" s="13">
        <v>9427554</v>
      </c>
      <c r="E434" s="13">
        <v>605447.25280000002</v>
      </c>
      <c r="F434" s="13">
        <v>18349095</v>
      </c>
      <c r="G434" s="13">
        <v>24970152</v>
      </c>
      <c r="H434" s="13">
        <v>26039966</v>
      </c>
      <c r="I434" s="13">
        <v>1</v>
      </c>
      <c r="J434" s="13">
        <v>0</v>
      </c>
    </row>
    <row r="435" spans="1:10" ht="13.5" customHeight="1">
      <c r="A435" s="83" t="s">
        <v>576</v>
      </c>
      <c r="B435" s="13"/>
      <c r="C435" s="13">
        <v>0</v>
      </c>
      <c r="D435" s="13">
        <v>9427554</v>
      </c>
      <c r="E435" s="13">
        <v>605447.25280000002</v>
      </c>
      <c r="F435" s="13">
        <v>18349095</v>
      </c>
      <c r="G435" s="13">
        <v>24970152</v>
      </c>
      <c r="H435" s="13">
        <v>26039966</v>
      </c>
      <c r="I435" s="13">
        <v>1</v>
      </c>
      <c r="J435" s="13">
        <v>0</v>
      </c>
    </row>
    <row r="436" spans="1:10" ht="13.5" customHeight="1">
      <c r="A436" s="84" t="s">
        <v>576</v>
      </c>
      <c r="B436" s="13"/>
      <c r="C436" s="13">
        <v>0</v>
      </c>
      <c r="D436" s="13">
        <v>9427554</v>
      </c>
      <c r="E436" s="13">
        <v>605447.25280000002</v>
      </c>
      <c r="F436" s="13">
        <v>18349095</v>
      </c>
      <c r="G436" s="13">
        <v>24970152</v>
      </c>
      <c r="H436" s="13">
        <v>26039966</v>
      </c>
      <c r="I436" s="13">
        <v>1</v>
      </c>
      <c r="J436" s="13">
        <v>0</v>
      </c>
    </row>
    <row r="437" spans="1:10" ht="13.5" customHeight="1">
      <c r="A437" s="82" t="s">
        <v>582</v>
      </c>
      <c r="B437" s="13"/>
      <c r="C437" s="13"/>
      <c r="D437" s="13"/>
      <c r="E437" s="13"/>
      <c r="F437" s="13"/>
      <c r="G437" s="13">
        <v>7065</v>
      </c>
      <c r="H437" s="13">
        <v>18151</v>
      </c>
      <c r="I437" s="13">
        <v>1</v>
      </c>
      <c r="J437" s="13">
        <v>0</v>
      </c>
    </row>
    <row r="438" spans="1:10" ht="13.5" customHeight="1">
      <c r="A438" s="83" t="s">
        <v>701</v>
      </c>
      <c r="B438" s="13"/>
      <c r="C438" s="13"/>
      <c r="D438" s="13"/>
      <c r="E438" s="13"/>
      <c r="F438" s="13"/>
      <c r="G438" s="13">
        <v>7065</v>
      </c>
      <c r="H438" s="13">
        <v>18151</v>
      </c>
      <c r="I438" s="13">
        <v>1</v>
      </c>
      <c r="J438" s="13">
        <v>0</v>
      </c>
    </row>
    <row r="439" spans="1:10" ht="13.5" customHeight="1">
      <c r="A439" s="84" t="s">
        <v>370</v>
      </c>
      <c r="B439" s="13"/>
      <c r="C439" s="13"/>
      <c r="D439" s="13"/>
      <c r="E439" s="13"/>
      <c r="F439" s="13"/>
      <c r="G439" s="13">
        <v>7065</v>
      </c>
      <c r="H439" s="13">
        <v>18151</v>
      </c>
      <c r="I439" s="13">
        <v>1</v>
      </c>
      <c r="J439" s="13">
        <v>0</v>
      </c>
    </row>
    <row r="440" spans="1:10" ht="13.5" customHeight="1">
      <c r="A440" s="26" t="s">
        <v>546</v>
      </c>
      <c r="B440" s="13">
        <v>231039867</v>
      </c>
      <c r="C440" s="13">
        <v>216672179</v>
      </c>
      <c r="D440" s="13">
        <v>217718863</v>
      </c>
      <c r="E440" s="13">
        <v>242606106</v>
      </c>
      <c r="F440" s="13">
        <v>247624872</v>
      </c>
      <c r="G440" s="13">
        <v>289113984</v>
      </c>
      <c r="H440" s="13">
        <v>284855685</v>
      </c>
      <c r="I440" s="13">
        <v>23</v>
      </c>
      <c r="J440" s="13">
        <v>0</v>
      </c>
    </row>
    <row r="441" spans="1:10" ht="13.5" customHeight="1">
      <c r="A441" s="82" t="s">
        <v>544</v>
      </c>
      <c r="B441" s="13">
        <v>587521</v>
      </c>
      <c r="C441" s="13">
        <v>581745</v>
      </c>
      <c r="D441" s="13">
        <v>635696</v>
      </c>
      <c r="E441" s="13">
        <v>589613</v>
      </c>
      <c r="F441" s="13">
        <v>627138</v>
      </c>
      <c r="G441" s="13">
        <v>602742</v>
      </c>
      <c r="H441" s="13">
        <v>599414</v>
      </c>
      <c r="I441" s="13">
        <v>2</v>
      </c>
      <c r="J441" s="13">
        <v>0</v>
      </c>
    </row>
    <row r="442" spans="1:10" ht="13.5" customHeight="1">
      <c r="A442" s="83" t="s">
        <v>601</v>
      </c>
      <c r="B442" s="13">
        <v>587521</v>
      </c>
      <c r="C442" s="13">
        <v>581745</v>
      </c>
      <c r="D442" s="13">
        <v>635696</v>
      </c>
      <c r="E442" s="13">
        <v>589613</v>
      </c>
      <c r="F442" s="13">
        <v>627138</v>
      </c>
      <c r="G442" s="13">
        <v>602742</v>
      </c>
      <c r="H442" s="13">
        <v>599414</v>
      </c>
      <c r="I442" s="13">
        <v>2</v>
      </c>
      <c r="J442" s="13">
        <v>0</v>
      </c>
    </row>
    <row r="443" spans="1:10" ht="13.5" customHeight="1">
      <c r="A443" s="84" t="s">
        <v>602</v>
      </c>
      <c r="B443" s="13">
        <v>587521</v>
      </c>
      <c r="C443" s="13">
        <v>581745</v>
      </c>
      <c r="D443" s="13">
        <v>635696</v>
      </c>
      <c r="E443" s="13">
        <v>589613</v>
      </c>
      <c r="F443" s="13">
        <v>627138</v>
      </c>
      <c r="G443" s="13">
        <v>602742</v>
      </c>
      <c r="H443" s="13">
        <v>599414</v>
      </c>
      <c r="I443" s="13">
        <v>2</v>
      </c>
      <c r="J443" s="13">
        <v>0</v>
      </c>
    </row>
    <row r="444" spans="1:10" ht="13.5" customHeight="1">
      <c r="A444" s="82" t="s">
        <v>542</v>
      </c>
      <c r="B444" s="13">
        <v>93093113</v>
      </c>
      <c r="C444" s="13">
        <v>92176982</v>
      </c>
      <c r="D444" s="13">
        <v>98037212</v>
      </c>
      <c r="E444" s="13">
        <v>105744448</v>
      </c>
      <c r="F444" s="13">
        <v>116879209</v>
      </c>
      <c r="G444" s="13">
        <v>165409830</v>
      </c>
      <c r="H444" s="13">
        <v>138627807</v>
      </c>
      <c r="I444" s="13">
        <v>15</v>
      </c>
      <c r="J444" s="13">
        <v>0</v>
      </c>
    </row>
    <row r="445" spans="1:10" ht="13.5" customHeight="1">
      <c r="A445" s="83" t="s">
        <v>609</v>
      </c>
      <c r="B445" s="13">
        <v>5799012</v>
      </c>
      <c r="C445" s="13">
        <v>5774792</v>
      </c>
      <c r="D445" s="13">
        <v>5023995</v>
      </c>
      <c r="E445" s="13">
        <v>6369213</v>
      </c>
      <c r="F445" s="13">
        <v>6558196</v>
      </c>
      <c r="G445" s="13">
        <v>7158754</v>
      </c>
      <c r="H445" s="13">
        <v>7338662</v>
      </c>
      <c r="I445" s="13">
        <v>1</v>
      </c>
      <c r="J445" s="13">
        <v>0</v>
      </c>
    </row>
    <row r="446" spans="1:10" ht="13.5" customHeight="1">
      <c r="A446" s="84" t="s">
        <v>370</v>
      </c>
      <c r="B446" s="13">
        <v>5799012</v>
      </c>
      <c r="C446" s="13">
        <v>5774792</v>
      </c>
      <c r="D446" s="13">
        <v>5023995</v>
      </c>
      <c r="E446" s="13">
        <v>6369213</v>
      </c>
      <c r="F446" s="13">
        <v>6558196</v>
      </c>
      <c r="G446" s="13">
        <v>7158754</v>
      </c>
      <c r="H446" s="13">
        <v>7338662</v>
      </c>
      <c r="I446" s="13">
        <v>1</v>
      </c>
      <c r="J446" s="13">
        <v>0</v>
      </c>
    </row>
    <row r="447" spans="1:10" ht="13.5" customHeight="1">
      <c r="A447" s="83" t="s">
        <v>592</v>
      </c>
      <c r="B447" s="13">
        <v>19709836</v>
      </c>
      <c r="C447" s="13">
        <v>19383761</v>
      </c>
      <c r="D447" s="13">
        <v>19480136</v>
      </c>
      <c r="E447" s="13">
        <v>23758539</v>
      </c>
      <c r="F447" s="13">
        <v>20648813</v>
      </c>
      <c r="G447" s="13">
        <v>18979576</v>
      </c>
      <c r="H447" s="13">
        <v>19354702</v>
      </c>
      <c r="I447" s="13">
        <v>2</v>
      </c>
      <c r="J447" s="13">
        <v>0</v>
      </c>
    </row>
    <row r="448" spans="1:10" ht="13.5" customHeight="1">
      <c r="A448" s="84" t="s">
        <v>370</v>
      </c>
      <c r="B448" s="13">
        <v>19709836</v>
      </c>
      <c r="C448" s="13">
        <v>19383761</v>
      </c>
      <c r="D448" s="13">
        <v>19480136</v>
      </c>
      <c r="E448" s="13">
        <v>23758539</v>
      </c>
      <c r="F448" s="13">
        <v>20648813</v>
      </c>
      <c r="G448" s="13">
        <v>18979576</v>
      </c>
      <c r="H448" s="13">
        <v>19354702</v>
      </c>
      <c r="I448" s="13">
        <v>2</v>
      </c>
      <c r="J448" s="13">
        <v>0</v>
      </c>
    </row>
    <row r="449" spans="1:10" ht="13.5" customHeight="1">
      <c r="A449" s="83" t="s">
        <v>593</v>
      </c>
      <c r="B449" s="13">
        <v>6167787</v>
      </c>
      <c r="C449" s="13">
        <v>7314688</v>
      </c>
      <c r="D449" s="13">
        <v>13828415</v>
      </c>
      <c r="E449" s="13">
        <v>13122017</v>
      </c>
      <c r="F449" s="13">
        <v>14454106</v>
      </c>
      <c r="G449" s="13">
        <v>41175739</v>
      </c>
      <c r="H449" s="13">
        <v>21136259</v>
      </c>
      <c r="I449" s="13">
        <v>2</v>
      </c>
      <c r="J449" s="13">
        <v>0</v>
      </c>
    </row>
    <row r="450" spans="1:10" ht="13.5" customHeight="1">
      <c r="A450" s="84" t="s">
        <v>594</v>
      </c>
      <c r="B450" s="13">
        <v>2608405</v>
      </c>
      <c r="C450" s="13">
        <v>3207434</v>
      </c>
      <c r="D450" s="13">
        <v>11003525</v>
      </c>
      <c r="E450" s="13">
        <v>9408522</v>
      </c>
      <c r="F450" s="13">
        <v>9919806</v>
      </c>
      <c r="G450" s="13">
        <v>28890298</v>
      </c>
      <c r="H450" s="13">
        <v>11730208</v>
      </c>
      <c r="I450" s="13">
        <v>1</v>
      </c>
      <c r="J450" s="13">
        <v>0</v>
      </c>
    </row>
    <row r="451" spans="1:10" ht="13.5" customHeight="1">
      <c r="A451" s="84" t="s">
        <v>629</v>
      </c>
      <c r="B451" s="13">
        <v>3559382</v>
      </c>
      <c r="C451" s="13">
        <v>4107254</v>
      </c>
      <c r="D451" s="13">
        <v>2824890</v>
      </c>
      <c r="E451" s="13">
        <v>3713495</v>
      </c>
      <c r="F451" s="13">
        <v>4534300</v>
      </c>
      <c r="G451" s="13">
        <v>12285441</v>
      </c>
      <c r="H451" s="13">
        <v>9406051</v>
      </c>
      <c r="I451" s="13">
        <v>1</v>
      </c>
      <c r="J451" s="13">
        <v>0</v>
      </c>
    </row>
    <row r="452" spans="1:10" ht="13.5" customHeight="1">
      <c r="A452" s="83" t="s">
        <v>617</v>
      </c>
      <c r="B452" s="13"/>
      <c r="C452" s="13"/>
      <c r="D452" s="13"/>
      <c r="E452" s="13">
        <v>46562</v>
      </c>
      <c r="F452" s="13">
        <v>485012</v>
      </c>
      <c r="G452" s="13">
        <v>594035</v>
      </c>
      <c r="H452" s="13">
        <v>536000</v>
      </c>
      <c r="I452" s="13">
        <v>1</v>
      </c>
      <c r="J452" s="13">
        <v>0</v>
      </c>
    </row>
    <row r="453" spans="1:10" ht="13.5" customHeight="1">
      <c r="A453" s="84" t="s">
        <v>370</v>
      </c>
      <c r="B453" s="13"/>
      <c r="C453" s="13"/>
      <c r="D453" s="13"/>
      <c r="E453" s="13">
        <v>46562</v>
      </c>
      <c r="F453" s="13">
        <v>485012</v>
      </c>
      <c r="G453" s="13">
        <v>594035</v>
      </c>
      <c r="H453" s="13">
        <v>536000</v>
      </c>
      <c r="I453" s="13">
        <v>1</v>
      </c>
      <c r="J453" s="13">
        <v>0</v>
      </c>
    </row>
    <row r="454" spans="1:10" ht="13.5" customHeight="1">
      <c r="A454" s="83" t="s">
        <v>623</v>
      </c>
      <c r="B454" s="13">
        <v>11171</v>
      </c>
      <c r="C454" s="13">
        <v>11218</v>
      </c>
      <c r="D454" s="13">
        <v>11327</v>
      </c>
      <c r="E454" s="13">
        <v>11497</v>
      </c>
      <c r="F454" s="13">
        <v>11833</v>
      </c>
      <c r="G454" s="13">
        <v>11591</v>
      </c>
      <c r="H454" s="13">
        <v>11527</v>
      </c>
      <c r="I454" s="13">
        <v>1</v>
      </c>
      <c r="J454" s="13">
        <v>0</v>
      </c>
    </row>
    <row r="455" spans="1:10" ht="13.5" customHeight="1">
      <c r="A455" s="84" t="s">
        <v>370</v>
      </c>
      <c r="B455" s="13">
        <v>11171</v>
      </c>
      <c r="C455" s="13">
        <v>11218</v>
      </c>
      <c r="D455" s="13">
        <v>11327</v>
      </c>
      <c r="E455" s="13">
        <v>11497</v>
      </c>
      <c r="F455" s="13">
        <v>11833</v>
      </c>
      <c r="G455" s="13">
        <v>11591</v>
      </c>
      <c r="H455" s="13">
        <v>11527</v>
      </c>
      <c r="I455" s="13">
        <v>1</v>
      </c>
      <c r="J455" s="13">
        <v>0</v>
      </c>
    </row>
    <row r="456" spans="1:10" ht="13.5" customHeight="1">
      <c r="A456" s="83" t="s">
        <v>626</v>
      </c>
      <c r="B456" s="13">
        <v>1564289</v>
      </c>
      <c r="C456" s="13">
        <v>1244102</v>
      </c>
      <c r="D456" s="13">
        <v>852074</v>
      </c>
      <c r="E456" s="13">
        <v>2687636</v>
      </c>
      <c r="F456" s="13">
        <v>2777262</v>
      </c>
      <c r="G456" s="13">
        <v>1659961</v>
      </c>
      <c r="H456" s="13">
        <v>1139637</v>
      </c>
      <c r="I456" s="13">
        <v>2</v>
      </c>
      <c r="J456" s="13">
        <v>0</v>
      </c>
    </row>
    <row r="457" spans="1:10" ht="13.5" customHeight="1">
      <c r="A457" s="84" t="s">
        <v>370</v>
      </c>
      <c r="B457" s="13">
        <v>586879</v>
      </c>
      <c r="C457" s="13">
        <v>643848</v>
      </c>
      <c r="D457" s="13">
        <v>852074</v>
      </c>
      <c r="E457" s="13">
        <v>1097154</v>
      </c>
      <c r="F457" s="13">
        <v>1083722</v>
      </c>
      <c r="G457" s="13">
        <v>1050148</v>
      </c>
      <c r="H457" s="13">
        <v>579127</v>
      </c>
      <c r="I457" s="13">
        <v>1</v>
      </c>
      <c r="J457" s="13">
        <v>0</v>
      </c>
    </row>
    <row r="458" spans="1:10" ht="13.5" customHeight="1">
      <c r="A458" s="84" t="s">
        <v>591</v>
      </c>
      <c r="B458" s="13">
        <v>977410</v>
      </c>
      <c r="C458" s="13">
        <v>600254</v>
      </c>
      <c r="D458" s="13"/>
      <c r="E458" s="13">
        <v>1590482</v>
      </c>
      <c r="F458" s="13">
        <v>1693540</v>
      </c>
      <c r="G458" s="13">
        <v>609813</v>
      </c>
      <c r="H458" s="13">
        <v>560510</v>
      </c>
      <c r="I458" s="13">
        <v>1</v>
      </c>
      <c r="J458" s="13">
        <v>0</v>
      </c>
    </row>
    <row r="459" spans="1:10" ht="13.5" customHeight="1">
      <c r="A459" s="83" t="s">
        <v>595</v>
      </c>
      <c r="B459" s="13">
        <v>53157987</v>
      </c>
      <c r="C459" s="13">
        <v>51431434</v>
      </c>
      <c r="D459" s="13">
        <v>53017031</v>
      </c>
      <c r="E459" s="13">
        <v>53740526</v>
      </c>
      <c r="F459" s="13">
        <v>66642167</v>
      </c>
      <c r="G459" s="13">
        <v>90665439</v>
      </c>
      <c r="H459" s="13">
        <v>84353643</v>
      </c>
      <c r="I459" s="13">
        <v>2</v>
      </c>
      <c r="J459" s="13">
        <v>0</v>
      </c>
    </row>
    <row r="460" spans="1:10" ht="13.5" customHeight="1">
      <c r="A460" s="84" t="s">
        <v>596</v>
      </c>
      <c r="B460" s="13">
        <v>53157987</v>
      </c>
      <c r="C460" s="13">
        <v>51431434</v>
      </c>
      <c r="D460" s="13">
        <v>53017031</v>
      </c>
      <c r="E460" s="13">
        <v>53740526</v>
      </c>
      <c r="F460" s="13">
        <v>66642167</v>
      </c>
      <c r="G460" s="13">
        <v>90665439</v>
      </c>
      <c r="H460" s="13">
        <v>84353643</v>
      </c>
      <c r="I460" s="13">
        <v>2</v>
      </c>
      <c r="J460" s="13">
        <v>0</v>
      </c>
    </row>
    <row r="461" spans="1:10" ht="13.5" customHeight="1">
      <c r="A461" s="83" t="s">
        <v>597</v>
      </c>
      <c r="B461" s="13">
        <v>6683031</v>
      </c>
      <c r="C461" s="13">
        <v>7016987</v>
      </c>
      <c r="D461" s="13">
        <v>5824234</v>
      </c>
      <c r="E461" s="13">
        <v>6008458</v>
      </c>
      <c r="F461" s="13">
        <v>5301820</v>
      </c>
      <c r="G461" s="13">
        <v>5164735</v>
      </c>
      <c r="H461" s="13">
        <v>4757377</v>
      </c>
      <c r="I461" s="13">
        <v>4</v>
      </c>
      <c r="J461" s="13">
        <v>0</v>
      </c>
    </row>
    <row r="462" spans="1:10" ht="13.5" customHeight="1">
      <c r="A462" s="84" t="s">
        <v>652</v>
      </c>
      <c r="B462" s="13">
        <v>223368</v>
      </c>
      <c r="C462" s="13">
        <v>221309</v>
      </c>
      <c r="D462" s="13">
        <v>242770</v>
      </c>
      <c r="E462" s="13">
        <v>41446</v>
      </c>
      <c r="F462" s="13"/>
      <c r="G462" s="13">
        <v>0</v>
      </c>
      <c r="H462" s="13">
        <v>0</v>
      </c>
      <c r="I462" s="13">
        <v>1</v>
      </c>
      <c r="J462" s="13">
        <v>0</v>
      </c>
    </row>
    <row r="463" spans="1:10" ht="13.5" customHeight="1">
      <c r="A463" s="84" t="s">
        <v>370</v>
      </c>
      <c r="B463" s="13">
        <v>503779</v>
      </c>
      <c r="C463" s="13">
        <v>1055450</v>
      </c>
      <c r="D463" s="13">
        <v>606572</v>
      </c>
      <c r="E463" s="13">
        <v>380602</v>
      </c>
      <c r="F463" s="13">
        <v>406679</v>
      </c>
      <c r="G463" s="13">
        <v>422688</v>
      </c>
      <c r="H463" s="13">
        <v>349678</v>
      </c>
      <c r="I463" s="13">
        <v>1</v>
      </c>
      <c r="J463" s="13">
        <v>0</v>
      </c>
    </row>
    <row r="464" spans="1:10" ht="13.5" customHeight="1">
      <c r="A464" s="84" t="s">
        <v>598</v>
      </c>
      <c r="B464" s="13">
        <v>4558269</v>
      </c>
      <c r="C464" s="13">
        <v>4227030</v>
      </c>
      <c r="D464" s="13">
        <v>3653319</v>
      </c>
      <c r="E464" s="13">
        <v>4398431</v>
      </c>
      <c r="F464" s="13">
        <v>3009806</v>
      </c>
      <c r="G464" s="13">
        <v>2728134</v>
      </c>
      <c r="H464" s="13">
        <v>2507872</v>
      </c>
      <c r="I464" s="13">
        <v>1</v>
      </c>
      <c r="J464" s="13">
        <v>0</v>
      </c>
    </row>
    <row r="465" spans="1:10" ht="13.5" customHeight="1">
      <c r="A465" s="84" t="s">
        <v>702</v>
      </c>
      <c r="B465" s="13">
        <v>1397615</v>
      </c>
      <c r="C465" s="13">
        <v>1513198</v>
      </c>
      <c r="D465" s="13">
        <v>1321573</v>
      </c>
      <c r="E465" s="13">
        <v>1187979</v>
      </c>
      <c r="F465" s="13">
        <v>1885335</v>
      </c>
      <c r="G465" s="13">
        <v>2013913</v>
      </c>
      <c r="H465" s="13">
        <v>1899827</v>
      </c>
      <c r="I465" s="13">
        <v>1</v>
      </c>
      <c r="J465" s="13">
        <v>0</v>
      </c>
    </row>
    <row r="466" spans="1:10" ht="13.5" customHeight="1">
      <c r="A466" s="82" t="s">
        <v>564</v>
      </c>
      <c r="B466" s="13"/>
      <c r="C466" s="13"/>
      <c r="D466" s="13"/>
      <c r="E466" s="13">
        <v>591194</v>
      </c>
      <c r="F466" s="13">
        <v>651070</v>
      </c>
      <c r="G466" s="13">
        <v>777813</v>
      </c>
      <c r="H466" s="13">
        <v>805333</v>
      </c>
      <c r="I466" s="13">
        <v>1</v>
      </c>
      <c r="J466" s="13">
        <v>0</v>
      </c>
    </row>
    <row r="467" spans="1:10" ht="13.5" customHeight="1">
      <c r="A467" s="83" t="s">
        <v>661</v>
      </c>
      <c r="B467" s="13"/>
      <c r="C467" s="13"/>
      <c r="D467" s="13"/>
      <c r="E467" s="13">
        <v>591194</v>
      </c>
      <c r="F467" s="13">
        <v>651070</v>
      </c>
      <c r="G467" s="13">
        <v>777813</v>
      </c>
      <c r="H467" s="13">
        <v>805333</v>
      </c>
      <c r="I467" s="13">
        <v>1</v>
      </c>
      <c r="J467" s="13">
        <v>0</v>
      </c>
    </row>
    <row r="468" spans="1:10" ht="13.5" customHeight="1">
      <c r="A468" s="84" t="s">
        <v>660</v>
      </c>
      <c r="B468" s="13"/>
      <c r="C468" s="13"/>
      <c r="D468" s="13"/>
      <c r="E468" s="13">
        <v>591194</v>
      </c>
      <c r="F468" s="13">
        <v>651070</v>
      </c>
      <c r="G468" s="13">
        <v>777813</v>
      </c>
      <c r="H468" s="13">
        <v>805333</v>
      </c>
      <c r="I468" s="13">
        <v>1</v>
      </c>
      <c r="J468" s="13">
        <v>0</v>
      </c>
    </row>
    <row r="469" spans="1:10" ht="13.5" customHeight="1">
      <c r="A469" s="82" t="s">
        <v>567</v>
      </c>
      <c r="B469" s="13">
        <v>140478</v>
      </c>
      <c r="C469" s="13">
        <v>107409</v>
      </c>
      <c r="D469" s="13">
        <v>15660</v>
      </c>
      <c r="E469" s="13">
        <v>6611</v>
      </c>
      <c r="F469" s="13">
        <v>6804</v>
      </c>
      <c r="G469" s="13">
        <v>6665</v>
      </c>
      <c r="H469" s="13">
        <v>6628</v>
      </c>
      <c r="I469" s="13">
        <v>1</v>
      </c>
      <c r="J469" s="13">
        <v>0</v>
      </c>
    </row>
    <row r="470" spans="1:10" ht="13.5" customHeight="1">
      <c r="A470" s="83" t="s">
        <v>609</v>
      </c>
      <c r="B470" s="13">
        <v>140478</v>
      </c>
      <c r="C470" s="13">
        <v>107409</v>
      </c>
      <c r="D470" s="13">
        <v>15660</v>
      </c>
      <c r="E470" s="13">
        <v>6611</v>
      </c>
      <c r="F470" s="13">
        <v>6804</v>
      </c>
      <c r="G470" s="13">
        <v>6665</v>
      </c>
      <c r="H470" s="13">
        <v>6628</v>
      </c>
      <c r="I470" s="13">
        <v>1</v>
      </c>
      <c r="J470" s="13">
        <v>0</v>
      </c>
    </row>
    <row r="471" spans="1:10" ht="13.5" customHeight="1">
      <c r="A471" s="84" t="s">
        <v>600</v>
      </c>
      <c r="B471" s="13">
        <v>140478</v>
      </c>
      <c r="C471" s="13">
        <v>107409</v>
      </c>
      <c r="D471" s="13">
        <v>15660</v>
      </c>
      <c r="E471" s="13">
        <v>6611</v>
      </c>
      <c r="F471" s="13">
        <v>6804</v>
      </c>
      <c r="G471" s="13">
        <v>6665</v>
      </c>
      <c r="H471" s="13">
        <v>6628</v>
      </c>
      <c r="I471" s="13">
        <v>1</v>
      </c>
      <c r="J471" s="13">
        <v>0</v>
      </c>
    </row>
    <row r="472" spans="1:10" ht="13.5" customHeight="1">
      <c r="A472" s="82" t="s">
        <v>568</v>
      </c>
      <c r="B472" s="13">
        <v>134565092</v>
      </c>
      <c r="C472" s="13">
        <v>121875592</v>
      </c>
      <c r="D472" s="13">
        <v>117556032</v>
      </c>
      <c r="E472" s="13">
        <v>134067303</v>
      </c>
      <c r="F472" s="13">
        <v>127817756</v>
      </c>
      <c r="G472" s="13">
        <v>120803051</v>
      </c>
      <c r="H472" s="13">
        <v>143164151</v>
      </c>
      <c r="I472" s="13">
        <v>2</v>
      </c>
      <c r="J472" s="13">
        <v>0</v>
      </c>
    </row>
    <row r="473" spans="1:10" ht="13.5" customHeight="1">
      <c r="A473" s="83" t="s">
        <v>593</v>
      </c>
      <c r="B473" s="13">
        <v>134565092</v>
      </c>
      <c r="C473" s="13">
        <v>121875592</v>
      </c>
      <c r="D473" s="13">
        <v>117556032</v>
      </c>
      <c r="E473" s="13">
        <v>134067303</v>
      </c>
      <c r="F473" s="13">
        <v>127817756</v>
      </c>
      <c r="G473" s="13">
        <v>120803051</v>
      </c>
      <c r="H473" s="13">
        <v>143164151</v>
      </c>
      <c r="I473" s="13">
        <v>2</v>
      </c>
      <c r="J473" s="13">
        <v>0</v>
      </c>
    </row>
    <row r="474" spans="1:10" ht="13.5" customHeight="1">
      <c r="A474" s="84" t="s">
        <v>594</v>
      </c>
      <c r="B474" s="13">
        <v>134565092</v>
      </c>
      <c r="C474" s="13">
        <v>121875592</v>
      </c>
      <c r="D474" s="13">
        <v>117556032</v>
      </c>
      <c r="E474" s="13">
        <v>134067303</v>
      </c>
      <c r="F474" s="13">
        <v>127817756</v>
      </c>
      <c r="G474" s="13">
        <v>120803051</v>
      </c>
      <c r="H474" s="13">
        <v>143164151</v>
      </c>
      <c r="I474" s="13">
        <v>2</v>
      </c>
      <c r="J474" s="13">
        <v>0</v>
      </c>
    </row>
    <row r="475" spans="1:10" ht="13.5" customHeight="1">
      <c r="A475" s="82" t="s">
        <v>570</v>
      </c>
      <c r="B475" s="13">
        <v>2653663</v>
      </c>
      <c r="C475" s="13">
        <v>1930451</v>
      </c>
      <c r="D475" s="13">
        <v>1474263</v>
      </c>
      <c r="E475" s="13">
        <v>1606937</v>
      </c>
      <c r="F475" s="13">
        <v>1642895</v>
      </c>
      <c r="G475" s="13">
        <v>1513883</v>
      </c>
      <c r="H475" s="13">
        <v>1652352</v>
      </c>
      <c r="I475" s="13">
        <v>2</v>
      </c>
      <c r="J475" s="13">
        <v>0</v>
      </c>
    </row>
    <row r="476" spans="1:10" ht="13.5" customHeight="1">
      <c r="A476" s="83" t="s">
        <v>678</v>
      </c>
      <c r="B476" s="13">
        <v>2653663</v>
      </c>
      <c r="C476" s="13">
        <v>1930451</v>
      </c>
      <c r="D476" s="13">
        <v>1474263</v>
      </c>
      <c r="E476" s="13">
        <v>1606937</v>
      </c>
      <c r="F476" s="13">
        <v>1642895</v>
      </c>
      <c r="G476" s="13">
        <v>1513883</v>
      </c>
      <c r="H476" s="13">
        <v>1652352</v>
      </c>
      <c r="I476" s="13">
        <v>2</v>
      </c>
      <c r="J476" s="13">
        <v>0</v>
      </c>
    </row>
    <row r="477" spans="1:10" ht="13.5" customHeight="1">
      <c r="A477" s="84" t="s">
        <v>679</v>
      </c>
      <c r="B477" s="13">
        <v>2653663</v>
      </c>
      <c r="C477" s="13">
        <v>1930451</v>
      </c>
      <c r="D477" s="13">
        <v>1474263</v>
      </c>
      <c r="E477" s="13">
        <v>1606937</v>
      </c>
      <c r="F477" s="13">
        <v>1642895</v>
      </c>
      <c r="G477" s="13">
        <v>1513883</v>
      </c>
      <c r="H477" s="13">
        <v>1652352</v>
      </c>
      <c r="I477" s="13">
        <v>2</v>
      </c>
      <c r="J477" s="13">
        <v>0</v>
      </c>
    </row>
    <row r="478" spans="1:10" ht="13.5" customHeight="1">
      <c r="A478" s="26" t="s">
        <v>547</v>
      </c>
      <c r="B478" s="13">
        <v>54180851</v>
      </c>
      <c r="C478" s="13">
        <v>58782491</v>
      </c>
      <c r="D478" s="13">
        <v>79178511</v>
      </c>
      <c r="E478" s="13">
        <v>112406291.05928881</v>
      </c>
      <c r="F478" s="13">
        <v>449633791</v>
      </c>
      <c r="G478" s="13">
        <v>318660325</v>
      </c>
      <c r="H478" s="13">
        <v>192947547</v>
      </c>
      <c r="I478" s="13">
        <v>75</v>
      </c>
      <c r="J478" s="13">
        <v>0</v>
      </c>
    </row>
    <row r="479" spans="1:10" ht="13.5" customHeight="1">
      <c r="A479" s="82" t="s">
        <v>562</v>
      </c>
      <c r="B479" s="13">
        <v>4657575</v>
      </c>
      <c r="C479" s="13">
        <v>4624259</v>
      </c>
      <c r="D479" s="13">
        <v>4360346</v>
      </c>
      <c r="E479" s="13">
        <v>4535924.9897238901</v>
      </c>
      <c r="F479" s="13">
        <v>2905468</v>
      </c>
      <c r="G479" s="13">
        <v>4747557</v>
      </c>
      <c r="H479" s="13">
        <v>4697332</v>
      </c>
      <c r="I479" s="13">
        <v>1</v>
      </c>
      <c r="J479" s="13">
        <v>0</v>
      </c>
    </row>
    <row r="480" spans="1:10" ht="13.5" customHeight="1">
      <c r="A480" s="83" t="s">
        <v>623</v>
      </c>
      <c r="B480" s="13">
        <v>4657575</v>
      </c>
      <c r="C480" s="13">
        <v>4624259</v>
      </c>
      <c r="D480" s="13">
        <v>4360346</v>
      </c>
      <c r="E480" s="13">
        <v>4535924.9897238901</v>
      </c>
      <c r="F480" s="13">
        <v>2905468</v>
      </c>
      <c r="G480" s="13">
        <v>4747557</v>
      </c>
      <c r="H480" s="13">
        <v>4697332</v>
      </c>
      <c r="I480" s="13">
        <v>1</v>
      </c>
      <c r="J480" s="13">
        <v>0</v>
      </c>
    </row>
    <row r="481" spans="1:10" ht="13.5" customHeight="1">
      <c r="A481" s="84" t="s">
        <v>703</v>
      </c>
      <c r="B481" s="13">
        <v>4657575</v>
      </c>
      <c r="C481" s="13">
        <v>4624259</v>
      </c>
      <c r="D481" s="13">
        <v>4360346</v>
      </c>
      <c r="E481" s="13">
        <v>4535924.9897238901</v>
      </c>
      <c r="F481" s="13">
        <v>2905468</v>
      </c>
      <c r="G481" s="13">
        <v>4747557</v>
      </c>
      <c r="H481" s="13">
        <v>4697332</v>
      </c>
      <c r="I481" s="13">
        <v>1</v>
      </c>
      <c r="J481" s="13">
        <v>0</v>
      </c>
    </row>
    <row r="482" spans="1:10" ht="13.5" customHeight="1">
      <c r="A482" s="82" t="s">
        <v>542</v>
      </c>
      <c r="B482" s="13">
        <v>12910351</v>
      </c>
      <c r="C482" s="13">
        <v>17609247</v>
      </c>
      <c r="D482" s="13">
        <v>28453083</v>
      </c>
      <c r="E482" s="13">
        <v>56354195.714549541</v>
      </c>
      <c r="F482" s="13">
        <v>402442937</v>
      </c>
      <c r="G482" s="13">
        <v>244119781</v>
      </c>
      <c r="H482" s="13">
        <v>110970321</v>
      </c>
      <c r="I482" s="13">
        <v>60</v>
      </c>
      <c r="J482" s="13">
        <v>0</v>
      </c>
    </row>
    <row r="483" spans="1:10" ht="13.5" customHeight="1">
      <c r="A483" s="83" t="s">
        <v>590</v>
      </c>
      <c r="B483" s="13"/>
      <c r="C483" s="13"/>
      <c r="D483" s="13"/>
      <c r="E483" s="13"/>
      <c r="F483" s="13"/>
      <c r="G483" s="13"/>
      <c r="H483" s="13">
        <v>149</v>
      </c>
      <c r="I483" s="13">
        <v>2</v>
      </c>
      <c r="J483" s="13">
        <v>0</v>
      </c>
    </row>
    <row r="484" spans="1:10" ht="13.5" customHeight="1">
      <c r="A484" s="84" t="s">
        <v>591</v>
      </c>
      <c r="B484" s="13"/>
      <c r="C484" s="13"/>
      <c r="D484" s="13"/>
      <c r="E484" s="13"/>
      <c r="F484" s="13"/>
      <c r="G484" s="13"/>
      <c r="H484" s="13">
        <v>149</v>
      </c>
      <c r="I484" s="13">
        <v>2</v>
      </c>
      <c r="J484" s="13">
        <v>0</v>
      </c>
    </row>
    <row r="485" spans="1:10" ht="13.5" customHeight="1">
      <c r="A485" s="83" t="s">
        <v>609</v>
      </c>
      <c r="B485" s="13">
        <v>5954479</v>
      </c>
      <c r="C485" s="13">
        <v>6978923</v>
      </c>
      <c r="D485" s="13">
        <v>6617440</v>
      </c>
      <c r="E485" s="13">
        <v>6051665.817625762</v>
      </c>
      <c r="F485" s="13">
        <v>5900228</v>
      </c>
      <c r="G485" s="13">
        <v>6574979</v>
      </c>
      <c r="H485" s="13">
        <v>10138308</v>
      </c>
      <c r="I485" s="13">
        <v>4</v>
      </c>
      <c r="J485" s="13">
        <v>0</v>
      </c>
    </row>
    <row r="486" spans="1:10" ht="13.5" customHeight="1">
      <c r="A486" s="84" t="s">
        <v>370</v>
      </c>
      <c r="B486" s="13">
        <v>5954479</v>
      </c>
      <c r="C486" s="13">
        <v>6978923</v>
      </c>
      <c r="D486" s="13">
        <v>6617440</v>
      </c>
      <c r="E486" s="13">
        <v>6051665.817625762</v>
      </c>
      <c r="F486" s="13">
        <v>5900228</v>
      </c>
      <c r="G486" s="13">
        <v>6574979</v>
      </c>
      <c r="H486" s="13">
        <v>10138308</v>
      </c>
      <c r="I486" s="13">
        <v>4</v>
      </c>
      <c r="J486" s="13">
        <v>0</v>
      </c>
    </row>
    <row r="487" spans="1:10" ht="13.5" customHeight="1">
      <c r="A487" s="83" t="s">
        <v>592</v>
      </c>
      <c r="B487" s="13">
        <v>1</v>
      </c>
      <c r="C487" s="13">
        <v>3</v>
      </c>
      <c r="D487" s="13">
        <v>5</v>
      </c>
      <c r="E487" s="13">
        <v>0.89483713234818996</v>
      </c>
      <c r="F487" s="13">
        <v>1</v>
      </c>
      <c r="G487" s="13">
        <v>0</v>
      </c>
      <c r="H487" s="13">
        <v>1</v>
      </c>
      <c r="I487" s="13">
        <v>2</v>
      </c>
      <c r="J487" s="13">
        <v>0</v>
      </c>
    </row>
    <row r="488" spans="1:10" ht="13.5" customHeight="1">
      <c r="A488" s="84" t="s">
        <v>370</v>
      </c>
      <c r="B488" s="13">
        <v>1</v>
      </c>
      <c r="C488" s="13">
        <v>3</v>
      </c>
      <c r="D488" s="13">
        <v>5</v>
      </c>
      <c r="E488" s="13">
        <v>0.89483713234818996</v>
      </c>
      <c r="F488" s="13">
        <v>1</v>
      </c>
      <c r="G488" s="13">
        <v>0</v>
      </c>
      <c r="H488" s="13">
        <v>1</v>
      </c>
      <c r="I488" s="13">
        <v>2</v>
      </c>
      <c r="J488" s="13">
        <v>0</v>
      </c>
    </row>
    <row r="489" spans="1:10" ht="13.5" customHeight="1">
      <c r="A489" s="83" t="s">
        <v>610</v>
      </c>
      <c r="B489" s="13">
        <v>31442</v>
      </c>
      <c r="C489" s="13">
        <v>31917</v>
      </c>
      <c r="D489" s="13">
        <v>30756</v>
      </c>
      <c r="E489" s="13">
        <v>31847.9496317054</v>
      </c>
      <c r="F489" s="13">
        <v>20477</v>
      </c>
      <c r="G489" s="13">
        <v>33337</v>
      </c>
      <c r="H489" s="13">
        <v>32771</v>
      </c>
      <c r="I489" s="13">
        <v>1</v>
      </c>
      <c r="J489" s="13">
        <v>0</v>
      </c>
    </row>
    <row r="490" spans="1:10" ht="13.5" customHeight="1">
      <c r="A490" s="84" t="s">
        <v>611</v>
      </c>
      <c r="B490" s="13">
        <v>31442</v>
      </c>
      <c r="C490" s="13">
        <v>31917</v>
      </c>
      <c r="D490" s="13">
        <v>30756</v>
      </c>
      <c r="E490" s="13">
        <v>31847.9496317054</v>
      </c>
      <c r="F490" s="13">
        <v>20477</v>
      </c>
      <c r="G490" s="13">
        <v>33337</v>
      </c>
      <c r="H490" s="13">
        <v>32771</v>
      </c>
      <c r="I490" s="13">
        <v>1</v>
      </c>
      <c r="J490" s="13">
        <v>0</v>
      </c>
    </row>
    <row r="491" spans="1:10" ht="13.5" customHeight="1">
      <c r="A491" s="83" t="s">
        <v>542</v>
      </c>
      <c r="B491" s="13"/>
      <c r="C491" s="13"/>
      <c r="D491" s="13"/>
      <c r="E491" s="13"/>
      <c r="F491" s="13">
        <v>333340053</v>
      </c>
      <c r="G491" s="13">
        <v>102601463</v>
      </c>
      <c r="H491" s="13">
        <v>2</v>
      </c>
      <c r="I491" s="13">
        <v>4</v>
      </c>
      <c r="J491" s="13">
        <v>0</v>
      </c>
    </row>
    <row r="492" spans="1:10" ht="13.5" customHeight="1">
      <c r="A492" s="84" t="s">
        <v>370</v>
      </c>
      <c r="B492" s="13"/>
      <c r="C492" s="13"/>
      <c r="D492" s="13"/>
      <c r="E492" s="13"/>
      <c r="F492" s="13">
        <v>333340053</v>
      </c>
      <c r="G492" s="13">
        <v>102601463</v>
      </c>
      <c r="H492" s="13">
        <v>2</v>
      </c>
      <c r="I492" s="13">
        <v>4</v>
      </c>
      <c r="J492" s="13">
        <v>0</v>
      </c>
    </row>
    <row r="493" spans="1:10" ht="13.5" customHeight="1">
      <c r="A493" s="83" t="s">
        <v>613</v>
      </c>
      <c r="B493" s="13">
        <v>625932</v>
      </c>
      <c r="C493" s="13">
        <v>596236</v>
      </c>
      <c r="D493" s="13">
        <v>665053</v>
      </c>
      <c r="E493" s="13">
        <v>530842.00577642105</v>
      </c>
      <c r="F493" s="13">
        <v>385845</v>
      </c>
      <c r="G493" s="13">
        <v>246754</v>
      </c>
      <c r="H493" s="13">
        <v>690313</v>
      </c>
      <c r="I493" s="13">
        <v>2</v>
      </c>
      <c r="J493" s="13">
        <v>0</v>
      </c>
    </row>
    <row r="494" spans="1:10" ht="13.5" customHeight="1">
      <c r="A494" s="84" t="s">
        <v>598</v>
      </c>
      <c r="B494" s="13">
        <v>335</v>
      </c>
      <c r="C494" s="13">
        <v>355</v>
      </c>
      <c r="D494" s="13">
        <v>344</v>
      </c>
      <c r="E494" s="13">
        <v>340.91250228800499</v>
      </c>
      <c r="F494" s="13">
        <v>254</v>
      </c>
      <c r="G494" s="13">
        <v>409</v>
      </c>
      <c r="H494" s="13">
        <v>410</v>
      </c>
      <c r="I494" s="13">
        <v>1</v>
      </c>
      <c r="J494" s="13">
        <v>0</v>
      </c>
    </row>
    <row r="495" spans="1:10" ht="13.5" customHeight="1">
      <c r="A495" s="84" t="s">
        <v>591</v>
      </c>
      <c r="B495" s="13">
        <v>625597</v>
      </c>
      <c r="C495" s="13">
        <v>595881</v>
      </c>
      <c r="D495" s="13">
        <v>664709</v>
      </c>
      <c r="E495" s="13">
        <v>530501.09327413305</v>
      </c>
      <c r="F495" s="13">
        <v>385591</v>
      </c>
      <c r="G495" s="13">
        <v>246345</v>
      </c>
      <c r="H495" s="13">
        <v>689903</v>
      </c>
      <c r="I495" s="13">
        <v>1</v>
      </c>
      <c r="J495" s="13">
        <v>0</v>
      </c>
    </row>
    <row r="496" spans="1:10" ht="13.5" customHeight="1">
      <c r="A496" s="83" t="s">
        <v>704</v>
      </c>
      <c r="B496" s="13">
        <v>512356</v>
      </c>
      <c r="C496" s="13">
        <v>539312</v>
      </c>
      <c r="D496" s="13">
        <v>1229583</v>
      </c>
      <c r="E496" s="13">
        <v>545748.94482780015</v>
      </c>
      <c r="F496" s="13">
        <v>284497</v>
      </c>
      <c r="G496" s="13">
        <v>484818</v>
      </c>
      <c r="H496" s="13">
        <v>431549</v>
      </c>
      <c r="I496" s="13">
        <v>3</v>
      </c>
      <c r="J496" s="13">
        <v>0</v>
      </c>
    </row>
    <row r="497" spans="1:10" ht="13.5" customHeight="1">
      <c r="A497" s="84" t="s">
        <v>370</v>
      </c>
      <c r="B497" s="13">
        <v>512356</v>
      </c>
      <c r="C497" s="13">
        <v>539312</v>
      </c>
      <c r="D497" s="13">
        <v>1229583</v>
      </c>
      <c r="E497" s="13">
        <v>545748.94482780015</v>
      </c>
      <c r="F497" s="13">
        <v>284497</v>
      </c>
      <c r="G497" s="13">
        <v>484818</v>
      </c>
      <c r="H497" s="13">
        <v>431549</v>
      </c>
      <c r="I497" s="13">
        <v>3</v>
      </c>
      <c r="J497" s="13">
        <v>0</v>
      </c>
    </row>
    <row r="498" spans="1:10" ht="13.5" customHeight="1">
      <c r="A498" s="83" t="s">
        <v>614</v>
      </c>
      <c r="B498" s="13">
        <v>2178</v>
      </c>
      <c r="C498" s="13">
        <v>14</v>
      </c>
      <c r="D498" s="13">
        <v>14</v>
      </c>
      <c r="E498" s="13">
        <v>14.2590177364624</v>
      </c>
      <c r="F498" s="13">
        <v>260</v>
      </c>
      <c r="G498" s="13">
        <v>15</v>
      </c>
      <c r="H498" s="13">
        <v>15</v>
      </c>
      <c r="I498" s="13">
        <v>1</v>
      </c>
      <c r="J498" s="13">
        <v>0</v>
      </c>
    </row>
    <row r="499" spans="1:10" ht="13.5" customHeight="1">
      <c r="A499" s="84" t="s">
        <v>370</v>
      </c>
      <c r="B499" s="13">
        <v>2178</v>
      </c>
      <c r="C499" s="13">
        <v>14</v>
      </c>
      <c r="D499" s="13">
        <v>14</v>
      </c>
      <c r="E499" s="13">
        <v>14.2590177364624</v>
      </c>
      <c r="F499" s="13">
        <v>260</v>
      </c>
      <c r="G499" s="13">
        <v>15</v>
      </c>
      <c r="H499" s="13">
        <v>15</v>
      </c>
      <c r="I499" s="13">
        <v>1</v>
      </c>
      <c r="J499" s="13">
        <v>0</v>
      </c>
    </row>
    <row r="500" spans="1:10" ht="13.5" customHeight="1">
      <c r="A500" s="83" t="s">
        <v>616</v>
      </c>
      <c r="B500" s="13"/>
      <c r="C500" s="13"/>
      <c r="D500" s="13"/>
      <c r="E500" s="13"/>
      <c r="F500" s="13">
        <v>17855</v>
      </c>
      <c r="G500" s="13">
        <v>542384</v>
      </c>
      <c r="H500" s="13">
        <v>298980</v>
      </c>
      <c r="I500" s="13">
        <v>2</v>
      </c>
      <c r="J500" s="13">
        <v>0</v>
      </c>
    </row>
    <row r="501" spans="1:10" ht="13.5" customHeight="1">
      <c r="A501" s="84" t="s">
        <v>370</v>
      </c>
      <c r="B501" s="13"/>
      <c r="C501" s="13"/>
      <c r="D501" s="13"/>
      <c r="E501" s="13"/>
      <c r="F501" s="13">
        <v>17855</v>
      </c>
      <c r="G501" s="13">
        <v>542384</v>
      </c>
      <c r="H501" s="13">
        <v>298980</v>
      </c>
      <c r="I501" s="13">
        <v>2</v>
      </c>
      <c r="J501" s="13">
        <v>0</v>
      </c>
    </row>
    <row r="502" spans="1:10" ht="13.5" customHeight="1">
      <c r="A502" s="83" t="s">
        <v>619</v>
      </c>
      <c r="B502" s="13">
        <v>34099</v>
      </c>
      <c r="C502" s="13">
        <v>34149</v>
      </c>
      <c r="D502" s="13">
        <v>32510</v>
      </c>
      <c r="E502" s="13">
        <v>33139.061804389799</v>
      </c>
      <c r="F502" s="13">
        <v>21327</v>
      </c>
      <c r="G502" s="13">
        <v>34679</v>
      </c>
      <c r="H502" s="13">
        <v>33942</v>
      </c>
      <c r="I502" s="13">
        <v>1</v>
      </c>
      <c r="J502" s="13">
        <v>0</v>
      </c>
    </row>
    <row r="503" spans="1:10" ht="13.5" customHeight="1">
      <c r="A503" s="84" t="s">
        <v>370</v>
      </c>
      <c r="B503" s="13">
        <v>34099</v>
      </c>
      <c r="C503" s="13">
        <v>34149</v>
      </c>
      <c r="D503" s="13">
        <v>32510</v>
      </c>
      <c r="E503" s="13">
        <v>33139.061804389799</v>
      </c>
      <c r="F503" s="13">
        <v>21327</v>
      </c>
      <c r="G503" s="13">
        <v>34679</v>
      </c>
      <c r="H503" s="13">
        <v>33942</v>
      </c>
      <c r="I503" s="13">
        <v>1</v>
      </c>
      <c r="J503" s="13">
        <v>0</v>
      </c>
    </row>
    <row r="504" spans="1:10" ht="13.5" customHeight="1">
      <c r="A504" s="83" t="s">
        <v>623</v>
      </c>
      <c r="B504" s="13">
        <v>599319</v>
      </c>
      <c r="C504" s="13">
        <v>588545</v>
      </c>
      <c r="D504" s="13">
        <v>555717</v>
      </c>
      <c r="E504" s="13">
        <v>575270.53306360496</v>
      </c>
      <c r="F504" s="13">
        <v>366948</v>
      </c>
      <c r="G504" s="13">
        <v>601721</v>
      </c>
      <c r="H504" s="13">
        <v>592517</v>
      </c>
      <c r="I504" s="13">
        <v>1</v>
      </c>
      <c r="J504" s="13">
        <v>0</v>
      </c>
    </row>
    <row r="505" spans="1:10" ht="13.5" customHeight="1">
      <c r="A505" s="84" t="s">
        <v>370</v>
      </c>
      <c r="B505" s="13">
        <v>599319</v>
      </c>
      <c r="C505" s="13">
        <v>588545</v>
      </c>
      <c r="D505" s="13">
        <v>555717</v>
      </c>
      <c r="E505" s="13">
        <v>575270.53306360496</v>
      </c>
      <c r="F505" s="13">
        <v>366948</v>
      </c>
      <c r="G505" s="13">
        <v>601721</v>
      </c>
      <c r="H505" s="13">
        <v>592517</v>
      </c>
      <c r="I505" s="13">
        <v>1</v>
      </c>
      <c r="J505" s="13">
        <v>0</v>
      </c>
    </row>
    <row r="506" spans="1:10" ht="13.5" customHeight="1">
      <c r="A506" s="83" t="s">
        <v>626</v>
      </c>
      <c r="B506" s="13"/>
      <c r="C506" s="13"/>
      <c r="D506" s="13">
        <v>2211517</v>
      </c>
      <c r="E506" s="13">
        <v>5406803.1189418798</v>
      </c>
      <c r="F506" s="13">
        <v>3675563</v>
      </c>
      <c r="G506" s="13">
        <v>8601692</v>
      </c>
      <c r="H506" s="13">
        <v>16247145</v>
      </c>
      <c r="I506" s="13">
        <v>1</v>
      </c>
      <c r="J506" s="13">
        <v>0</v>
      </c>
    </row>
    <row r="507" spans="1:10" ht="13.5" customHeight="1">
      <c r="A507" s="84" t="s">
        <v>596</v>
      </c>
      <c r="B507" s="13"/>
      <c r="C507" s="13"/>
      <c r="D507" s="13">
        <v>2211517</v>
      </c>
      <c r="E507" s="13">
        <v>5406803.1189418798</v>
      </c>
      <c r="F507" s="13">
        <v>3675563</v>
      </c>
      <c r="G507" s="13">
        <v>8601692</v>
      </c>
      <c r="H507" s="13">
        <v>16247145</v>
      </c>
      <c r="I507" s="13">
        <v>1</v>
      </c>
      <c r="J507" s="13">
        <v>0</v>
      </c>
    </row>
    <row r="508" spans="1:10" ht="13.5" customHeight="1">
      <c r="A508" s="83" t="s">
        <v>671</v>
      </c>
      <c r="B508" s="13">
        <v>498381</v>
      </c>
      <c r="C508" s="13">
        <v>280370</v>
      </c>
      <c r="D508" s="13">
        <v>29853</v>
      </c>
      <c r="E508" s="13">
        <v>1972.6771002754699</v>
      </c>
      <c r="F508" s="13">
        <v>5090</v>
      </c>
      <c r="G508" s="13">
        <v>70283</v>
      </c>
      <c r="H508" s="13">
        <v>211224</v>
      </c>
      <c r="I508" s="13">
        <v>1</v>
      </c>
      <c r="J508" s="13">
        <v>0</v>
      </c>
    </row>
    <row r="509" spans="1:10" ht="13.5" customHeight="1">
      <c r="A509" s="84" t="s">
        <v>653</v>
      </c>
      <c r="B509" s="13">
        <v>498381</v>
      </c>
      <c r="C509" s="13">
        <v>280370</v>
      </c>
      <c r="D509" s="13">
        <v>29853</v>
      </c>
      <c r="E509" s="13">
        <v>1972.6771002754699</v>
      </c>
      <c r="F509" s="13">
        <v>5090</v>
      </c>
      <c r="G509" s="13">
        <v>70283</v>
      </c>
      <c r="H509" s="13">
        <v>211224</v>
      </c>
      <c r="I509" s="13">
        <v>1</v>
      </c>
      <c r="J509" s="13">
        <v>0</v>
      </c>
    </row>
    <row r="510" spans="1:10" ht="13.5" customHeight="1">
      <c r="A510" s="83" t="s">
        <v>705</v>
      </c>
      <c r="B510" s="13">
        <v>52279</v>
      </c>
      <c r="C510" s="13"/>
      <c r="D510" s="13">
        <v>24</v>
      </c>
      <c r="E510" s="13">
        <v>0</v>
      </c>
      <c r="F510" s="13">
        <v>2</v>
      </c>
      <c r="G510" s="13">
        <v>0</v>
      </c>
      <c r="H510" s="13">
        <v>0</v>
      </c>
      <c r="I510" s="13">
        <v>2</v>
      </c>
      <c r="J510" s="13">
        <v>0</v>
      </c>
    </row>
    <row r="511" spans="1:10" ht="13.5" customHeight="1">
      <c r="A511" s="84" t="s">
        <v>370</v>
      </c>
      <c r="B511" s="13"/>
      <c r="C511" s="13"/>
      <c r="D511" s="13">
        <v>24</v>
      </c>
      <c r="E511" s="13">
        <v>0</v>
      </c>
      <c r="F511" s="13">
        <v>2</v>
      </c>
      <c r="G511" s="13">
        <v>0</v>
      </c>
      <c r="H511" s="13">
        <v>0</v>
      </c>
      <c r="I511" s="13">
        <v>1</v>
      </c>
      <c r="J511" s="13">
        <v>0</v>
      </c>
    </row>
    <row r="512" spans="1:10" ht="13.5" customHeight="1">
      <c r="A512" s="84" t="s">
        <v>591</v>
      </c>
      <c r="B512" s="13">
        <v>52279</v>
      </c>
      <c r="C512" s="13"/>
      <c r="D512" s="13"/>
      <c r="E512" s="13"/>
      <c r="F512" s="13"/>
      <c r="G512" s="13">
        <v>0</v>
      </c>
      <c r="H512" s="13">
        <v>0</v>
      </c>
      <c r="I512" s="13">
        <v>1</v>
      </c>
      <c r="J512" s="13">
        <v>0</v>
      </c>
    </row>
    <row r="513" spans="1:10" ht="13.5" customHeight="1">
      <c r="A513" s="83" t="s">
        <v>595</v>
      </c>
      <c r="B513" s="13">
        <v>9834</v>
      </c>
      <c r="C513" s="13">
        <v>9907</v>
      </c>
      <c r="D513" s="13">
        <v>134638</v>
      </c>
      <c r="E513" s="13">
        <v>3530881.6366138863</v>
      </c>
      <c r="F513" s="13">
        <v>5078579</v>
      </c>
      <c r="G513" s="13">
        <v>7588593</v>
      </c>
      <c r="H513" s="13">
        <v>9597112</v>
      </c>
      <c r="I513" s="13">
        <v>2</v>
      </c>
      <c r="J513" s="13">
        <v>0</v>
      </c>
    </row>
    <row r="514" spans="1:10" ht="13.5" customHeight="1">
      <c r="A514" s="84" t="s">
        <v>596</v>
      </c>
      <c r="B514" s="13"/>
      <c r="C514" s="13"/>
      <c r="D514" s="13">
        <v>124975</v>
      </c>
      <c r="E514" s="13">
        <v>3521019.7342272601</v>
      </c>
      <c r="F514" s="13">
        <v>5072145</v>
      </c>
      <c r="G514" s="13">
        <v>7578282</v>
      </c>
      <c r="H514" s="13">
        <v>9586962</v>
      </c>
      <c r="I514" s="13">
        <v>1</v>
      </c>
      <c r="J514" s="13">
        <v>0</v>
      </c>
    </row>
    <row r="515" spans="1:10" ht="13.5" customHeight="1">
      <c r="A515" s="84" t="s">
        <v>370</v>
      </c>
      <c r="B515" s="13">
        <v>9834</v>
      </c>
      <c r="C515" s="13">
        <v>9907</v>
      </c>
      <c r="D515" s="13">
        <v>9663</v>
      </c>
      <c r="E515" s="13">
        <v>9861.9023866261505</v>
      </c>
      <c r="F515" s="13">
        <v>6434</v>
      </c>
      <c r="G515" s="13">
        <v>10311</v>
      </c>
      <c r="H515" s="13">
        <v>10150</v>
      </c>
      <c r="I515" s="13">
        <v>1</v>
      </c>
      <c r="J515" s="13">
        <v>0</v>
      </c>
    </row>
    <row r="516" spans="1:10" ht="13.5" customHeight="1">
      <c r="A516" s="83" t="s">
        <v>632</v>
      </c>
      <c r="B516" s="13"/>
      <c r="C516" s="13"/>
      <c r="D516" s="13"/>
      <c r="E516" s="13">
        <v>256977.01901900599</v>
      </c>
      <c r="F516" s="13">
        <v>132833</v>
      </c>
      <c r="G516" s="13">
        <v>497634</v>
      </c>
      <c r="H516" s="13">
        <v>803045</v>
      </c>
      <c r="I516" s="13">
        <v>2</v>
      </c>
      <c r="J516" s="13">
        <v>0</v>
      </c>
    </row>
    <row r="517" spans="1:10" ht="13.5" customHeight="1">
      <c r="A517" s="84" t="s">
        <v>370</v>
      </c>
      <c r="B517" s="13"/>
      <c r="C517" s="13"/>
      <c r="D517" s="13"/>
      <c r="E517" s="13">
        <v>256977.01901900599</v>
      </c>
      <c r="F517" s="13">
        <v>132833</v>
      </c>
      <c r="G517" s="13">
        <v>497634</v>
      </c>
      <c r="H517" s="13">
        <v>803045</v>
      </c>
      <c r="I517" s="13">
        <v>2</v>
      </c>
      <c r="J517" s="13">
        <v>0</v>
      </c>
    </row>
    <row r="518" spans="1:10" ht="13.5" customHeight="1">
      <c r="A518" s="83" t="s">
        <v>634</v>
      </c>
      <c r="B518" s="13">
        <v>1252175</v>
      </c>
      <c r="C518" s="13">
        <v>323491</v>
      </c>
      <c r="D518" s="13">
        <v>1089308</v>
      </c>
      <c r="E518" s="13">
        <v>11158017.7894341</v>
      </c>
      <c r="F518" s="13">
        <v>33938240</v>
      </c>
      <c r="G518" s="13">
        <v>25843796</v>
      </c>
      <c r="H518" s="13">
        <v>25271242</v>
      </c>
      <c r="I518" s="13">
        <v>1</v>
      </c>
      <c r="J518" s="13">
        <v>0</v>
      </c>
    </row>
    <row r="519" spans="1:10" ht="13.5" customHeight="1">
      <c r="A519" s="84" t="s">
        <v>370</v>
      </c>
      <c r="B519" s="13">
        <v>1252175</v>
      </c>
      <c r="C519" s="13">
        <v>323491</v>
      </c>
      <c r="D519" s="13">
        <v>1089308</v>
      </c>
      <c r="E519" s="13">
        <v>11158017.7894341</v>
      </c>
      <c r="F519" s="13">
        <v>33938240</v>
      </c>
      <c r="G519" s="13">
        <v>25843796</v>
      </c>
      <c r="H519" s="13">
        <v>25271242</v>
      </c>
      <c r="I519" s="13">
        <v>1</v>
      </c>
      <c r="J519" s="13">
        <v>0</v>
      </c>
    </row>
    <row r="520" spans="1:10" ht="13.5" customHeight="1">
      <c r="A520" s="83" t="s">
        <v>706</v>
      </c>
      <c r="B520" s="13">
        <v>205493</v>
      </c>
      <c r="C520" s="13">
        <v>1531737</v>
      </c>
      <c r="D520" s="13">
        <v>5707599</v>
      </c>
      <c r="E520" s="13">
        <v>22994793.520909399</v>
      </c>
      <c r="F520" s="13">
        <v>8807613</v>
      </c>
      <c r="G520" s="13">
        <v>57769289</v>
      </c>
      <c r="H520" s="13">
        <v>4439745</v>
      </c>
      <c r="I520" s="13">
        <v>1</v>
      </c>
      <c r="J520" s="13">
        <v>0</v>
      </c>
    </row>
    <row r="521" spans="1:10" ht="13.5" customHeight="1">
      <c r="A521" s="84" t="s">
        <v>370</v>
      </c>
      <c r="B521" s="13">
        <v>205493</v>
      </c>
      <c r="C521" s="13">
        <v>1531737</v>
      </c>
      <c r="D521" s="13">
        <v>5707599</v>
      </c>
      <c r="E521" s="13">
        <v>22994793.520909399</v>
      </c>
      <c r="F521" s="13">
        <v>8807613</v>
      </c>
      <c r="G521" s="13">
        <v>57769289</v>
      </c>
      <c r="H521" s="13">
        <v>4439745</v>
      </c>
      <c r="I521" s="13">
        <v>1</v>
      </c>
      <c r="J521" s="13">
        <v>0</v>
      </c>
    </row>
    <row r="522" spans="1:10" ht="13.5" customHeight="1">
      <c r="A522" s="83" t="s">
        <v>707</v>
      </c>
      <c r="B522" s="13"/>
      <c r="C522" s="13"/>
      <c r="D522" s="13">
        <v>1458</v>
      </c>
      <c r="E522" s="13">
        <v>3154.01712890831</v>
      </c>
      <c r="F522" s="13">
        <v>1297</v>
      </c>
      <c r="G522" s="13">
        <v>621</v>
      </c>
      <c r="H522" s="13">
        <v>1797</v>
      </c>
      <c r="I522" s="13">
        <v>1</v>
      </c>
      <c r="J522" s="13">
        <v>0</v>
      </c>
    </row>
    <row r="523" spans="1:10" ht="13.5" customHeight="1">
      <c r="A523" s="84" t="s">
        <v>370</v>
      </c>
      <c r="B523" s="13"/>
      <c r="C523" s="13"/>
      <c r="D523" s="13">
        <v>1458</v>
      </c>
      <c r="E523" s="13">
        <v>3154.01712890831</v>
      </c>
      <c r="F523" s="13">
        <v>1297</v>
      </c>
      <c r="G523" s="13">
        <v>621</v>
      </c>
      <c r="H523" s="13">
        <v>1797</v>
      </c>
      <c r="I523" s="13">
        <v>1</v>
      </c>
      <c r="J523" s="13">
        <v>0</v>
      </c>
    </row>
    <row r="524" spans="1:10" ht="13.5" customHeight="1">
      <c r="A524" s="83" t="s">
        <v>638</v>
      </c>
      <c r="B524" s="13"/>
      <c r="C524" s="13"/>
      <c r="D524" s="13">
        <v>4455803</v>
      </c>
      <c r="E524" s="13">
        <v>1593198.4656271101</v>
      </c>
      <c r="F524" s="13">
        <v>2110719</v>
      </c>
      <c r="G524" s="13">
        <v>13277874</v>
      </c>
      <c r="H524" s="13">
        <v>9986820</v>
      </c>
      <c r="I524" s="13">
        <v>1</v>
      </c>
      <c r="J524" s="13">
        <v>0</v>
      </c>
    </row>
    <row r="525" spans="1:10" ht="13.5" customHeight="1">
      <c r="A525" s="84" t="s">
        <v>635</v>
      </c>
      <c r="B525" s="13"/>
      <c r="C525" s="13"/>
      <c r="D525" s="13">
        <v>4455803</v>
      </c>
      <c r="E525" s="13">
        <v>1593198.4656271101</v>
      </c>
      <c r="F525" s="13">
        <v>2110719</v>
      </c>
      <c r="G525" s="13">
        <v>13277874</v>
      </c>
      <c r="H525" s="13">
        <v>9986820</v>
      </c>
      <c r="I525" s="13">
        <v>1</v>
      </c>
      <c r="J525" s="13">
        <v>0</v>
      </c>
    </row>
    <row r="526" spans="1:10" ht="13.5" customHeight="1">
      <c r="A526" s="83" t="s">
        <v>708</v>
      </c>
      <c r="B526" s="13"/>
      <c r="C526" s="13">
        <v>254078</v>
      </c>
      <c r="D526" s="13">
        <v>1223654</v>
      </c>
      <c r="E526" s="13">
        <v>86725.247026520898</v>
      </c>
      <c r="F526" s="13">
        <v>3809775</v>
      </c>
      <c r="G526" s="13">
        <v>13264435</v>
      </c>
      <c r="H526" s="13">
        <v>19018304</v>
      </c>
      <c r="I526" s="13">
        <v>1</v>
      </c>
      <c r="J526" s="13">
        <v>0</v>
      </c>
    </row>
    <row r="527" spans="1:10" ht="13.5" customHeight="1">
      <c r="A527" s="84" t="s">
        <v>635</v>
      </c>
      <c r="B527" s="13"/>
      <c r="C527" s="13">
        <v>254078</v>
      </c>
      <c r="D527" s="13">
        <v>1223654</v>
      </c>
      <c r="E527" s="13">
        <v>86725.247026520898</v>
      </c>
      <c r="F527" s="13">
        <v>3809775</v>
      </c>
      <c r="G527" s="13">
        <v>13264435</v>
      </c>
      <c r="H527" s="13">
        <v>19018304</v>
      </c>
      <c r="I527" s="13">
        <v>1</v>
      </c>
      <c r="J527" s="13">
        <v>0</v>
      </c>
    </row>
    <row r="528" spans="1:10" ht="13.5" customHeight="1">
      <c r="A528" s="83" t="s">
        <v>639</v>
      </c>
      <c r="B528" s="13"/>
      <c r="C528" s="13"/>
      <c r="D528" s="13">
        <v>787234</v>
      </c>
      <c r="E528" s="13">
        <v>410963.84037322499</v>
      </c>
      <c r="F528" s="13">
        <v>765195</v>
      </c>
      <c r="G528" s="13">
        <v>415712</v>
      </c>
      <c r="H528" s="13">
        <v>311843</v>
      </c>
      <c r="I528" s="13">
        <v>1</v>
      </c>
      <c r="J528" s="13">
        <v>0</v>
      </c>
    </row>
    <row r="529" spans="1:10" ht="13.5" customHeight="1">
      <c r="A529" s="84" t="s">
        <v>370</v>
      </c>
      <c r="B529" s="13"/>
      <c r="C529" s="13"/>
      <c r="D529" s="13">
        <v>787234</v>
      </c>
      <c r="E529" s="13">
        <v>410963.84037322499</v>
      </c>
      <c r="F529" s="13">
        <v>765195</v>
      </c>
      <c r="G529" s="13">
        <v>415712</v>
      </c>
      <c r="H529" s="13">
        <v>311843</v>
      </c>
      <c r="I529" s="13">
        <v>1</v>
      </c>
      <c r="J529" s="13">
        <v>0</v>
      </c>
    </row>
    <row r="530" spans="1:10" ht="13.5" customHeight="1">
      <c r="A530" s="83" t="s">
        <v>709</v>
      </c>
      <c r="B530" s="13"/>
      <c r="C530" s="13"/>
      <c r="D530" s="13">
        <v>39</v>
      </c>
      <c r="E530" s="13">
        <v>600.54640926033198</v>
      </c>
      <c r="F530" s="13">
        <v>1861</v>
      </c>
      <c r="G530" s="13">
        <v>11155</v>
      </c>
      <c r="H530" s="13">
        <v>13603</v>
      </c>
      <c r="I530" s="13">
        <v>1</v>
      </c>
      <c r="J530" s="13">
        <v>0</v>
      </c>
    </row>
    <row r="531" spans="1:10" ht="13.5" customHeight="1">
      <c r="A531" s="84" t="s">
        <v>370</v>
      </c>
      <c r="B531" s="13"/>
      <c r="C531" s="13"/>
      <c r="D531" s="13">
        <v>39</v>
      </c>
      <c r="E531" s="13">
        <v>600.54640926033198</v>
      </c>
      <c r="F531" s="13">
        <v>1861</v>
      </c>
      <c r="G531" s="13">
        <v>11155</v>
      </c>
      <c r="H531" s="13">
        <v>13603</v>
      </c>
      <c r="I531" s="13">
        <v>1</v>
      </c>
      <c r="J531" s="13">
        <v>0</v>
      </c>
    </row>
    <row r="532" spans="1:10" ht="13.5" customHeight="1">
      <c r="A532" s="83" t="s">
        <v>710</v>
      </c>
      <c r="B532" s="13"/>
      <c r="C532" s="13"/>
      <c r="D532" s="13">
        <v>190473</v>
      </c>
      <c r="E532" s="13">
        <v>43249.400149206602</v>
      </c>
      <c r="F532" s="13">
        <v>901430</v>
      </c>
      <c r="G532" s="13">
        <v>260231</v>
      </c>
      <c r="H532" s="13">
        <v>33181</v>
      </c>
      <c r="I532" s="13">
        <v>1</v>
      </c>
      <c r="J532" s="13">
        <v>0</v>
      </c>
    </row>
    <row r="533" spans="1:10" ht="13.5" customHeight="1">
      <c r="A533" s="84" t="s">
        <v>370</v>
      </c>
      <c r="B533" s="13"/>
      <c r="C533" s="13"/>
      <c r="D533" s="13">
        <v>190473</v>
      </c>
      <c r="E533" s="13">
        <v>43249.400149206602</v>
      </c>
      <c r="F533" s="13">
        <v>901430</v>
      </c>
      <c r="G533" s="13">
        <v>260231</v>
      </c>
      <c r="H533" s="13">
        <v>33181</v>
      </c>
      <c r="I533" s="13">
        <v>1</v>
      </c>
      <c r="J533" s="13">
        <v>0</v>
      </c>
    </row>
    <row r="534" spans="1:10" ht="13.5" customHeight="1">
      <c r="A534" s="83" t="s">
        <v>640</v>
      </c>
      <c r="B534" s="13"/>
      <c r="C534" s="13"/>
      <c r="D534" s="13"/>
      <c r="E534" s="13">
        <v>880.76671506899697</v>
      </c>
      <c r="F534" s="13">
        <v>7</v>
      </c>
      <c r="G534" s="13">
        <v>1403</v>
      </c>
      <c r="H534" s="13">
        <v>18724</v>
      </c>
      <c r="I534" s="13">
        <v>1</v>
      </c>
      <c r="J534" s="13">
        <v>0</v>
      </c>
    </row>
    <row r="535" spans="1:10" ht="13.5" customHeight="1">
      <c r="A535" s="84" t="s">
        <v>635</v>
      </c>
      <c r="B535" s="13"/>
      <c r="C535" s="13"/>
      <c r="D535" s="13"/>
      <c r="E535" s="13">
        <v>880.76671506899697</v>
      </c>
      <c r="F535" s="13">
        <v>7</v>
      </c>
      <c r="G535" s="13">
        <v>1403</v>
      </c>
      <c r="H535" s="13">
        <v>18724</v>
      </c>
      <c r="I535" s="13">
        <v>1</v>
      </c>
      <c r="J535" s="13">
        <v>0</v>
      </c>
    </row>
    <row r="536" spans="1:10" ht="13.5" customHeight="1">
      <c r="A536" s="83" t="s">
        <v>711</v>
      </c>
      <c r="B536" s="13"/>
      <c r="C536" s="13"/>
      <c r="D536" s="13"/>
      <c r="E536" s="13"/>
      <c r="F536" s="13">
        <v>1</v>
      </c>
      <c r="G536" s="13">
        <v>28</v>
      </c>
      <c r="H536" s="13">
        <v>7</v>
      </c>
      <c r="I536" s="13">
        <v>1</v>
      </c>
      <c r="J536" s="13">
        <v>0</v>
      </c>
    </row>
    <row r="537" spans="1:10" ht="13.5" customHeight="1">
      <c r="A537" s="84" t="s">
        <v>370</v>
      </c>
      <c r="B537" s="13"/>
      <c r="C537" s="13"/>
      <c r="D537" s="13"/>
      <c r="E537" s="13"/>
      <c r="F537" s="13">
        <v>1</v>
      </c>
      <c r="G537" s="13">
        <v>28</v>
      </c>
      <c r="H537" s="13">
        <v>7</v>
      </c>
      <c r="I537" s="13">
        <v>1</v>
      </c>
      <c r="J537" s="13">
        <v>0</v>
      </c>
    </row>
    <row r="538" spans="1:10" ht="13.5" customHeight="1">
      <c r="A538" s="83" t="s">
        <v>712</v>
      </c>
      <c r="B538" s="13"/>
      <c r="C538" s="13"/>
      <c r="D538" s="13"/>
      <c r="E538" s="13"/>
      <c r="F538" s="13">
        <v>333</v>
      </c>
      <c r="G538" s="13">
        <v>0</v>
      </c>
      <c r="H538" s="13">
        <v>0</v>
      </c>
      <c r="I538" s="13">
        <v>1</v>
      </c>
      <c r="J538" s="13">
        <v>0</v>
      </c>
    </row>
    <row r="539" spans="1:10" ht="13.5" customHeight="1">
      <c r="A539" s="84" t="s">
        <v>370</v>
      </c>
      <c r="B539" s="13"/>
      <c r="C539" s="13"/>
      <c r="D539" s="13"/>
      <c r="E539" s="13"/>
      <c r="F539" s="13">
        <v>333</v>
      </c>
      <c r="G539" s="13">
        <v>0</v>
      </c>
      <c r="H539" s="13">
        <v>0</v>
      </c>
      <c r="I539" s="13">
        <v>1</v>
      </c>
      <c r="J539" s="13">
        <v>0</v>
      </c>
    </row>
    <row r="540" spans="1:10" ht="13.5" customHeight="1">
      <c r="A540" s="83" t="s">
        <v>643</v>
      </c>
      <c r="B540" s="13"/>
      <c r="C540" s="13"/>
      <c r="D540" s="13"/>
      <c r="E540" s="13"/>
      <c r="F540" s="13"/>
      <c r="G540" s="13"/>
      <c r="H540" s="13">
        <v>146882</v>
      </c>
      <c r="I540" s="13">
        <v>1</v>
      </c>
      <c r="J540" s="13">
        <v>0</v>
      </c>
    </row>
    <row r="541" spans="1:10" ht="13.5" customHeight="1">
      <c r="A541" s="84" t="s">
        <v>370</v>
      </c>
      <c r="B541" s="13"/>
      <c r="C541" s="13"/>
      <c r="D541" s="13"/>
      <c r="E541" s="13"/>
      <c r="F541" s="13"/>
      <c r="G541" s="13"/>
      <c r="H541" s="13">
        <v>146882</v>
      </c>
      <c r="I541" s="13">
        <v>1</v>
      </c>
      <c r="J541" s="13">
        <v>0</v>
      </c>
    </row>
    <row r="542" spans="1:10" ht="13.5" customHeight="1">
      <c r="A542" s="83" t="s">
        <v>644</v>
      </c>
      <c r="B542" s="13"/>
      <c r="C542" s="13">
        <v>3834504</v>
      </c>
      <c r="D542" s="13">
        <v>898636</v>
      </c>
      <c r="E542" s="13">
        <v>713354.59964023496</v>
      </c>
      <c r="F542" s="13">
        <v>693356</v>
      </c>
      <c r="G542" s="13">
        <v>1673187</v>
      </c>
      <c r="H542" s="13">
        <v>9840181</v>
      </c>
      <c r="I542" s="13">
        <v>1</v>
      </c>
      <c r="J542" s="13">
        <v>0</v>
      </c>
    </row>
    <row r="543" spans="1:10" ht="13.5" customHeight="1">
      <c r="A543" s="84" t="s">
        <v>370</v>
      </c>
      <c r="B543" s="13"/>
      <c r="C543" s="13">
        <v>3834504</v>
      </c>
      <c r="D543" s="13">
        <v>898636</v>
      </c>
      <c r="E543" s="13">
        <v>713354.59964023496</v>
      </c>
      <c r="F543" s="13">
        <v>693356</v>
      </c>
      <c r="G543" s="13">
        <v>1673187</v>
      </c>
      <c r="H543" s="13">
        <v>9840181</v>
      </c>
      <c r="I543" s="13">
        <v>1</v>
      </c>
      <c r="J543" s="13">
        <v>0</v>
      </c>
    </row>
    <row r="544" spans="1:10" ht="13.5" customHeight="1">
      <c r="A544" s="83" t="s">
        <v>648</v>
      </c>
      <c r="B544" s="13"/>
      <c r="C544" s="13"/>
      <c r="D544" s="13"/>
      <c r="E544" s="13"/>
      <c r="F544" s="13"/>
      <c r="G544" s="13">
        <v>0</v>
      </c>
      <c r="H544" s="13">
        <v>0</v>
      </c>
      <c r="I544" s="13">
        <v>1</v>
      </c>
      <c r="J544" s="13">
        <v>0</v>
      </c>
    </row>
    <row r="545" spans="1:10" ht="13.5" customHeight="1">
      <c r="A545" s="84" t="s">
        <v>370</v>
      </c>
      <c r="B545" s="13"/>
      <c r="C545" s="13"/>
      <c r="D545" s="13"/>
      <c r="E545" s="13"/>
      <c r="F545" s="13"/>
      <c r="G545" s="13">
        <v>0</v>
      </c>
      <c r="H545" s="13">
        <v>0</v>
      </c>
      <c r="I545" s="13">
        <v>1</v>
      </c>
      <c r="J545" s="13">
        <v>0</v>
      </c>
    </row>
    <row r="546" spans="1:10" ht="13.5" customHeight="1">
      <c r="A546" s="83" t="s">
        <v>713</v>
      </c>
      <c r="B546" s="13">
        <v>85482</v>
      </c>
      <c r="C546" s="13">
        <v>527489</v>
      </c>
      <c r="D546" s="13">
        <v>1284729</v>
      </c>
      <c r="E546" s="13">
        <v>222180.384419571</v>
      </c>
      <c r="F546" s="13">
        <v>1552534</v>
      </c>
      <c r="G546" s="13">
        <v>917512</v>
      </c>
      <c r="H546" s="13">
        <v>723834</v>
      </c>
      <c r="I546" s="13">
        <v>2</v>
      </c>
      <c r="J546" s="13">
        <v>0</v>
      </c>
    </row>
    <row r="547" spans="1:10" ht="13.5" customHeight="1">
      <c r="A547" s="84" t="s">
        <v>370</v>
      </c>
      <c r="B547" s="13">
        <v>85482</v>
      </c>
      <c r="C547" s="13">
        <v>527489</v>
      </c>
      <c r="D547" s="13">
        <v>1284729</v>
      </c>
      <c r="E547" s="13">
        <v>222180.384419571</v>
      </c>
      <c r="F547" s="13">
        <v>1552534</v>
      </c>
      <c r="G547" s="13">
        <v>917512</v>
      </c>
      <c r="H547" s="13">
        <v>723834</v>
      </c>
      <c r="I547" s="13">
        <v>2</v>
      </c>
      <c r="J547" s="13">
        <v>0</v>
      </c>
    </row>
    <row r="548" spans="1:10" ht="13.5" customHeight="1">
      <c r="A548" s="83" t="s">
        <v>714</v>
      </c>
      <c r="B548" s="13">
        <v>547075</v>
      </c>
      <c r="C548" s="13">
        <v>46917</v>
      </c>
      <c r="D548" s="13">
        <v>6850</v>
      </c>
      <c r="E548" s="13">
        <v>373952.14690898301</v>
      </c>
      <c r="F548" s="13">
        <v>5366</v>
      </c>
      <c r="G548" s="13">
        <v>539725</v>
      </c>
      <c r="H548" s="13">
        <v>3408</v>
      </c>
      <c r="I548" s="13">
        <v>1</v>
      </c>
      <c r="J548" s="13">
        <v>0</v>
      </c>
    </row>
    <row r="549" spans="1:10" ht="13.5" customHeight="1">
      <c r="A549" s="84" t="s">
        <v>370</v>
      </c>
      <c r="B549" s="13">
        <v>547075</v>
      </c>
      <c r="C549" s="13">
        <v>46917</v>
      </c>
      <c r="D549" s="13">
        <v>6850</v>
      </c>
      <c r="E549" s="13">
        <v>373952.14690898301</v>
      </c>
      <c r="F549" s="13">
        <v>5366</v>
      </c>
      <c r="G549" s="13">
        <v>539725</v>
      </c>
      <c r="H549" s="13">
        <v>3408</v>
      </c>
      <c r="I549" s="13">
        <v>1</v>
      </c>
      <c r="J549" s="13">
        <v>0</v>
      </c>
    </row>
    <row r="550" spans="1:10" ht="13.5" customHeight="1">
      <c r="A550" s="83" t="s">
        <v>694</v>
      </c>
      <c r="B550" s="13">
        <v>2499826</v>
      </c>
      <c r="C550" s="13">
        <v>2031655</v>
      </c>
      <c r="D550" s="13">
        <v>1300190</v>
      </c>
      <c r="E550" s="13">
        <v>1787961.0715483599</v>
      </c>
      <c r="F550" s="13">
        <v>625376</v>
      </c>
      <c r="G550" s="13">
        <v>2249474</v>
      </c>
      <c r="H550" s="13">
        <v>699985</v>
      </c>
      <c r="I550" s="13">
        <v>1</v>
      </c>
      <c r="J550" s="13">
        <v>0</v>
      </c>
    </row>
    <row r="551" spans="1:10" ht="13.5" customHeight="1">
      <c r="A551" s="84" t="s">
        <v>635</v>
      </c>
      <c r="B551" s="13">
        <v>2499826</v>
      </c>
      <c r="C551" s="13">
        <v>2031655</v>
      </c>
      <c r="D551" s="13">
        <v>1300190</v>
      </c>
      <c r="E551" s="13">
        <v>1787961.0715483599</v>
      </c>
      <c r="F551" s="13">
        <v>625376</v>
      </c>
      <c r="G551" s="13">
        <v>2249474</v>
      </c>
      <c r="H551" s="13">
        <v>699985</v>
      </c>
      <c r="I551" s="13">
        <v>1</v>
      </c>
      <c r="J551" s="13">
        <v>0</v>
      </c>
    </row>
    <row r="552" spans="1:10" ht="13.5" customHeight="1">
      <c r="A552" s="83" t="s">
        <v>715</v>
      </c>
      <c r="B552" s="13"/>
      <c r="C552" s="13"/>
      <c r="D552" s="13"/>
      <c r="E552" s="13"/>
      <c r="F552" s="13">
        <v>276</v>
      </c>
      <c r="G552" s="13">
        <v>542</v>
      </c>
      <c r="H552" s="13">
        <v>586</v>
      </c>
      <c r="I552" s="13">
        <v>1</v>
      </c>
      <c r="J552" s="13">
        <v>0</v>
      </c>
    </row>
    <row r="553" spans="1:10" ht="13.5" customHeight="1">
      <c r="A553" s="84" t="s">
        <v>716</v>
      </c>
      <c r="B553" s="13"/>
      <c r="C553" s="13"/>
      <c r="D553" s="13"/>
      <c r="E553" s="13"/>
      <c r="F553" s="13">
        <v>276</v>
      </c>
      <c r="G553" s="13">
        <v>542</v>
      </c>
      <c r="H553" s="13">
        <v>586</v>
      </c>
      <c r="I553" s="13">
        <v>1</v>
      </c>
      <c r="J553" s="13">
        <v>0</v>
      </c>
    </row>
    <row r="554" spans="1:10" ht="13.5" customHeight="1">
      <c r="A554" s="83" t="s">
        <v>717</v>
      </c>
      <c r="B554" s="13"/>
      <c r="C554" s="13"/>
      <c r="D554" s="13"/>
      <c r="E554" s="13"/>
      <c r="F554" s="13"/>
      <c r="G554" s="13"/>
      <c r="H554" s="13">
        <v>8909</v>
      </c>
      <c r="I554" s="13">
        <v>1</v>
      </c>
      <c r="J554" s="13">
        <v>0</v>
      </c>
    </row>
    <row r="555" spans="1:10" ht="13.5" customHeight="1">
      <c r="A555" s="84" t="s">
        <v>370</v>
      </c>
      <c r="B555" s="13"/>
      <c r="C555" s="13"/>
      <c r="D555" s="13"/>
      <c r="E555" s="13"/>
      <c r="F555" s="13"/>
      <c r="G555" s="13"/>
      <c r="H555" s="13">
        <v>8909</v>
      </c>
      <c r="I555" s="13">
        <v>1</v>
      </c>
      <c r="J555" s="13">
        <v>0</v>
      </c>
    </row>
    <row r="556" spans="1:10" ht="13.5" customHeight="1">
      <c r="A556" s="83" t="s">
        <v>718</v>
      </c>
      <c r="B556" s="13"/>
      <c r="C556" s="13"/>
      <c r="D556" s="13"/>
      <c r="E556" s="13"/>
      <c r="F556" s="13"/>
      <c r="G556" s="13"/>
      <c r="H556" s="13">
        <v>613287</v>
      </c>
      <c r="I556" s="13">
        <v>1</v>
      </c>
      <c r="J556" s="13">
        <v>0</v>
      </c>
    </row>
    <row r="557" spans="1:10" ht="13.5" customHeight="1">
      <c r="A557" s="84" t="s">
        <v>370</v>
      </c>
      <c r="B557" s="13"/>
      <c r="C557" s="13"/>
      <c r="D557" s="13"/>
      <c r="E557" s="13"/>
      <c r="F557" s="13"/>
      <c r="G557" s="13"/>
      <c r="H557" s="13">
        <v>613287</v>
      </c>
      <c r="I557" s="13">
        <v>1</v>
      </c>
      <c r="J557" s="13">
        <v>0</v>
      </c>
    </row>
    <row r="558" spans="1:10" ht="13.5" customHeight="1">
      <c r="A558" s="83" t="s">
        <v>719</v>
      </c>
      <c r="B558" s="13"/>
      <c r="C558" s="13"/>
      <c r="D558" s="13"/>
      <c r="E558" s="13"/>
      <c r="F558" s="13"/>
      <c r="G558" s="13"/>
      <c r="H558" s="13">
        <v>756015</v>
      </c>
      <c r="I558" s="13">
        <v>1</v>
      </c>
      <c r="J558" s="13">
        <v>0</v>
      </c>
    </row>
    <row r="559" spans="1:10" ht="13.5" customHeight="1">
      <c r="A559" s="84" t="s">
        <v>370</v>
      </c>
      <c r="B559" s="13"/>
      <c r="C559" s="13"/>
      <c r="D559" s="13"/>
      <c r="E559" s="13"/>
      <c r="F559" s="13"/>
      <c r="G559" s="13"/>
      <c r="H559" s="13">
        <v>756015</v>
      </c>
      <c r="I559" s="13">
        <v>1</v>
      </c>
      <c r="J559" s="13">
        <v>0</v>
      </c>
    </row>
    <row r="560" spans="1:10" ht="13.5" customHeight="1">
      <c r="A560" s="83" t="s">
        <v>720</v>
      </c>
      <c r="B560" s="13"/>
      <c r="C560" s="13"/>
      <c r="D560" s="13"/>
      <c r="E560" s="13"/>
      <c r="F560" s="13"/>
      <c r="G560" s="13"/>
      <c r="H560" s="13">
        <v>4884</v>
      </c>
      <c r="I560" s="13">
        <v>1</v>
      </c>
      <c r="J560" s="13">
        <v>0</v>
      </c>
    </row>
    <row r="561" spans="1:10" ht="13.5" customHeight="1">
      <c r="A561" s="84" t="s">
        <v>370</v>
      </c>
      <c r="B561" s="13"/>
      <c r="C561" s="13"/>
      <c r="D561" s="13"/>
      <c r="E561" s="13"/>
      <c r="F561" s="13"/>
      <c r="G561" s="13"/>
      <c r="H561" s="13">
        <v>4884</v>
      </c>
      <c r="I561" s="13">
        <v>1</v>
      </c>
      <c r="J561" s="13">
        <v>0</v>
      </c>
    </row>
    <row r="562" spans="1:10" ht="13.5" customHeight="1">
      <c r="A562" s="83" t="s">
        <v>721</v>
      </c>
      <c r="B562" s="13"/>
      <c r="C562" s="13"/>
      <c r="D562" s="13"/>
      <c r="E562" s="13"/>
      <c r="F562" s="13"/>
      <c r="G562" s="13"/>
      <c r="H562" s="13">
        <v>0</v>
      </c>
      <c r="I562" s="13">
        <v>1</v>
      </c>
      <c r="J562" s="13">
        <v>0</v>
      </c>
    </row>
    <row r="563" spans="1:10" ht="13.5" customHeight="1">
      <c r="A563" s="84" t="s">
        <v>370</v>
      </c>
      <c r="B563" s="13"/>
      <c r="C563" s="13"/>
      <c r="D563" s="13"/>
      <c r="E563" s="13"/>
      <c r="F563" s="13"/>
      <c r="G563" s="13"/>
      <c r="H563" s="13">
        <v>0</v>
      </c>
      <c r="I563" s="13">
        <v>1</v>
      </c>
      <c r="J563" s="13">
        <v>0</v>
      </c>
    </row>
    <row r="564" spans="1:10" ht="13.5" customHeight="1">
      <c r="A564" s="83" t="s">
        <v>722</v>
      </c>
      <c r="B564" s="13"/>
      <c r="C564" s="13"/>
      <c r="D564" s="13"/>
      <c r="E564" s="13"/>
      <c r="F564" s="13"/>
      <c r="G564" s="13"/>
      <c r="H564" s="13">
        <v>11</v>
      </c>
      <c r="I564" s="13">
        <v>1</v>
      </c>
      <c r="J564" s="13">
        <v>0</v>
      </c>
    </row>
    <row r="565" spans="1:10" ht="13.5" customHeight="1">
      <c r="A565" s="84" t="s">
        <v>370</v>
      </c>
      <c r="B565" s="13"/>
      <c r="C565" s="13"/>
      <c r="D565" s="13"/>
      <c r="E565" s="13"/>
      <c r="F565" s="13"/>
      <c r="G565" s="13"/>
      <c r="H565" s="13">
        <v>11</v>
      </c>
      <c r="I565" s="13">
        <v>1</v>
      </c>
      <c r="J565" s="13">
        <v>0</v>
      </c>
    </row>
    <row r="566" spans="1:10" ht="13.5" customHeight="1">
      <c r="A566" s="83" t="s">
        <v>723</v>
      </c>
      <c r="B566" s="13"/>
      <c r="C566" s="13"/>
      <c r="D566" s="13"/>
      <c r="E566" s="13"/>
      <c r="F566" s="13"/>
      <c r="G566" s="13"/>
      <c r="H566" s="13"/>
      <c r="I566" s="13">
        <v>1</v>
      </c>
      <c r="J566" s="13">
        <v>0</v>
      </c>
    </row>
    <row r="567" spans="1:10" ht="13.5" customHeight="1">
      <c r="A567" s="84" t="s">
        <v>370</v>
      </c>
      <c r="B567" s="13"/>
      <c r="C567" s="13"/>
      <c r="D567" s="13"/>
      <c r="E567" s="13"/>
      <c r="F567" s="13"/>
      <c r="G567" s="13"/>
      <c r="H567" s="13"/>
      <c r="I567" s="13">
        <v>1</v>
      </c>
      <c r="J567" s="13">
        <v>0</v>
      </c>
    </row>
    <row r="568" spans="1:10" ht="13.5" customHeight="1">
      <c r="A568" s="83" t="s">
        <v>724</v>
      </c>
      <c r="B568" s="13"/>
      <c r="C568" s="13"/>
      <c r="D568" s="13"/>
      <c r="E568" s="13"/>
      <c r="F568" s="13"/>
      <c r="G568" s="13"/>
      <c r="H568" s="13"/>
      <c r="I568" s="13">
        <v>1</v>
      </c>
      <c r="J568" s="13">
        <v>0</v>
      </c>
    </row>
    <row r="569" spans="1:10" ht="13.5" customHeight="1">
      <c r="A569" s="84" t="s">
        <v>370</v>
      </c>
      <c r="B569" s="13"/>
      <c r="C569" s="13"/>
      <c r="D569" s="13"/>
      <c r="E569" s="13"/>
      <c r="F569" s="13"/>
      <c r="G569" s="13"/>
      <c r="H569" s="13"/>
      <c r="I569" s="13">
        <v>1</v>
      </c>
      <c r="J569" s="13">
        <v>0</v>
      </c>
    </row>
    <row r="570" spans="1:10" ht="13.5" customHeight="1">
      <c r="A570" s="83" t="s">
        <v>725</v>
      </c>
      <c r="B570" s="13"/>
      <c r="C570" s="13"/>
      <c r="D570" s="13"/>
      <c r="E570" s="13"/>
      <c r="F570" s="13"/>
      <c r="G570" s="13"/>
      <c r="H570" s="13"/>
      <c r="I570" s="13">
        <v>1</v>
      </c>
      <c r="J570" s="13">
        <v>0</v>
      </c>
    </row>
    <row r="571" spans="1:10" ht="13.5" customHeight="1">
      <c r="A571" s="84" t="s">
        <v>370</v>
      </c>
      <c r="B571" s="13"/>
      <c r="C571" s="13"/>
      <c r="D571" s="13"/>
      <c r="E571" s="13"/>
      <c r="F571" s="13"/>
      <c r="G571" s="13"/>
      <c r="H571" s="13"/>
      <c r="I571" s="13">
        <v>1</v>
      </c>
      <c r="J571" s="13">
        <v>0</v>
      </c>
    </row>
    <row r="572" spans="1:10" ht="13.5" customHeight="1">
      <c r="A572" s="83" t="s">
        <v>726</v>
      </c>
      <c r="B572" s="13"/>
      <c r="C572" s="13"/>
      <c r="D572" s="13"/>
      <c r="E572" s="13"/>
      <c r="F572" s="13"/>
      <c r="G572" s="13">
        <v>16445</v>
      </c>
      <c r="H572" s="13">
        <v>0</v>
      </c>
      <c r="I572" s="13">
        <v>1</v>
      </c>
      <c r="J572" s="13">
        <v>0</v>
      </c>
    </row>
    <row r="573" spans="1:10" ht="13.5" customHeight="1">
      <c r="A573" s="84" t="s">
        <v>611</v>
      </c>
      <c r="B573" s="13"/>
      <c r="C573" s="13"/>
      <c r="D573" s="13"/>
      <c r="E573" s="13"/>
      <c r="F573" s="13"/>
      <c r="G573" s="13">
        <v>16445</v>
      </c>
      <c r="H573" s="13">
        <v>0</v>
      </c>
      <c r="I573" s="13">
        <v>1</v>
      </c>
      <c r="J573" s="13">
        <v>0</v>
      </c>
    </row>
    <row r="574" spans="1:10" ht="13.5" customHeight="1">
      <c r="A574" s="82" t="s">
        <v>565</v>
      </c>
      <c r="B574" s="13">
        <v>31558871</v>
      </c>
      <c r="C574" s="13">
        <v>32141643</v>
      </c>
      <c r="D574" s="13">
        <v>40572449</v>
      </c>
      <c r="E574" s="13">
        <v>46471422.151691161</v>
      </c>
      <c r="F574" s="13">
        <v>33916708</v>
      </c>
      <c r="G574" s="13">
        <v>54902746</v>
      </c>
      <c r="H574" s="13">
        <v>59291320</v>
      </c>
      <c r="I574" s="13">
        <v>3</v>
      </c>
      <c r="J574" s="13">
        <v>0</v>
      </c>
    </row>
    <row r="575" spans="1:10" ht="13.5" customHeight="1">
      <c r="A575" s="83" t="s">
        <v>727</v>
      </c>
      <c r="B575" s="13"/>
      <c r="C575" s="13"/>
      <c r="D575" s="13"/>
      <c r="E575" s="13"/>
      <c r="F575" s="13"/>
      <c r="G575" s="13">
        <v>0</v>
      </c>
      <c r="H575" s="13">
        <v>0</v>
      </c>
      <c r="I575" s="13">
        <v>1</v>
      </c>
      <c r="J575" s="13">
        <v>0</v>
      </c>
    </row>
    <row r="576" spans="1:10" ht="13.5" customHeight="1">
      <c r="A576" s="84" t="s">
        <v>370</v>
      </c>
      <c r="B576" s="13"/>
      <c r="C576" s="13"/>
      <c r="D576" s="13"/>
      <c r="E576" s="13"/>
      <c r="F576" s="13"/>
      <c r="G576" s="13">
        <v>0</v>
      </c>
      <c r="H576" s="13">
        <v>0</v>
      </c>
      <c r="I576" s="13">
        <v>1</v>
      </c>
      <c r="J576" s="13">
        <v>0</v>
      </c>
    </row>
    <row r="577" spans="1:10" ht="13.5" customHeight="1">
      <c r="A577" s="83" t="s">
        <v>728</v>
      </c>
      <c r="B577" s="13">
        <v>31543413</v>
      </c>
      <c r="C577" s="13">
        <v>32084883</v>
      </c>
      <c r="D577" s="13">
        <v>40536900</v>
      </c>
      <c r="E577" s="13">
        <v>46259920.0767451</v>
      </c>
      <c r="F577" s="13">
        <v>33695355</v>
      </c>
      <c r="G577" s="13">
        <v>53645497</v>
      </c>
      <c r="H577" s="13">
        <v>58648964</v>
      </c>
      <c r="I577" s="13">
        <v>1</v>
      </c>
      <c r="J577" s="13">
        <v>0</v>
      </c>
    </row>
    <row r="578" spans="1:10" ht="13.5" customHeight="1">
      <c r="A578" s="84" t="s">
        <v>370</v>
      </c>
      <c r="B578" s="13">
        <v>31543413</v>
      </c>
      <c r="C578" s="13">
        <v>32084883</v>
      </c>
      <c r="D578" s="13">
        <v>40536900</v>
      </c>
      <c r="E578" s="13">
        <v>46259920.0767451</v>
      </c>
      <c r="F578" s="13">
        <v>33695355</v>
      </c>
      <c r="G578" s="13">
        <v>53645497</v>
      </c>
      <c r="H578" s="13">
        <v>58648964</v>
      </c>
      <c r="I578" s="13">
        <v>1</v>
      </c>
      <c r="J578" s="13">
        <v>0</v>
      </c>
    </row>
    <row r="579" spans="1:10" ht="13.5" customHeight="1">
      <c r="A579" s="83">
        <v>0</v>
      </c>
      <c r="B579" s="13">
        <v>15458</v>
      </c>
      <c r="C579" s="13">
        <v>56760</v>
      </c>
      <c r="D579" s="13">
        <v>35549</v>
      </c>
      <c r="E579" s="13">
        <v>211502.07494605999</v>
      </c>
      <c r="F579" s="13">
        <v>221353</v>
      </c>
      <c r="G579" s="13">
        <v>1257249</v>
      </c>
      <c r="H579" s="13">
        <v>642356</v>
      </c>
      <c r="I579" s="13">
        <v>1</v>
      </c>
      <c r="J579" s="13">
        <v>0</v>
      </c>
    </row>
    <row r="580" spans="1:10" ht="13.5" customHeight="1">
      <c r="A580" s="84" t="s">
        <v>370</v>
      </c>
      <c r="B580" s="13">
        <v>15458</v>
      </c>
      <c r="C580" s="13">
        <v>56760</v>
      </c>
      <c r="D580" s="13">
        <v>35549</v>
      </c>
      <c r="E580" s="13">
        <v>211502.07494605999</v>
      </c>
      <c r="F580" s="13">
        <v>221353</v>
      </c>
      <c r="G580" s="13">
        <v>1257249</v>
      </c>
      <c r="H580" s="13">
        <v>642356</v>
      </c>
      <c r="I580" s="13">
        <v>1</v>
      </c>
      <c r="J580" s="13">
        <v>0</v>
      </c>
    </row>
    <row r="581" spans="1:10" ht="13.5" customHeight="1">
      <c r="A581" s="82" t="s">
        <v>568</v>
      </c>
      <c r="B581" s="13">
        <v>4727708</v>
      </c>
      <c r="C581" s="13">
        <v>4086955</v>
      </c>
      <c r="D581" s="13">
        <v>5487568</v>
      </c>
      <c r="E581" s="13">
        <v>4717562.0542793479</v>
      </c>
      <c r="F581" s="13">
        <v>10157147</v>
      </c>
      <c r="G581" s="13">
        <v>14545246</v>
      </c>
      <c r="H581" s="13">
        <v>17787372</v>
      </c>
      <c r="I581" s="13">
        <v>7</v>
      </c>
      <c r="J581" s="13">
        <v>0</v>
      </c>
    </row>
    <row r="582" spans="1:10" ht="13.5" customHeight="1">
      <c r="A582" s="83" t="s">
        <v>613</v>
      </c>
      <c r="B582" s="13">
        <v>585781</v>
      </c>
      <c r="C582" s="13">
        <v>633921</v>
      </c>
      <c r="D582" s="13">
        <v>675058</v>
      </c>
      <c r="E582" s="13">
        <v>561954.89277823002</v>
      </c>
      <c r="F582" s="13">
        <v>377672</v>
      </c>
      <c r="G582" s="13">
        <v>288672</v>
      </c>
      <c r="H582" s="13">
        <v>666609</v>
      </c>
      <c r="I582" s="13">
        <v>2</v>
      </c>
      <c r="J582" s="13">
        <v>0</v>
      </c>
    </row>
    <row r="583" spans="1:10" ht="13.5" customHeight="1">
      <c r="A583" s="84" t="s">
        <v>370</v>
      </c>
      <c r="B583" s="13">
        <v>585781</v>
      </c>
      <c r="C583" s="13">
        <v>633921</v>
      </c>
      <c r="D583" s="13">
        <v>675058</v>
      </c>
      <c r="E583" s="13">
        <v>561954.89277823002</v>
      </c>
      <c r="F583" s="13">
        <v>377672</v>
      </c>
      <c r="G583" s="13">
        <v>288672</v>
      </c>
      <c r="H583" s="13">
        <v>666609</v>
      </c>
      <c r="I583" s="13">
        <v>1</v>
      </c>
      <c r="J583" s="13">
        <v>0</v>
      </c>
    </row>
    <row r="584" spans="1:10" ht="13.5" customHeight="1">
      <c r="A584" s="84" t="s">
        <v>669</v>
      </c>
      <c r="B584" s="13"/>
      <c r="C584" s="13"/>
      <c r="D584" s="13"/>
      <c r="E584" s="13"/>
      <c r="F584" s="13"/>
      <c r="G584" s="13"/>
      <c r="H584" s="13">
        <v>0</v>
      </c>
      <c r="I584" s="13">
        <v>1</v>
      </c>
      <c r="J584" s="13">
        <v>0</v>
      </c>
    </row>
    <row r="585" spans="1:10" ht="13.5" customHeight="1">
      <c r="A585" s="83" t="s">
        <v>593</v>
      </c>
      <c r="B585" s="13">
        <v>959829</v>
      </c>
      <c r="C585" s="13">
        <v>1478752</v>
      </c>
      <c r="D585" s="13">
        <v>1627186</v>
      </c>
      <c r="E585" s="13">
        <v>3284536.6306779301</v>
      </c>
      <c r="F585" s="13">
        <v>8594593</v>
      </c>
      <c r="G585" s="13">
        <v>13854425</v>
      </c>
      <c r="H585" s="13">
        <v>17044059</v>
      </c>
      <c r="I585" s="13">
        <v>1</v>
      </c>
      <c r="J585" s="13">
        <v>0</v>
      </c>
    </row>
    <row r="586" spans="1:10" ht="13.5" customHeight="1">
      <c r="A586" s="84" t="s">
        <v>594</v>
      </c>
      <c r="B586" s="13">
        <v>959829</v>
      </c>
      <c r="C586" s="13">
        <v>1478752</v>
      </c>
      <c r="D586" s="13">
        <v>1627186</v>
      </c>
      <c r="E586" s="13">
        <v>3284536.6306779301</v>
      </c>
      <c r="F586" s="13">
        <v>8594593</v>
      </c>
      <c r="G586" s="13">
        <v>13854425</v>
      </c>
      <c r="H586" s="13">
        <v>17044059</v>
      </c>
      <c r="I586" s="13">
        <v>1</v>
      </c>
      <c r="J586" s="13">
        <v>0</v>
      </c>
    </row>
    <row r="587" spans="1:10" ht="13.5" customHeight="1">
      <c r="A587" s="83" t="s">
        <v>615</v>
      </c>
      <c r="B587" s="13">
        <v>570883</v>
      </c>
      <c r="C587" s="13">
        <v>565793</v>
      </c>
      <c r="D587" s="13">
        <v>675446</v>
      </c>
      <c r="E587" s="13">
        <v>463957.726986742</v>
      </c>
      <c r="F587" s="13">
        <v>13609</v>
      </c>
      <c r="G587" s="13">
        <v>13256</v>
      </c>
      <c r="H587" s="13">
        <v>13387</v>
      </c>
      <c r="I587" s="13">
        <v>1</v>
      </c>
      <c r="J587" s="13">
        <v>0</v>
      </c>
    </row>
    <row r="588" spans="1:10" ht="13.5" customHeight="1">
      <c r="A588" s="84" t="s">
        <v>370</v>
      </c>
      <c r="B588" s="13">
        <v>570883</v>
      </c>
      <c r="C588" s="13">
        <v>565793</v>
      </c>
      <c r="D588" s="13">
        <v>675446</v>
      </c>
      <c r="E588" s="13">
        <v>463957.726986742</v>
      </c>
      <c r="F588" s="13">
        <v>13609</v>
      </c>
      <c r="G588" s="13">
        <v>13256</v>
      </c>
      <c r="H588" s="13">
        <v>13387</v>
      </c>
      <c r="I588" s="13">
        <v>1</v>
      </c>
      <c r="J588" s="13">
        <v>0</v>
      </c>
    </row>
    <row r="589" spans="1:10" ht="13.5" customHeight="1">
      <c r="A589" s="83" t="s">
        <v>618</v>
      </c>
      <c r="B589" s="13"/>
      <c r="C589" s="13"/>
      <c r="D589" s="13"/>
      <c r="E589" s="13">
        <v>178521.32227758801</v>
      </c>
      <c r="F589" s="13">
        <v>543362</v>
      </c>
      <c r="G589" s="13">
        <v>0</v>
      </c>
      <c r="H589" s="13">
        <v>0</v>
      </c>
      <c r="I589" s="13">
        <v>1</v>
      </c>
      <c r="J589" s="13">
        <v>0</v>
      </c>
    </row>
    <row r="590" spans="1:10" ht="13.5" customHeight="1">
      <c r="A590" s="84" t="s">
        <v>370</v>
      </c>
      <c r="B590" s="13"/>
      <c r="C590" s="13"/>
      <c r="D590" s="13"/>
      <c r="E590" s="13">
        <v>178521.32227758801</v>
      </c>
      <c r="F590" s="13">
        <v>543362</v>
      </c>
      <c r="G590" s="13">
        <v>0</v>
      </c>
      <c r="H590" s="13">
        <v>0</v>
      </c>
      <c r="I590" s="13">
        <v>1</v>
      </c>
      <c r="J590" s="13">
        <v>0</v>
      </c>
    </row>
    <row r="591" spans="1:10" ht="13.5" customHeight="1">
      <c r="A591" s="83" t="s">
        <v>729</v>
      </c>
      <c r="B591" s="13">
        <v>2611215</v>
      </c>
      <c r="C591" s="13">
        <v>1408489</v>
      </c>
      <c r="D591" s="13">
        <v>2509878</v>
      </c>
      <c r="E591" s="13">
        <v>228591.48155885801</v>
      </c>
      <c r="F591" s="13">
        <v>627911</v>
      </c>
      <c r="G591" s="13">
        <v>388893</v>
      </c>
      <c r="H591" s="13">
        <v>63317</v>
      </c>
      <c r="I591" s="13">
        <v>1</v>
      </c>
      <c r="J591" s="13">
        <v>0</v>
      </c>
    </row>
    <row r="592" spans="1:10" ht="13.5" customHeight="1">
      <c r="A592" s="84" t="s">
        <v>629</v>
      </c>
      <c r="B592" s="13">
        <v>2611215</v>
      </c>
      <c r="C592" s="13">
        <v>1408489</v>
      </c>
      <c r="D592" s="13">
        <v>2509878</v>
      </c>
      <c r="E592" s="13">
        <v>228591.48155885801</v>
      </c>
      <c r="F592" s="13">
        <v>627911</v>
      </c>
      <c r="G592" s="13">
        <v>388893</v>
      </c>
      <c r="H592" s="13">
        <v>63317</v>
      </c>
      <c r="I592" s="13">
        <v>1</v>
      </c>
      <c r="J592" s="13">
        <v>0</v>
      </c>
    </row>
    <row r="593" spans="1:10" ht="13.5" customHeight="1">
      <c r="A593" s="83" t="s">
        <v>730</v>
      </c>
      <c r="B593" s="13"/>
      <c r="C593" s="13"/>
      <c r="D593" s="13"/>
      <c r="E593" s="13"/>
      <c r="F593" s="13"/>
      <c r="G593" s="13"/>
      <c r="H593" s="13"/>
      <c r="I593" s="13">
        <v>1</v>
      </c>
      <c r="J593" s="13">
        <v>0</v>
      </c>
    </row>
    <row r="594" spans="1:10" ht="13.5" customHeight="1">
      <c r="A594" s="84" t="s">
        <v>370</v>
      </c>
      <c r="B594" s="13"/>
      <c r="C594" s="13"/>
      <c r="D594" s="13"/>
      <c r="E594" s="13"/>
      <c r="F594" s="13"/>
      <c r="G594" s="13"/>
      <c r="H594" s="13"/>
      <c r="I594" s="13">
        <v>1</v>
      </c>
      <c r="J594" s="13">
        <v>0</v>
      </c>
    </row>
    <row r="595" spans="1:10" ht="13.5" customHeight="1">
      <c r="A595" s="82" t="s">
        <v>573</v>
      </c>
      <c r="B595" s="13">
        <v>323715</v>
      </c>
      <c r="C595" s="13">
        <v>319654</v>
      </c>
      <c r="D595" s="13">
        <v>305018</v>
      </c>
      <c r="E595" s="13">
        <v>327145.55034830398</v>
      </c>
      <c r="F595" s="13">
        <v>211510</v>
      </c>
      <c r="G595" s="13">
        <v>344995</v>
      </c>
      <c r="H595" s="13">
        <v>200321</v>
      </c>
      <c r="I595" s="13">
        <v>2</v>
      </c>
      <c r="J595" s="13">
        <v>0</v>
      </c>
    </row>
    <row r="596" spans="1:10" ht="13.5" customHeight="1">
      <c r="A596" s="83" t="s">
        <v>731</v>
      </c>
      <c r="B596" s="13">
        <v>323715</v>
      </c>
      <c r="C596" s="13">
        <v>319654</v>
      </c>
      <c r="D596" s="13">
        <v>305018</v>
      </c>
      <c r="E596" s="13">
        <v>327145.55034830398</v>
      </c>
      <c r="F596" s="13">
        <v>211489</v>
      </c>
      <c r="G596" s="13">
        <v>344421</v>
      </c>
      <c r="H596" s="13">
        <v>199054</v>
      </c>
      <c r="I596" s="13">
        <v>1</v>
      </c>
      <c r="J596" s="13">
        <v>0</v>
      </c>
    </row>
    <row r="597" spans="1:10" ht="13.5" customHeight="1">
      <c r="A597" s="84" t="s">
        <v>621</v>
      </c>
      <c r="B597" s="13">
        <v>323715</v>
      </c>
      <c r="C597" s="13">
        <v>319654</v>
      </c>
      <c r="D597" s="13">
        <v>305018</v>
      </c>
      <c r="E597" s="13">
        <v>327145.55034830398</v>
      </c>
      <c r="F597" s="13">
        <v>211489</v>
      </c>
      <c r="G597" s="13">
        <v>344421</v>
      </c>
      <c r="H597" s="13">
        <v>199054</v>
      </c>
      <c r="I597" s="13">
        <v>1</v>
      </c>
      <c r="J597" s="13">
        <v>0</v>
      </c>
    </row>
    <row r="598" spans="1:10" ht="13.5" customHeight="1">
      <c r="A598" s="83" t="s">
        <v>680</v>
      </c>
      <c r="B598" s="13"/>
      <c r="C598" s="13"/>
      <c r="D598" s="13"/>
      <c r="E598" s="13"/>
      <c r="F598" s="13">
        <v>21</v>
      </c>
      <c r="G598" s="13">
        <v>574</v>
      </c>
      <c r="H598" s="13">
        <v>1267</v>
      </c>
      <c r="I598" s="13">
        <v>1</v>
      </c>
      <c r="J598" s="13">
        <v>0</v>
      </c>
    </row>
    <row r="599" spans="1:10" ht="13.5" customHeight="1">
      <c r="A599" s="84" t="s">
        <v>621</v>
      </c>
      <c r="B599" s="13"/>
      <c r="C599" s="13"/>
      <c r="D599" s="13"/>
      <c r="E599" s="13"/>
      <c r="F599" s="13">
        <v>21</v>
      </c>
      <c r="G599" s="13">
        <v>574</v>
      </c>
      <c r="H599" s="13">
        <v>1267</v>
      </c>
      <c r="I599" s="13">
        <v>1</v>
      </c>
      <c r="J599" s="13">
        <v>0</v>
      </c>
    </row>
    <row r="600" spans="1:10" ht="13.5" customHeight="1">
      <c r="A600" s="82" t="s">
        <v>577</v>
      </c>
      <c r="B600" s="13">
        <v>2631</v>
      </c>
      <c r="C600" s="13">
        <v>733</v>
      </c>
      <c r="D600" s="13">
        <v>47</v>
      </c>
      <c r="E600" s="13">
        <v>40.5986965857821</v>
      </c>
      <c r="F600" s="13">
        <v>21</v>
      </c>
      <c r="G600" s="13">
        <v>0</v>
      </c>
      <c r="H600" s="13">
        <v>0</v>
      </c>
      <c r="I600" s="13">
        <v>1</v>
      </c>
      <c r="J600" s="13">
        <v>0</v>
      </c>
    </row>
    <row r="601" spans="1:10" ht="13.5" customHeight="1">
      <c r="A601" s="83" t="s">
        <v>684</v>
      </c>
      <c r="B601" s="13">
        <v>2631</v>
      </c>
      <c r="C601" s="13">
        <v>733</v>
      </c>
      <c r="D601" s="13">
        <v>47</v>
      </c>
      <c r="E601" s="13">
        <v>40.5986965857821</v>
      </c>
      <c r="F601" s="13">
        <v>21</v>
      </c>
      <c r="G601" s="13">
        <v>0</v>
      </c>
      <c r="H601" s="13">
        <v>0</v>
      </c>
      <c r="I601" s="13">
        <v>1</v>
      </c>
      <c r="J601" s="13">
        <v>0</v>
      </c>
    </row>
    <row r="602" spans="1:10" ht="13.5" customHeight="1">
      <c r="A602" s="84" t="s">
        <v>370</v>
      </c>
      <c r="B602" s="13">
        <v>2631</v>
      </c>
      <c r="C602" s="13">
        <v>733</v>
      </c>
      <c r="D602" s="13">
        <v>47</v>
      </c>
      <c r="E602" s="13">
        <v>40.5986965857821</v>
      </c>
      <c r="F602" s="13">
        <v>21</v>
      </c>
      <c r="G602" s="13">
        <v>0</v>
      </c>
      <c r="H602" s="13">
        <v>0</v>
      </c>
      <c r="I602" s="13">
        <v>1</v>
      </c>
      <c r="J602" s="13">
        <v>0</v>
      </c>
    </row>
    <row r="603" spans="1:10" ht="13.5" customHeight="1">
      <c r="A603" s="82" t="s">
        <v>581</v>
      </c>
      <c r="B603" s="13"/>
      <c r="C603" s="13"/>
      <c r="D603" s="13"/>
      <c r="E603" s="13"/>
      <c r="F603" s="13"/>
      <c r="G603" s="13"/>
      <c r="H603" s="13">
        <v>881</v>
      </c>
      <c r="I603" s="13">
        <v>1</v>
      </c>
      <c r="J603" s="13">
        <v>0</v>
      </c>
    </row>
    <row r="604" spans="1:10" ht="13.5" customHeight="1">
      <c r="A604" s="83">
        <v>0</v>
      </c>
      <c r="B604" s="13"/>
      <c r="C604" s="13"/>
      <c r="D604" s="13"/>
      <c r="E604" s="13"/>
      <c r="F604" s="13"/>
      <c r="G604" s="13"/>
      <c r="H604" s="13">
        <v>881</v>
      </c>
      <c r="I604" s="13">
        <v>1</v>
      </c>
      <c r="J604" s="13">
        <v>0</v>
      </c>
    </row>
    <row r="605" spans="1:10" ht="13.5" customHeight="1">
      <c r="A605" s="84" t="s">
        <v>370</v>
      </c>
      <c r="B605" s="13"/>
      <c r="C605" s="13"/>
      <c r="D605" s="13"/>
      <c r="E605" s="13"/>
      <c r="F605" s="13"/>
      <c r="G605" s="13"/>
      <c r="H605" s="13">
        <v>881</v>
      </c>
      <c r="I605" s="13">
        <v>1</v>
      </c>
      <c r="J605" s="13">
        <v>0</v>
      </c>
    </row>
    <row r="606" spans="1:10" ht="13.5" customHeight="1">
      <c r="A606" s="26" t="s">
        <v>526</v>
      </c>
      <c r="B606" s="13">
        <v>22034872</v>
      </c>
      <c r="C606" s="13">
        <v>22923218</v>
      </c>
      <c r="D606" s="13">
        <v>30784589</v>
      </c>
      <c r="E606" s="13">
        <v>47010952</v>
      </c>
      <c r="F606" s="13">
        <v>59204334</v>
      </c>
      <c r="G606" s="13">
        <v>454188112</v>
      </c>
      <c r="H606" s="13">
        <v>57039828</v>
      </c>
      <c r="I606" s="13">
        <v>2</v>
      </c>
      <c r="J606" s="13">
        <v>0</v>
      </c>
    </row>
    <row r="607" spans="1:10" ht="13.5" customHeight="1">
      <c r="A607" s="82" t="s">
        <v>542</v>
      </c>
      <c r="B607" s="13">
        <v>22034872</v>
      </c>
      <c r="C607" s="13">
        <v>22923218</v>
      </c>
      <c r="D607" s="13">
        <v>30784589</v>
      </c>
      <c r="E607" s="13">
        <v>47010952</v>
      </c>
      <c r="F607" s="13">
        <v>59204334</v>
      </c>
      <c r="G607" s="13">
        <v>454188112</v>
      </c>
      <c r="H607" s="13">
        <v>57039828</v>
      </c>
      <c r="I607" s="13">
        <v>2</v>
      </c>
      <c r="J607" s="13">
        <v>0</v>
      </c>
    </row>
    <row r="608" spans="1:10" ht="13.5" customHeight="1">
      <c r="A608" s="83" t="s">
        <v>592</v>
      </c>
      <c r="B608" s="13">
        <v>6235907</v>
      </c>
      <c r="C608" s="13">
        <v>6250737</v>
      </c>
      <c r="D608" s="13">
        <v>6954588</v>
      </c>
      <c r="E608" s="13">
        <v>11281589</v>
      </c>
      <c r="F608" s="13">
        <v>11485143</v>
      </c>
      <c r="G608" s="13">
        <v>11344221</v>
      </c>
      <c r="H608" s="13">
        <v>11434255</v>
      </c>
      <c r="I608" s="13">
        <v>1</v>
      </c>
      <c r="J608" s="13">
        <v>0</v>
      </c>
    </row>
    <row r="609" spans="1:10" ht="13.5" customHeight="1">
      <c r="A609" s="84" t="s">
        <v>370</v>
      </c>
      <c r="B609" s="13">
        <v>6235907</v>
      </c>
      <c r="C609" s="13">
        <v>6250737</v>
      </c>
      <c r="D609" s="13">
        <v>6954588</v>
      </c>
      <c r="E609" s="13">
        <v>11281589</v>
      </c>
      <c r="F609" s="13">
        <v>11485143</v>
      </c>
      <c r="G609" s="13">
        <v>11344221</v>
      </c>
      <c r="H609" s="13">
        <v>11434255</v>
      </c>
      <c r="I609" s="13">
        <v>1</v>
      </c>
      <c r="J609" s="13">
        <v>0</v>
      </c>
    </row>
    <row r="610" spans="1:10" ht="13.5" customHeight="1">
      <c r="A610" s="83" t="s">
        <v>632</v>
      </c>
      <c r="B610" s="13">
        <v>15798965</v>
      </c>
      <c r="C610" s="13">
        <v>16672481</v>
      </c>
      <c r="D610" s="13">
        <v>23830001</v>
      </c>
      <c r="E610" s="13">
        <v>35729363</v>
      </c>
      <c r="F610" s="13">
        <v>47719191</v>
      </c>
      <c r="G610" s="13">
        <v>442843891</v>
      </c>
      <c r="H610" s="13">
        <v>45605573</v>
      </c>
      <c r="I610" s="13">
        <v>1</v>
      </c>
      <c r="J610" s="13">
        <v>0</v>
      </c>
    </row>
    <row r="611" spans="1:10" ht="13.5" customHeight="1">
      <c r="A611" s="84" t="s">
        <v>370</v>
      </c>
      <c r="B611" s="13">
        <v>15798965</v>
      </c>
      <c r="C611" s="13">
        <v>16672481</v>
      </c>
      <c r="D611" s="13">
        <v>23830001</v>
      </c>
      <c r="E611" s="13">
        <v>35729363</v>
      </c>
      <c r="F611" s="13">
        <v>47719191</v>
      </c>
      <c r="G611" s="13">
        <v>442843891</v>
      </c>
      <c r="H611" s="13">
        <v>45605573</v>
      </c>
      <c r="I611" s="13">
        <v>1</v>
      </c>
      <c r="J611" s="13">
        <v>0</v>
      </c>
    </row>
    <row r="612" spans="1:10" ht="13.5" customHeight="1">
      <c r="A612" s="26" t="s">
        <v>732</v>
      </c>
      <c r="B612" s="13">
        <v>465489756</v>
      </c>
      <c r="C612" s="13">
        <v>444720094</v>
      </c>
      <c r="D612" s="13">
        <v>428739518</v>
      </c>
      <c r="E612" s="13">
        <v>431234457</v>
      </c>
      <c r="F612" s="13">
        <v>486026742</v>
      </c>
      <c r="G612" s="13">
        <v>498737722</v>
      </c>
      <c r="H612" s="13">
        <v>508054288</v>
      </c>
      <c r="I612" s="13">
        <v>8</v>
      </c>
      <c r="J612" s="13">
        <v>0</v>
      </c>
    </row>
    <row r="613" spans="1:10" ht="13.5" customHeight="1">
      <c r="A613" s="82" t="s">
        <v>542</v>
      </c>
      <c r="B613" s="13">
        <v>457128597</v>
      </c>
      <c r="C613" s="13">
        <v>437811771</v>
      </c>
      <c r="D613" s="13">
        <v>422625236</v>
      </c>
      <c r="E613" s="13">
        <v>425517575</v>
      </c>
      <c r="F613" s="13">
        <v>479748262</v>
      </c>
      <c r="G613" s="13">
        <v>492447110</v>
      </c>
      <c r="H613" s="13">
        <v>501316334</v>
      </c>
      <c r="I613" s="13">
        <v>6</v>
      </c>
      <c r="J613" s="13">
        <v>0</v>
      </c>
    </row>
    <row r="614" spans="1:10" ht="13.5" customHeight="1">
      <c r="A614" s="83" t="s">
        <v>592</v>
      </c>
      <c r="B614" s="13">
        <v>173268</v>
      </c>
      <c r="C614" s="13">
        <v>172973</v>
      </c>
      <c r="D614" s="13">
        <v>169264</v>
      </c>
      <c r="E614" s="13">
        <v>178396</v>
      </c>
      <c r="F614" s="13">
        <v>176827</v>
      </c>
      <c r="G614" s="13">
        <v>40696366</v>
      </c>
      <c r="H614" s="13">
        <v>5262989</v>
      </c>
      <c r="I614" s="13">
        <v>2</v>
      </c>
      <c r="J614" s="13">
        <v>0</v>
      </c>
    </row>
    <row r="615" spans="1:10" ht="13.5" customHeight="1">
      <c r="A615" s="84" t="s">
        <v>370</v>
      </c>
      <c r="B615" s="13">
        <v>173268</v>
      </c>
      <c r="C615" s="13">
        <v>172973</v>
      </c>
      <c r="D615" s="13">
        <v>169264</v>
      </c>
      <c r="E615" s="13">
        <v>178396</v>
      </c>
      <c r="F615" s="13">
        <v>176827</v>
      </c>
      <c r="G615" s="13">
        <v>40696366</v>
      </c>
      <c r="H615" s="13">
        <v>5262989</v>
      </c>
      <c r="I615" s="13">
        <v>2</v>
      </c>
      <c r="J615" s="13">
        <v>0</v>
      </c>
    </row>
    <row r="616" spans="1:10" ht="13.5" customHeight="1">
      <c r="A616" s="83" t="s">
        <v>733</v>
      </c>
      <c r="B616" s="13">
        <v>442653019</v>
      </c>
      <c r="C616" s="13">
        <v>432224651</v>
      </c>
      <c r="D616" s="13">
        <v>416853278</v>
      </c>
      <c r="E616" s="13">
        <v>421105324</v>
      </c>
      <c r="F616" s="13">
        <v>471569081</v>
      </c>
      <c r="G616" s="13">
        <v>442092836</v>
      </c>
      <c r="H616" s="13">
        <v>492137181</v>
      </c>
      <c r="I616" s="13">
        <v>1</v>
      </c>
      <c r="J616" s="13">
        <v>0</v>
      </c>
    </row>
    <row r="617" spans="1:10" ht="13.5" customHeight="1">
      <c r="A617" s="84" t="s">
        <v>624</v>
      </c>
      <c r="B617" s="13">
        <v>442653019</v>
      </c>
      <c r="C617" s="13">
        <v>432224651</v>
      </c>
      <c r="D617" s="13">
        <v>416853278</v>
      </c>
      <c r="E617" s="13">
        <v>421105324</v>
      </c>
      <c r="F617" s="13">
        <v>471569081</v>
      </c>
      <c r="G617" s="13">
        <v>442092836</v>
      </c>
      <c r="H617" s="13">
        <v>492137181</v>
      </c>
      <c r="I617" s="13">
        <v>1</v>
      </c>
      <c r="J617" s="13">
        <v>0</v>
      </c>
    </row>
    <row r="618" spans="1:10" ht="13.5" customHeight="1">
      <c r="A618" s="83" t="s">
        <v>623</v>
      </c>
      <c r="B618" s="13">
        <v>728064</v>
      </c>
      <c r="C618" s="13">
        <v>530212</v>
      </c>
      <c r="D618" s="13">
        <v>518717</v>
      </c>
      <c r="E618" s="13">
        <v>546304</v>
      </c>
      <c r="F618" s="13">
        <v>543280</v>
      </c>
      <c r="G618" s="13">
        <v>553600</v>
      </c>
      <c r="H618" s="13">
        <v>552613</v>
      </c>
      <c r="I618" s="13">
        <v>2</v>
      </c>
      <c r="J618" s="13">
        <v>0</v>
      </c>
    </row>
    <row r="619" spans="1:10" ht="13.5" customHeight="1">
      <c r="A619" s="84" t="s">
        <v>594</v>
      </c>
      <c r="B619" s="13">
        <v>682864</v>
      </c>
      <c r="C619" s="13">
        <v>484847</v>
      </c>
      <c r="D619" s="13">
        <v>473804</v>
      </c>
      <c r="E619" s="13">
        <v>499777</v>
      </c>
      <c r="F619" s="13">
        <v>494789</v>
      </c>
      <c r="G619" s="13">
        <v>506091</v>
      </c>
      <c r="H619" s="13">
        <v>505432</v>
      </c>
      <c r="I619" s="13">
        <v>1</v>
      </c>
      <c r="J619" s="13">
        <v>0</v>
      </c>
    </row>
    <row r="620" spans="1:10" ht="13.5" customHeight="1">
      <c r="A620" s="84" t="s">
        <v>600</v>
      </c>
      <c r="B620" s="13">
        <v>45200</v>
      </c>
      <c r="C620" s="13">
        <v>45365</v>
      </c>
      <c r="D620" s="13">
        <v>44913</v>
      </c>
      <c r="E620" s="13">
        <v>46527</v>
      </c>
      <c r="F620" s="13">
        <v>48491</v>
      </c>
      <c r="G620" s="13">
        <v>47509</v>
      </c>
      <c r="H620" s="13">
        <v>47181</v>
      </c>
      <c r="I620" s="13">
        <v>1</v>
      </c>
      <c r="J620" s="13">
        <v>0</v>
      </c>
    </row>
    <row r="621" spans="1:10" ht="13.5" customHeight="1">
      <c r="A621" s="83" t="s">
        <v>626</v>
      </c>
      <c r="B621" s="13">
        <v>13574246</v>
      </c>
      <c r="C621" s="13">
        <v>4883935</v>
      </c>
      <c r="D621" s="13">
        <v>5083977</v>
      </c>
      <c r="E621" s="13">
        <v>3687551</v>
      </c>
      <c r="F621" s="13">
        <v>7459074</v>
      </c>
      <c r="G621" s="13">
        <v>9104308</v>
      </c>
      <c r="H621" s="13">
        <v>3363551</v>
      </c>
      <c r="I621" s="13">
        <v>1</v>
      </c>
      <c r="J621" s="13">
        <v>0</v>
      </c>
    </row>
    <row r="622" spans="1:10" ht="13.5" customHeight="1">
      <c r="A622" s="84" t="s">
        <v>370</v>
      </c>
      <c r="B622" s="13">
        <v>13574246</v>
      </c>
      <c r="C622" s="13">
        <v>4883935</v>
      </c>
      <c r="D622" s="13">
        <v>5083977</v>
      </c>
      <c r="E622" s="13">
        <v>3687551</v>
      </c>
      <c r="F622" s="13">
        <v>7459074</v>
      </c>
      <c r="G622" s="13">
        <v>9104308</v>
      </c>
      <c r="H622" s="13">
        <v>3363551</v>
      </c>
      <c r="I622" s="13">
        <v>1</v>
      </c>
      <c r="J622" s="13">
        <v>0</v>
      </c>
    </row>
    <row r="623" spans="1:10" ht="13.5" customHeight="1">
      <c r="A623" s="82" t="s">
        <v>568</v>
      </c>
      <c r="B623" s="13">
        <v>8361159</v>
      </c>
      <c r="C623" s="13">
        <v>6908323</v>
      </c>
      <c r="D623" s="13">
        <v>6114282</v>
      </c>
      <c r="E623" s="13">
        <v>5716882</v>
      </c>
      <c r="F623" s="13">
        <v>6278480</v>
      </c>
      <c r="G623" s="13">
        <v>6290612</v>
      </c>
      <c r="H623" s="13">
        <v>6737954</v>
      </c>
      <c r="I623" s="13">
        <v>1</v>
      </c>
      <c r="J623" s="13">
        <v>0</v>
      </c>
    </row>
    <row r="624" spans="1:10" ht="13.5" customHeight="1">
      <c r="A624" s="83" t="s">
        <v>593</v>
      </c>
      <c r="B624" s="13">
        <v>8361159</v>
      </c>
      <c r="C624" s="13">
        <v>6908323</v>
      </c>
      <c r="D624" s="13">
        <v>6114282</v>
      </c>
      <c r="E624" s="13">
        <v>5716882</v>
      </c>
      <c r="F624" s="13">
        <v>6278480</v>
      </c>
      <c r="G624" s="13">
        <v>6290612</v>
      </c>
      <c r="H624" s="13">
        <v>6737954</v>
      </c>
      <c r="I624" s="13">
        <v>1</v>
      </c>
      <c r="J624" s="13">
        <v>0</v>
      </c>
    </row>
    <row r="625" spans="1:10" ht="13.5" customHeight="1">
      <c r="A625" s="84" t="s">
        <v>594</v>
      </c>
      <c r="B625" s="13">
        <v>8361159</v>
      </c>
      <c r="C625" s="13">
        <v>6908323</v>
      </c>
      <c r="D625" s="13">
        <v>6114282</v>
      </c>
      <c r="E625" s="13">
        <v>5716882</v>
      </c>
      <c r="F625" s="13">
        <v>6278480</v>
      </c>
      <c r="G625" s="13">
        <v>6290612</v>
      </c>
      <c r="H625" s="13">
        <v>6737954</v>
      </c>
      <c r="I625" s="13">
        <v>1</v>
      </c>
      <c r="J625" s="13">
        <v>0</v>
      </c>
    </row>
    <row r="626" spans="1:10" ht="13.5" customHeight="1">
      <c r="A626" s="82" t="s">
        <v>571</v>
      </c>
      <c r="B626" s="13">
        <v>0</v>
      </c>
      <c r="C626" s="13">
        <v>0</v>
      </c>
      <c r="D626" s="13">
        <v>0</v>
      </c>
      <c r="E626" s="13">
        <v>0</v>
      </c>
      <c r="F626" s="13">
        <v>0</v>
      </c>
      <c r="G626" s="13">
        <v>0</v>
      </c>
      <c r="H626" s="13">
        <v>0</v>
      </c>
      <c r="I626" s="13">
        <v>1</v>
      </c>
      <c r="J626" s="13">
        <v>0</v>
      </c>
    </row>
    <row r="627" spans="1:10" ht="13.5" customHeight="1">
      <c r="A627" s="83" t="s">
        <v>734</v>
      </c>
      <c r="B627" s="13">
        <v>0</v>
      </c>
      <c r="C627" s="13">
        <v>0</v>
      </c>
      <c r="D627" s="13">
        <v>0</v>
      </c>
      <c r="E627" s="13">
        <v>0</v>
      </c>
      <c r="F627" s="13">
        <v>0</v>
      </c>
      <c r="G627" s="13">
        <v>0</v>
      </c>
      <c r="H627" s="13">
        <v>0</v>
      </c>
      <c r="I627" s="13">
        <v>1</v>
      </c>
      <c r="J627" s="13">
        <v>0</v>
      </c>
    </row>
    <row r="628" spans="1:10" ht="13.5" customHeight="1">
      <c r="A628" s="84" t="s">
        <v>594</v>
      </c>
      <c r="B628" s="13">
        <v>0</v>
      </c>
      <c r="C628" s="13">
        <v>0</v>
      </c>
      <c r="D628" s="13">
        <v>0</v>
      </c>
      <c r="E628" s="13">
        <v>0</v>
      </c>
      <c r="F628" s="13">
        <v>0</v>
      </c>
      <c r="G628" s="13">
        <v>0</v>
      </c>
      <c r="H628" s="13">
        <v>0</v>
      </c>
      <c r="I628" s="13">
        <v>1</v>
      </c>
      <c r="J628" s="13">
        <v>0</v>
      </c>
    </row>
    <row r="629" spans="1:10" ht="13.5" customHeight="1">
      <c r="A629" s="26" t="s">
        <v>735</v>
      </c>
      <c r="B629" s="13">
        <v>68361343</v>
      </c>
      <c r="C629" s="13">
        <v>68754163</v>
      </c>
      <c r="D629" s="13">
        <v>68401747</v>
      </c>
      <c r="E629" s="13">
        <v>81891769.049999997</v>
      </c>
      <c r="F629" s="13">
        <v>80894199.75</v>
      </c>
      <c r="G629" s="13">
        <v>83662050</v>
      </c>
      <c r="H629" s="13">
        <v>89156709</v>
      </c>
      <c r="I629" s="13">
        <v>1</v>
      </c>
      <c r="J629" s="13">
        <v>0</v>
      </c>
    </row>
    <row r="630" spans="1:10" ht="13.5" customHeight="1">
      <c r="A630" s="82" t="s">
        <v>568</v>
      </c>
      <c r="B630" s="13">
        <v>68361343</v>
      </c>
      <c r="C630" s="13">
        <v>68754163</v>
      </c>
      <c r="D630" s="13">
        <v>68401747</v>
      </c>
      <c r="E630" s="13">
        <v>81891769.049999997</v>
      </c>
      <c r="F630" s="13">
        <v>80894199.75</v>
      </c>
      <c r="G630" s="13">
        <v>83662050</v>
      </c>
      <c r="H630" s="13">
        <v>89156709</v>
      </c>
      <c r="I630" s="13">
        <v>1</v>
      </c>
      <c r="J630" s="13">
        <v>0</v>
      </c>
    </row>
    <row r="631" spans="1:10" ht="13.5" customHeight="1">
      <c r="A631" s="83" t="s">
        <v>593</v>
      </c>
      <c r="B631" s="13">
        <v>68361343</v>
      </c>
      <c r="C631" s="13">
        <v>68754163</v>
      </c>
      <c r="D631" s="13">
        <v>68401747</v>
      </c>
      <c r="E631" s="13">
        <v>81891769.049999997</v>
      </c>
      <c r="F631" s="13">
        <v>80894199.75</v>
      </c>
      <c r="G631" s="13">
        <v>83662050</v>
      </c>
      <c r="H631" s="13">
        <v>89156709</v>
      </c>
      <c r="I631" s="13">
        <v>1</v>
      </c>
      <c r="J631" s="13">
        <v>0</v>
      </c>
    </row>
    <row r="632" spans="1:10" ht="13.5" customHeight="1">
      <c r="A632" s="84" t="s">
        <v>594</v>
      </c>
      <c r="B632" s="13">
        <v>68361343</v>
      </c>
      <c r="C632" s="13">
        <v>68754163</v>
      </c>
      <c r="D632" s="13">
        <v>68401747</v>
      </c>
      <c r="E632" s="13">
        <v>81891769.049999997</v>
      </c>
      <c r="F632" s="13">
        <v>80894199.75</v>
      </c>
      <c r="G632" s="13">
        <v>83662050</v>
      </c>
      <c r="H632" s="13">
        <v>89156709</v>
      </c>
      <c r="I632" s="13">
        <v>1</v>
      </c>
      <c r="J632" s="13">
        <v>0</v>
      </c>
    </row>
    <row r="633" spans="1:10" ht="13.5" customHeight="1">
      <c r="A633" s="26" t="s">
        <v>548</v>
      </c>
      <c r="B633" s="13">
        <v>12237331015</v>
      </c>
      <c r="C633" s="13">
        <v>9037177789</v>
      </c>
      <c r="D633" s="13">
        <v>16342998072</v>
      </c>
      <c r="E633" s="13">
        <v>10092737435.636545</v>
      </c>
      <c r="F633" s="13">
        <v>11028798795.75</v>
      </c>
      <c r="G633" s="13">
        <v>13696379631</v>
      </c>
      <c r="H633" s="13">
        <v>10675263141</v>
      </c>
      <c r="I633" s="13">
        <v>390</v>
      </c>
      <c r="J633" s="13">
        <v>0</v>
      </c>
    </row>
    <row r="634" spans="1:10" ht="13.5" customHeight="1">
      <c r="A634"/>
      <c r="B634"/>
      <c r="C634"/>
      <c r="D634"/>
      <c r="E634"/>
      <c r="F634"/>
      <c r="G634"/>
      <c r="H634"/>
      <c r="I634"/>
    </row>
    <row r="635" spans="1:10" ht="13.5" customHeight="1">
      <c r="A635"/>
      <c r="B635"/>
      <c r="C635"/>
      <c r="D635"/>
      <c r="E635"/>
      <c r="F635"/>
      <c r="G635"/>
      <c r="H635"/>
      <c r="I635"/>
    </row>
    <row r="636" spans="1:10" ht="13.5" customHeight="1">
      <c r="A636"/>
      <c r="B636"/>
      <c r="C636"/>
      <c r="D636"/>
      <c r="E636"/>
      <c r="F636"/>
      <c r="G636"/>
      <c r="H636"/>
      <c r="I636"/>
    </row>
    <row r="637" spans="1:10" ht="13.5" customHeight="1">
      <c r="A637"/>
      <c r="B637"/>
      <c r="C637"/>
      <c r="D637"/>
      <c r="E637"/>
      <c r="F637"/>
      <c r="G637"/>
      <c r="H637"/>
      <c r="I637"/>
    </row>
    <row r="638" spans="1:10" ht="13.5" customHeight="1">
      <c r="A638"/>
      <c r="B638"/>
      <c r="C638"/>
      <c r="D638"/>
      <c r="E638"/>
      <c r="F638"/>
      <c r="G638"/>
      <c r="H638"/>
      <c r="I638"/>
    </row>
    <row r="639" spans="1:10" ht="13.5" customHeight="1">
      <c r="A639"/>
      <c r="B639"/>
      <c r="C639"/>
      <c r="D639"/>
      <c r="E639"/>
      <c r="F639"/>
      <c r="G639"/>
      <c r="H639"/>
      <c r="I639"/>
    </row>
    <row r="640" spans="1:10" ht="13.5" customHeight="1">
      <c r="A640"/>
      <c r="B640"/>
      <c r="C640"/>
      <c r="D640"/>
      <c r="E640"/>
      <c r="F640"/>
      <c r="G640"/>
      <c r="H640"/>
      <c r="I640"/>
    </row>
    <row r="641" spans="1:9" ht="13.5" customHeight="1">
      <c r="A641"/>
      <c r="B641"/>
      <c r="C641"/>
      <c r="D641"/>
      <c r="E641"/>
      <c r="F641"/>
      <c r="G641"/>
      <c r="H641"/>
      <c r="I641"/>
    </row>
    <row r="642" spans="1:9" ht="13.5" customHeight="1">
      <c r="A642"/>
      <c r="B642"/>
      <c r="C642"/>
      <c r="D642"/>
      <c r="E642"/>
      <c r="F642"/>
      <c r="G642"/>
      <c r="H642"/>
      <c r="I642"/>
    </row>
    <row r="643" spans="1:9" ht="13.5" customHeight="1">
      <c r="A643"/>
      <c r="B643"/>
      <c r="C643"/>
      <c r="D643"/>
      <c r="E643"/>
      <c r="F643"/>
      <c r="G643"/>
      <c r="H643"/>
      <c r="I643"/>
    </row>
    <row r="644" spans="1:9" ht="13.5" customHeight="1">
      <c r="A644"/>
      <c r="B644"/>
      <c r="C644"/>
      <c r="D644"/>
      <c r="E644"/>
      <c r="F644"/>
      <c r="G644"/>
      <c r="H644"/>
      <c r="I644"/>
    </row>
    <row r="645" spans="1:9" ht="13.5" customHeight="1">
      <c r="A645"/>
      <c r="B645"/>
      <c r="C645"/>
      <c r="D645"/>
      <c r="E645"/>
      <c r="F645"/>
      <c r="G645"/>
      <c r="H645"/>
      <c r="I645"/>
    </row>
    <row r="646" spans="1:9" ht="13.5" customHeight="1">
      <c r="A646"/>
      <c r="B646"/>
      <c r="C646"/>
      <c r="D646"/>
      <c r="E646"/>
      <c r="F646"/>
      <c r="G646"/>
      <c r="H646"/>
      <c r="I646"/>
    </row>
    <row r="647" spans="1:9" ht="13.5" customHeight="1">
      <c r="A647"/>
      <c r="B647"/>
      <c r="C647"/>
      <c r="D647"/>
      <c r="E647"/>
      <c r="F647"/>
      <c r="G647"/>
      <c r="H647"/>
      <c r="I647"/>
    </row>
    <row r="648" spans="1:9" ht="13.5" customHeight="1">
      <c r="A648"/>
      <c r="B648"/>
      <c r="C648"/>
      <c r="D648"/>
      <c r="E648"/>
      <c r="F648"/>
      <c r="G648"/>
      <c r="H648"/>
      <c r="I648"/>
    </row>
    <row r="649" spans="1:9" ht="13.5" customHeight="1">
      <c r="A649"/>
      <c r="B649"/>
      <c r="C649"/>
      <c r="D649"/>
      <c r="E649"/>
      <c r="F649"/>
      <c r="G649"/>
      <c r="H649"/>
      <c r="I649"/>
    </row>
    <row r="650" spans="1:9" ht="13.5" customHeight="1">
      <c r="A650"/>
      <c r="B650"/>
      <c r="C650"/>
      <c r="D650"/>
      <c r="E650"/>
      <c r="F650"/>
      <c r="G650"/>
      <c r="H650"/>
      <c r="I650"/>
    </row>
    <row r="651" spans="1:9" ht="13.5" customHeight="1">
      <c r="A651"/>
      <c r="B651"/>
      <c r="C651"/>
      <c r="D651"/>
      <c r="E651"/>
      <c r="F651"/>
      <c r="G651"/>
      <c r="H651"/>
      <c r="I651"/>
    </row>
    <row r="652" spans="1:9" ht="13.5" customHeight="1">
      <c r="A652"/>
      <c r="B652"/>
      <c r="C652"/>
      <c r="D652"/>
      <c r="E652"/>
      <c r="F652"/>
      <c r="G652"/>
      <c r="H652"/>
      <c r="I652"/>
    </row>
    <row r="653" spans="1:9" ht="13.5" customHeight="1">
      <c r="A653"/>
      <c r="B653"/>
      <c r="C653"/>
      <c r="D653"/>
      <c r="E653"/>
      <c r="F653"/>
      <c r="G653"/>
      <c r="H653"/>
      <c r="I653"/>
    </row>
    <row r="654" spans="1:9" ht="13.5" customHeight="1">
      <c r="A654"/>
      <c r="B654"/>
      <c r="C654"/>
      <c r="D654"/>
      <c r="E654"/>
      <c r="F654"/>
      <c r="G654"/>
      <c r="H654"/>
      <c r="I654"/>
    </row>
    <row r="655" spans="1:9" ht="13.5" customHeight="1">
      <c r="A655"/>
      <c r="B655"/>
      <c r="C655"/>
      <c r="D655"/>
      <c r="E655"/>
      <c r="F655"/>
      <c r="G655"/>
      <c r="H655"/>
      <c r="I655"/>
    </row>
    <row r="656" spans="1:9" ht="13.5" customHeight="1">
      <c r="A656"/>
      <c r="B656"/>
      <c r="C656"/>
      <c r="D656"/>
      <c r="E656"/>
      <c r="F656"/>
      <c r="G656"/>
      <c r="H656"/>
      <c r="I656"/>
    </row>
    <row r="657" spans="1:9" ht="13.5" customHeight="1">
      <c r="A657"/>
      <c r="B657"/>
      <c r="C657"/>
      <c r="D657"/>
      <c r="E657"/>
      <c r="F657"/>
      <c r="G657"/>
      <c r="H657"/>
      <c r="I657"/>
    </row>
    <row r="658" spans="1:9" ht="13.5" customHeight="1">
      <c r="A658"/>
      <c r="B658"/>
      <c r="C658"/>
      <c r="D658"/>
      <c r="E658"/>
      <c r="F658"/>
      <c r="G658"/>
      <c r="H658"/>
      <c r="I658"/>
    </row>
    <row r="659" spans="1:9" ht="13.5" customHeight="1">
      <c r="A659"/>
      <c r="B659"/>
      <c r="C659"/>
      <c r="D659"/>
      <c r="E659"/>
      <c r="F659"/>
      <c r="G659"/>
      <c r="H659"/>
      <c r="I659"/>
    </row>
    <row r="660" spans="1:9" ht="13.5" customHeight="1">
      <c r="A660"/>
      <c r="B660"/>
      <c r="C660"/>
      <c r="D660"/>
      <c r="E660"/>
      <c r="F660"/>
      <c r="G660"/>
      <c r="H660"/>
      <c r="I660"/>
    </row>
    <row r="661" spans="1:9" ht="13.5" customHeight="1">
      <c r="A661"/>
      <c r="B661"/>
      <c r="C661"/>
      <c r="D661"/>
      <c r="E661"/>
      <c r="F661"/>
      <c r="G661"/>
      <c r="H661"/>
      <c r="I661"/>
    </row>
    <row r="662" spans="1:9" ht="13.5" customHeight="1">
      <c r="A662"/>
      <c r="B662"/>
      <c r="C662"/>
      <c r="D662"/>
      <c r="E662"/>
      <c r="F662"/>
      <c r="G662"/>
      <c r="H662"/>
      <c r="I662"/>
    </row>
    <row r="663" spans="1:9" ht="13.5" customHeight="1">
      <c r="A663"/>
      <c r="B663"/>
      <c r="C663"/>
      <c r="D663"/>
      <c r="E663"/>
      <c r="F663"/>
      <c r="G663"/>
      <c r="H663"/>
      <c r="I663"/>
    </row>
    <row r="664" spans="1:9" ht="13.5" customHeight="1">
      <c r="A664"/>
      <c r="B664"/>
      <c r="C664"/>
      <c r="D664"/>
      <c r="E664"/>
      <c r="F664"/>
      <c r="G664"/>
      <c r="H664"/>
      <c r="I664"/>
    </row>
    <row r="665" spans="1:9" ht="13.5" customHeight="1">
      <c r="A665"/>
      <c r="B665"/>
      <c r="C665"/>
      <c r="D665"/>
      <c r="E665"/>
      <c r="F665"/>
      <c r="G665"/>
      <c r="H665"/>
      <c r="I665"/>
    </row>
    <row r="666" spans="1:9" ht="13.5" customHeight="1">
      <c r="A666"/>
      <c r="B666"/>
      <c r="C666"/>
      <c r="D666"/>
      <c r="E666"/>
      <c r="F666"/>
      <c r="G666"/>
      <c r="H666"/>
      <c r="I666"/>
    </row>
    <row r="667" spans="1:9" ht="13.5" customHeight="1">
      <c r="A667"/>
      <c r="B667"/>
      <c r="C667"/>
      <c r="D667"/>
      <c r="E667"/>
      <c r="F667"/>
      <c r="G667"/>
      <c r="H667"/>
      <c r="I667"/>
    </row>
    <row r="668" spans="1:9" ht="13.5" customHeight="1">
      <c r="A668"/>
      <c r="B668"/>
      <c r="C668"/>
      <c r="D668"/>
      <c r="E668"/>
      <c r="F668"/>
      <c r="G668"/>
      <c r="H668"/>
      <c r="I668"/>
    </row>
    <row r="669" spans="1:9" ht="13.5" customHeight="1">
      <c r="A669"/>
      <c r="B669"/>
      <c r="C669"/>
      <c r="D669"/>
      <c r="E669"/>
      <c r="F669"/>
      <c r="G669"/>
      <c r="H669"/>
      <c r="I669"/>
    </row>
    <row r="670" spans="1:9" ht="13.5" customHeight="1">
      <c r="A670"/>
      <c r="B670"/>
      <c r="C670"/>
      <c r="D670"/>
      <c r="E670"/>
      <c r="F670"/>
      <c r="G670"/>
      <c r="H670"/>
      <c r="I670"/>
    </row>
    <row r="671" spans="1:9" ht="13.5" customHeight="1">
      <c r="A671"/>
      <c r="B671"/>
      <c r="C671"/>
      <c r="D671"/>
      <c r="E671"/>
      <c r="F671"/>
      <c r="G671"/>
      <c r="H671"/>
      <c r="I671"/>
    </row>
    <row r="672" spans="1:9" ht="13.5" customHeight="1">
      <c r="A672"/>
      <c r="B672"/>
      <c r="C672"/>
      <c r="D672"/>
      <c r="E672"/>
      <c r="F672"/>
      <c r="G672"/>
      <c r="H672"/>
      <c r="I672"/>
    </row>
    <row r="673" spans="1:9" ht="13.5" customHeight="1">
      <c r="A673"/>
      <c r="B673"/>
      <c r="C673"/>
      <c r="D673"/>
      <c r="E673"/>
      <c r="F673"/>
      <c r="G673"/>
      <c r="H673"/>
      <c r="I673"/>
    </row>
    <row r="674" spans="1:9" ht="13.5" customHeight="1">
      <c r="A674"/>
      <c r="B674"/>
      <c r="C674"/>
      <c r="D674"/>
      <c r="E674"/>
      <c r="F674"/>
      <c r="G674"/>
      <c r="H674"/>
      <c r="I674"/>
    </row>
    <row r="675" spans="1:9" ht="13.5" customHeight="1">
      <c r="A675"/>
      <c r="B675"/>
      <c r="C675"/>
      <c r="D675"/>
      <c r="E675"/>
      <c r="F675"/>
      <c r="G675"/>
      <c r="H675"/>
      <c r="I675"/>
    </row>
    <row r="676" spans="1:9" ht="13.5" customHeight="1">
      <c r="A676"/>
      <c r="B676"/>
      <c r="C676"/>
      <c r="D676"/>
      <c r="E676"/>
      <c r="F676"/>
      <c r="G676"/>
      <c r="H676"/>
      <c r="I676"/>
    </row>
    <row r="677" spans="1:9" ht="13.5" customHeight="1">
      <c r="A677"/>
      <c r="B677"/>
      <c r="C677"/>
      <c r="D677"/>
      <c r="E677"/>
      <c r="F677"/>
      <c r="G677"/>
      <c r="H677"/>
      <c r="I677"/>
    </row>
    <row r="678" spans="1:9" ht="13.5" customHeight="1">
      <c r="A678"/>
      <c r="B678"/>
      <c r="C678"/>
      <c r="D678"/>
      <c r="E678"/>
      <c r="F678"/>
      <c r="G678"/>
      <c r="H678"/>
      <c r="I678"/>
    </row>
    <row r="679" spans="1:9" ht="13.5" customHeight="1">
      <c r="A679"/>
      <c r="B679"/>
      <c r="C679"/>
      <c r="D679"/>
      <c r="E679"/>
      <c r="F679"/>
      <c r="G679"/>
      <c r="H679"/>
      <c r="I679"/>
    </row>
    <row r="680" spans="1:9" ht="13.5" customHeight="1">
      <c r="A680"/>
      <c r="B680"/>
      <c r="C680"/>
      <c r="D680"/>
      <c r="E680"/>
      <c r="F680"/>
      <c r="G680"/>
      <c r="H680"/>
      <c r="I680"/>
    </row>
    <row r="681" spans="1:9" ht="13.5" customHeight="1">
      <c r="A681"/>
      <c r="B681"/>
      <c r="C681"/>
      <c r="D681"/>
      <c r="E681"/>
      <c r="F681"/>
      <c r="G681"/>
      <c r="H681"/>
      <c r="I681"/>
    </row>
    <row r="682" spans="1:9" ht="13.5" customHeight="1">
      <c r="A682"/>
      <c r="B682"/>
      <c r="C682"/>
      <c r="D682"/>
      <c r="E682"/>
      <c r="F682"/>
      <c r="G682"/>
      <c r="H682"/>
      <c r="I682"/>
    </row>
    <row r="683" spans="1:9" ht="13.5" customHeight="1">
      <c r="A683"/>
      <c r="B683"/>
      <c r="C683"/>
      <c r="D683"/>
      <c r="E683"/>
      <c r="F683"/>
      <c r="G683"/>
      <c r="H683"/>
      <c r="I683"/>
    </row>
    <row r="684" spans="1:9" ht="13.5" customHeight="1">
      <c r="A684"/>
      <c r="B684"/>
      <c r="C684"/>
      <c r="D684"/>
      <c r="E684"/>
      <c r="F684"/>
      <c r="G684"/>
      <c r="H684"/>
      <c r="I684"/>
    </row>
    <row r="685" spans="1:9" ht="13.5" customHeight="1">
      <c r="A685"/>
      <c r="B685"/>
      <c r="C685"/>
      <c r="D685"/>
      <c r="E685"/>
      <c r="F685"/>
      <c r="G685"/>
      <c r="H685"/>
      <c r="I685"/>
    </row>
    <row r="686" spans="1:9" ht="13.5" customHeight="1">
      <c r="A686"/>
      <c r="B686"/>
      <c r="C686"/>
      <c r="D686"/>
      <c r="E686"/>
      <c r="F686"/>
      <c r="G686"/>
      <c r="H686"/>
      <c r="I686"/>
    </row>
    <row r="687" spans="1:9" ht="13.5" customHeight="1">
      <c r="A687"/>
      <c r="B687"/>
      <c r="C687"/>
      <c r="D687"/>
      <c r="E687"/>
      <c r="F687"/>
      <c r="G687"/>
      <c r="H687"/>
      <c r="I687"/>
    </row>
    <row r="688" spans="1:9" ht="13.5" customHeight="1">
      <c r="A688"/>
      <c r="B688"/>
      <c r="C688"/>
      <c r="D688"/>
      <c r="E688"/>
      <c r="F688"/>
      <c r="G688"/>
      <c r="H688"/>
      <c r="I688"/>
    </row>
    <row r="689" spans="1:9" ht="13.5" customHeight="1">
      <c r="A689"/>
      <c r="B689"/>
      <c r="C689"/>
      <c r="D689"/>
      <c r="E689"/>
      <c r="F689"/>
      <c r="G689"/>
      <c r="H689"/>
      <c r="I689"/>
    </row>
    <row r="690" spans="1:9" ht="13.5" customHeight="1">
      <c r="A690"/>
      <c r="B690"/>
      <c r="C690"/>
      <c r="D690"/>
      <c r="E690"/>
      <c r="F690"/>
      <c r="G690"/>
      <c r="H690"/>
      <c r="I690"/>
    </row>
    <row r="691" spans="1:9" ht="13.5" customHeight="1">
      <c r="A691"/>
      <c r="B691"/>
      <c r="C691"/>
      <c r="D691"/>
      <c r="E691"/>
      <c r="F691"/>
      <c r="G691"/>
      <c r="H691"/>
      <c r="I691"/>
    </row>
    <row r="692" spans="1:9" ht="13.5" customHeight="1">
      <c r="A692"/>
      <c r="B692"/>
      <c r="C692"/>
      <c r="D692"/>
      <c r="E692"/>
      <c r="F692"/>
      <c r="G692"/>
      <c r="H692"/>
      <c r="I692"/>
    </row>
    <row r="693" spans="1:9" ht="13.5" customHeight="1">
      <c r="A693"/>
      <c r="B693"/>
      <c r="C693"/>
      <c r="D693"/>
      <c r="E693"/>
      <c r="F693"/>
      <c r="G693"/>
      <c r="H693"/>
      <c r="I693"/>
    </row>
    <row r="694" spans="1:9" ht="13.5" customHeight="1">
      <c r="A694"/>
      <c r="B694"/>
      <c r="C694"/>
      <c r="D694"/>
      <c r="E694"/>
      <c r="F694"/>
      <c r="G694"/>
      <c r="H694"/>
      <c r="I694"/>
    </row>
    <row r="695" spans="1:9" ht="13.5" customHeight="1">
      <c r="A695"/>
      <c r="B695"/>
      <c r="C695"/>
      <c r="D695"/>
      <c r="E695"/>
      <c r="F695"/>
      <c r="G695"/>
      <c r="H695"/>
      <c r="I695"/>
    </row>
    <row r="696" spans="1:9" ht="13.5" customHeight="1">
      <c r="A696"/>
      <c r="B696"/>
      <c r="C696"/>
      <c r="D696"/>
      <c r="E696"/>
      <c r="F696"/>
      <c r="G696"/>
      <c r="H696"/>
      <c r="I696"/>
    </row>
    <row r="697" spans="1:9" ht="13.5" customHeight="1">
      <c r="A697"/>
      <c r="B697"/>
      <c r="C697"/>
      <c r="D697"/>
      <c r="E697"/>
      <c r="F697"/>
      <c r="G697"/>
      <c r="H697"/>
      <c r="I697"/>
    </row>
    <row r="698" spans="1:9" ht="13.5" customHeight="1">
      <c r="A698"/>
      <c r="B698"/>
      <c r="C698"/>
      <c r="D698"/>
      <c r="E698"/>
      <c r="F698"/>
      <c r="G698"/>
      <c r="H698"/>
      <c r="I698"/>
    </row>
    <row r="699" spans="1:9" ht="13.5" customHeight="1">
      <c r="A699"/>
      <c r="B699"/>
      <c r="C699"/>
      <c r="D699"/>
      <c r="E699"/>
      <c r="F699"/>
      <c r="G699"/>
      <c r="H699"/>
      <c r="I699"/>
    </row>
    <row r="700" spans="1:9" ht="13.5" customHeight="1">
      <c r="A700"/>
      <c r="B700"/>
      <c r="C700"/>
      <c r="D700"/>
      <c r="E700"/>
      <c r="F700"/>
      <c r="G700"/>
      <c r="H700"/>
      <c r="I700"/>
    </row>
    <row r="701" spans="1:9" ht="13.5" customHeight="1">
      <c r="A701"/>
      <c r="B701"/>
      <c r="C701"/>
      <c r="D701"/>
      <c r="E701"/>
      <c r="F701"/>
      <c r="G701"/>
      <c r="H701"/>
      <c r="I701"/>
    </row>
    <row r="702" spans="1:9" ht="13.5" customHeight="1">
      <c r="A702"/>
      <c r="B702"/>
      <c r="C702"/>
      <c r="D702"/>
      <c r="E702"/>
      <c r="F702"/>
      <c r="G702"/>
      <c r="H702"/>
      <c r="I702"/>
    </row>
    <row r="703" spans="1:9" ht="13.5" customHeight="1">
      <c r="A703"/>
      <c r="B703"/>
      <c r="C703"/>
      <c r="D703"/>
      <c r="E703"/>
      <c r="F703"/>
      <c r="G703"/>
      <c r="H703"/>
      <c r="I703"/>
    </row>
    <row r="704" spans="1:9" ht="13.5" customHeight="1">
      <c r="A704"/>
      <c r="B704"/>
      <c r="C704"/>
      <c r="D704"/>
      <c r="E704"/>
      <c r="F704"/>
      <c r="G704"/>
      <c r="H704"/>
      <c r="I704"/>
    </row>
    <row r="705" spans="1:9" ht="13.5" customHeight="1">
      <c r="A705"/>
      <c r="B705"/>
      <c r="C705"/>
      <c r="D705"/>
      <c r="E705"/>
      <c r="F705"/>
      <c r="G705"/>
      <c r="H705"/>
      <c r="I705"/>
    </row>
    <row r="706" spans="1:9" ht="13.5" customHeight="1">
      <c r="A706"/>
      <c r="B706"/>
      <c r="C706"/>
      <c r="D706"/>
      <c r="E706"/>
      <c r="F706"/>
      <c r="G706"/>
      <c r="H706"/>
      <c r="I706"/>
    </row>
    <row r="707" spans="1:9" ht="13.5" customHeight="1">
      <c r="A707"/>
      <c r="B707"/>
      <c r="C707"/>
      <c r="D707"/>
      <c r="E707"/>
      <c r="F707"/>
      <c r="G707"/>
      <c r="H707"/>
      <c r="I707"/>
    </row>
    <row r="708" spans="1:9" ht="13.5" customHeight="1">
      <c r="A708"/>
      <c r="B708"/>
      <c r="C708"/>
      <c r="D708"/>
      <c r="E708"/>
      <c r="F708"/>
      <c r="G708"/>
      <c r="H708"/>
      <c r="I708"/>
    </row>
    <row r="709" spans="1:9" ht="13.5" customHeight="1">
      <c r="A709"/>
      <c r="B709"/>
      <c r="C709"/>
      <c r="D709"/>
      <c r="E709"/>
      <c r="F709"/>
      <c r="G709"/>
      <c r="H709"/>
      <c r="I709"/>
    </row>
    <row r="710" spans="1:9" ht="13.5" customHeight="1">
      <c r="A710"/>
      <c r="B710"/>
      <c r="C710"/>
      <c r="D710"/>
      <c r="E710"/>
      <c r="F710"/>
      <c r="G710"/>
      <c r="H710"/>
      <c r="I710"/>
    </row>
    <row r="711" spans="1:9" ht="13.5" customHeight="1">
      <c r="A711"/>
      <c r="B711"/>
      <c r="C711"/>
      <c r="D711"/>
      <c r="E711"/>
      <c r="F711"/>
      <c r="G711"/>
      <c r="H711"/>
      <c r="I711"/>
    </row>
    <row r="712" spans="1:9" ht="13.5" customHeight="1">
      <c r="A712"/>
      <c r="B712"/>
      <c r="C712"/>
      <c r="D712"/>
      <c r="E712"/>
      <c r="F712"/>
      <c r="G712"/>
      <c r="H712"/>
      <c r="I712"/>
    </row>
    <row r="713" spans="1:9" ht="13.5" customHeight="1">
      <c r="A713"/>
      <c r="B713"/>
      <c r="C713"/>
      <c r="D713"/>
      <c r="E713"/>
      <c r="F713"/>
      <c r="G713"/>
      <c r="H713"/>
      <c r="I713"/>
    </row>
    <row r="714" spans="1:9" ht="13.5" customHeight="1">
      <c r="A714"/>
      <c r="B714"/>
      <c r="C714"/>
      <c r="D714"/>
      <c r="E714"/>
      <c r="F714"/>
      <c r="G714"/>
      <c r="H714"/>
      <c r="I714"/>
    </row>
    <row r="715" spans="1:9" ht="13.5" customHeight="1">
      <c r="A715"/>
      <c r="B715"/>
      <c r="C715"/>
      <c r="D715"/>
      <c r="E715"/>
      <c r="F715"/>
      <c r="G715"/>
      <c r="H715"/>
      <c r="I715"/>
    </row>
    <row r="716" spans="1:9" ht="13.5" customHeight="1">
      <c r="A716"/>
      <c r="B716"/>
      <c r="C716"/>
      <c r="D716"/>
      <c r="E716"/>
      <c r="F716"/>
      <c r="G716"/>
      <c r="H716"/>
      <c r="I716"/>
    </row>
    <row r="717" spans="1:9" ht="13.5" customHeight="1">
      <c r="A717"/>
      <c r="B717"/>
      <c r="C717"/>
      <c r="D717"/>
      <c r="E717"/>
      <c r="F717"/>
      <c r="G717"/>
      <c r="H717"/>
      <c r="I717"/>
    </row>
    <row r="718" spans="1:9" ht="13.5" customHeight="1">
      <c r="A718"/>
      <c r="B718"/>
      <c r="C718"/>
      <c r="D718"/>
      <c r="E718"/>
      <c r="F718"/>
      <c r="G718"/>
      <c r="H718"/>
      <c r="I718"/>
    </row>
    <row r="719" spans="1:9" ht="13.5" customHeight="1">
      <c r="A719"/>
      <c r="B719"/>
      <c r="C719"/>
      <c r="D719"/>
      <c r="E719"/>
      <c r="F719"/>
      <c r="G719"/>
      <c r="H719"/>
      <c r="I719"/>
    </row>
    <row r="720" spans="1:9" ht="13.5" customHeight="1">
      <c r="A720"/>
      <c r="B720"/>
      <c r="C720"/>
      <c r="D720"/>
      <c r="E720"/>
      <c r="F720"/>
      <c r="G720"/>
      <c r="H720"/>
      <c r="I720"/>
    </row>
    <row r="721" spans="1:9" ht="13.5" customHeight="1">
      <c r="A721"/>
      <c r="B721"/>
      <c r="C721"/>
      <c r="D721"/>
      <c r="E721"/>
      <c r="F721"/>
      <c r="G721"/>
      <c r="H721"/>
      <c r="I721"/>
    </row>
    <row r="722" spans="1:9" ht="13.5" customHeight="1">
      <c r="A722"/>
      <c r="B722"/>
      <c r="C722"/>
      <c r="D722"/>
      <c r="E722"/>
      <c r="F722"/>
      <c r="G722"/>
      <c r="H722"/>
      <c r="I722"/>
    </row>
    <row r="723" spans="1:9" ht="13.5" customHeight="1">
      <c r="A723"/>
      <c r="B723"/>
      <c r="C723"/>
      <c r="D723"/>
      <c r="E723"/>
      <c r="F723"/>
      <c r="G723"/>
      <c r="H723"/>
      <c r="I723"/>
    </row>
    <row r="724" spans="1:9" ht="13.5" customHeight="1">
      <c r="A724"/>
      <c r="B724"/>
      <c r="C724"/>
      <c r="D724"/>
      <c r="E724"/>
      <c r="F724"/>
      <c r="G724"/>
      <c r="H724"/>
      <c r="I724"/>
    </row>
    <row r="725" spans="1:9" ht="13.5" customHeight="1">
      <c r="A725"/>
      <c r="B725"/>
      <c r="C725"/>
      <c r="D725"/>
      <c r="E725"/>
      <c r="F725"/>
      <c r="G725"/>
      <c r="H725"/>
      <c r="I725"/>
    </row>
    <row r="726" spans="1:9" ht="13.5" customHeight="1">
      <c r="A726"/>
      <c r="B726"/>
      <c r="C726"/>
      <c r="D726"/>
      <c r="E726"/>
      <c r="F726"/>
      <c r="G726"/>
      <c r="H726"/>
      <c r="I726"/>
    </row>
    <row r="727" spans="1:9" ht="13.5" customHeight="1">
      <c r="A727"/>
      <c r="B727"/>
      <c r="C727"/>
      <c r="D727"/>
      <c r="E727"/>
      <c r="F727"/>
      <c r="G727"/>
      <c r="H727"/>
      <c r="I727"/>
    </row>
    <row r="728" spans="1:9" ht="13.5" customHeight="1">
      <c r="A728"/>
      <c r="B728"/>
      <c r="C728"/>
      <c r="D728"/>
      <c r="E728"/>
      <c r="F728"/>
      <c r="G728"/>
      <c r="H728"/>
      <c r="I728"/>
    </row>
    <row r="729" spans="1:9" ht="13.5" customHeight="1">
      <c r="A729"/>
      <c r="B729"/>
      <c r="C729"/>
      <c r="D729"/>
      <c r="E729"/>
      <c r="F729"/>
      <c r="G729"/>
      <c r="H729"/>
      <c r="I729"/>
    </row>
    <row r="730" spans="1:9" ht="13.5" customHeight="1">
      <c r="A730"/>
      <c r="B730"/>
      <c r="C730"/>
      <c r="D730"/>
      <c r="E730"/>
      <c r="F730"/>
      <c r="G730"/>
      <c r="H730"/>
      <c r="I730"/>
    </row>
    <row r="731" spans="1:9" ht="13.5" customHeight="1">
      <c r="A731"/>
      <c r="B731"/>
      <c r="C731"/>
      <c r="D731"/>
      <c r="E731"/>
      <c r="F731"/>
      <c r="G731"/>
      <c r="H731"/>
      <c r="I731"/>
    </row>
    <row r="732" spans="1:9" ht="13.5" customHeight="1">
      <c r="A732"/>
      <c r="B732"/>
      <c r="C732"/>
      <c r="D732"/>
      <c r="E732"/>
      <c r="F732"/>
      <c r="G732"/>
      <c r="H732"/>
      <c r="I732"/>
    </row>
    <row r="733" spans="1:9" ht="13.5" customHeight="1">
      <c r="A733"/>
      <c r="B733"/>
      <c r="C733"/>
      <c r="D733"/>
      <c r="E733"/>
      <c r="F733"/>
      <c r="G733"/>
      <c r="H733"/>
      <c r="I733"/>
    </row>
    <row r="734" spans="1:9" ht="13.5" customHeight="1">
      <c r="A734"/>
      <c r="B734"/>
      <c r="C734"/>
      <c r="D734"/>
      <c r="E734"/>
      <c r="F734"/>
      <c r="G734"/>
      <c r="H734"/>
      <c r="I734"/>
    </row>
    <row r="735" spans="1:9" ht="13.5" customHeight="1">
      <c r="A735"/>
      <c r="B735"/>
      <c r="C735"/>
      <c r="D735"/>
      <c r="E735"/>
      <c r="F735"/>
      <c r="G735"/>
      <c r="H735"/>
      <c r="I735"/>
    </row>
    <row r="736" spans="1:9" ht="13.5" customHeight="1">
      <c r="A736"/>
      <c r="B736"/>
      <c r="C736"/>
      <c r="D736"/>
      <c r="E736"/>
      <c r="F736"/>
      <c r="G736"/>
      <c r="H736"/>
      <c r="I736"/>
    </row>
    <row r="737" spans="1:9" ht="13.5" customHeight="1">
      <c r="A737"/>
      <c r="B737"/>
      <c r="C737"/>
      <c r="D737"/>
      <c r="E737"/>
      <c r="F737"/>
      <c r="G737"/>
      <c r="H737"/>
      <c r="I737"/>
    </row>
    <row r="738" spans="1:9" ht="13.5" customHeight="1">
      <c r="A738"/>
      <c r="B738"/>
      <c r="C738"/>
      <c r="D738"/>
      <c r="E738"/>
      <c r="F738"/>
      <c r="G738"/>
      <c r="H738"/>
      <c r="I738"/>
    </row>
    <row r="739" spans="1:9" ht="13.5" customHeight="1">
      <c r="A739"/>
      <c r="B739"/>
      <c r="C739"/>
      <c r="D739"/>
      <c r="E739"/>
      <c r="F739"/>
      <c r="G739"/>
      <c r="H739"/>
      <c r="I739"/>
    </row>
    <row r="740" spans="1:9" ht="13.5" customHeight="1">
      <c r="A740"/>
      <c r="B740"/>
      <c r="C740"/>
      <c r="D740"/>
      <c r="E740"/>
      <c r="F740"/>
      <c r="G740"/>
      <c r="H740"/>
      <c r="I740"/>
    </row>
    <row r="741" spans="1:9" ht="13.5" customHeight="1">
      <c r="A741"/>
      <c r="B741"/>
      <c r="C741"/>
      <c r="D741"/>
      <c r="E741"/>
      <c r="F741"/>
      <c r="G741"/>
      <c r="H741"/>
      <c r="I741"/>
    </row>
    <row r="742" spans="1:9" ht="13.5" customHeight="1">
      <c r="A742"/>
      <c r="B742"/>
      <c r="C742"/>
      <c r="D742"/>
      <c r="E742"/>
      <c r="F742"/>
      <c r="G742"/>
      <c r="H742"/>
      <c r="I742"/>
    </row>
    <row r="743" spans="1:9" ht="13.5" customHeight="1">
      <c r="A743"/>
      <c r="B743"/>
      <c r="C743"/>
      <c r="D743"/>
      <c r="E743"/>
      <c r="F743"/>
      <c r="G743"/>
      <c r="H743"/>
      <c r="I743"/>
    </row>
    <row r="744" spans="1:9" ht="13.5" customHeight="1">
      <c r="A744"/>
      <c r="B744"/>
      <c r="C744"/>
      <c r="D744"/>
      <c r="E744"/>
      <c r="F744"/>
      <c r="G744"/>
      <c r="H744"/>
      <c r="I744"/>
    </row>
    <row r="745" spans="1:9" ht="13.5" customHeight="1">
      <c r="A745"/>
      <c r="B745"/>
      <c r="C745"/>
      <c r="D745"/>
      <c r="E745"/>
      <c r="F745"/>
      <c r="G745"/>
      <c r="H745"/>
      <c r="I745"/>
    </row>
    <row r="746" spans="1:9" ht="13.5" customHeight="1">
      <c r="A746"/>
      <c r="B746"/>
      <c r="C746"/>
      <c r="D746"/>
      <c r="E746"/>
      <c r="F746"/>
      <c r="G746"/>
      <c r="H746"/>
      <c r="I746"/>
    </row>
    <row r="747" spans="1:9" ht="13.5" customHeight="1">
      <c r="A747"/>
      <c r="B747"/>
      <c r="C747"/>
      <c r="D747"/>
      <c r="E747"/>
      <c r="F747"/>
      <c r="G747"/>
      <c r="H747"/>
      <c r="I747"/>
    </row>
    <row r="748" spans="1:9" ht="13.5" customHeight="1">
      <c r="A748"/>
      <c r="B748"/>
      <c r="C748"/>
      <c r="D748"/>
      <c r="E748"/>
      <c r="F748"/>
      <c r="G748"/>
      <c r="H748"/>
      <c r="I748"/>
    </row>
    <row r="749" spans="1:9" ht="13.5" customHeight="1">
      <c r="A749"/>
      <c r="B749"/>
      <c r="C749"/>
      <c r="D749"/>
      <c r="E749"/>
      <c r="F749"/>
      <c r="G749"/>
      <c r="H749"/>
      <c r="I749"/>
    </row>
    <row r="750" spans="1:9" ht="13.5" customHeight="1">
      <c r="A750"/>
      <c r="B750"/>
      <c r="C750"/>
      <c r="D750"/>
      <c r="E750"/>
      <c r="F750"/>
      <c r="G750"/>
      <c r="H750"/>
      <c r="I750"/>
    </row>
    <row r="751" spans="1:9" ht="13.5" customHeight="1">
      <c r="A751"/>
      <c r="B751"/>
      <c r="C751"/>
      <c r="D751"/>
      <c r="E751"/>
      <c r="F751"/>
      <c r="G751"/>
      <c r="H751"/>
      <c r="I751"/>
    </row>
    <row r="752" spans="1:9" ht="13.5" customHeight="1">
      <c r="A752"/>
      <c r="B752"/>
      <c r="C752"/>
      <c r="D752"/>
      <c r="E752"/>
      <c r="F752"/>
      <c r="G752"/>
      <c r="H752"/>
      <c r="I752"/>
    </row>
    <row r="753" spans="1:9" ht="13.5" customHeight="1">
      <c r="A753"/>
      <c r="B753"/>
      <c r="C753"/>
      <c r="D753"/>
      <c r="E753"/>
      <c r="F753"/>
      <c r="G753"/>
      <c r="H753"/>
      <c r="I753"/>
    </row>
    <row r="754" spans="1:9" ht="13.5" customHeight="1">
      <c r="A754"/>
      <c r="B754"/>
      <c r="C754"/>
      <c r="D754"/>
      <c r="E754"/>
      <c r="F754"/>
      <c r="G754"/>
      <c r="H754"/>
      <c r="I754"/>
    </row>
    <row r="755" spans="1:9" ht="13.5" customHeight="1">
      <c r="A755"/>
      <c r="B755"/>
      <c r="C755"/>
      <c r="D755"/>
      <c r="E755"/>
      <c r="F755"/>
      <c r="G755"/>
      <c r="H755"/>
      <c r="I755"/>
    </row>
    <row r="756" spans="1:9" ht="13.5" customHeight="1">
      <c r="A756"/>
      <c r="B756"/>
      <c r="C756"/>
      <c r="D756"/>
      <c r="E756"/>
      <c r="F756"/>
      <c r="G756"/>
      <c r="H756"/>
      <c r="I756"/>
    </row>
    <row r="757" spans="1:9" ht="13.5" customHeight="1">
      <c r="A757"/>
      <c r="B757"/>
      <c r="C757"/>
      <c r="D757"/>
      <c r="E757"/>
      <c r="F757"/>
      <c r="G757"/>
      <c r="H757"/>
      <c r="I757"/>
    </row>
    <row r="758" spans="1:9" ht="13.5" customHeight="1">
      <c r="A758"/>
      <c r="B758"/>
      <c r="C758"/>
      <c r="D758"/>
      <c r="E758"/>
      <c r="F758"/>
      <c r="G758"/>
      <c r="H758"/>
      <c r="I758"/>
    </row>
    <row r="759" spans="1:9" ht="13.5" customHeight="1">
      <c r="A759"/>
      <c r="B759"/>
      <c r="C759"/>
      <c r="D759"/>
      <c r="E759"/>
      <c r="F759"/>
      <c r="G759"/>
      <c r="H759"/>
      <c r="I759"/>
    </row>
    <row r="760" spans="1:9" ht="13.5" customHeight="1">
      <c r="A760"/>
      <c r="B760"/>
      <c r="C760"/>
      <c r="D760"/>
      <c r="E760"/>
      <c r="F760"/>
      <c r="G760"/>
      <c r="H760"/>
      <c r="I760"/>
    </row>
    <row r="761" spans="1:9" ht="13.5" customHeight="1">
      <c r="A761"/>
      <c r="B761"/>
      <c r="C761"/>
      <c r="D761"/>
      <c r="E761"/>
      <c r="F761"/>
      <c r="G761"/>
      <c r="H761"/>
      <c r="I761"/>
    </row>
    <row r="762" spans="1:9" ht="13.5" customHeight="1">
      <c r="A762"/>
      <c r="B762"/>
      <c r="C762"/>
      <c r="D762"/>
      <c r="E762"/>
      <c r="F762"/>
      <c r="G762"/>
      <c r="H762"/>
      <c r="I762"/>
    </row>
    <row r="763" spans="1:9" ht="13.5" customHeight="1">
      <c r="A763"/>
      <c r="B763"/>
      <c r="C763"/>
      <c r="D763"/>
      <c r="E763"/>
      <c r="F763"/>
      <c r="G763"/>
      <c r="H763"/>
      <c r="I763"/>
    </row>
    <row r="764" spans="1:9" ht="13.5" customHeight="1">
      <c r="A764"/>
      <c r="B764"/>
      <c r="C764"/>
      <c r="D764"/>
      <c r="E764"/>
      <c r="F764"/>
      <c r="G764"/>
      <c r="H764"/>
      <c r="I764"/>
    </row>
    <row r="765" spans="1:9" ht="13.5" customHeight="1">
      <c r="A765"/>
      <c r="B765"/>
      <c r="C765"/>
      <c r="D765"/>
      <c r="E765"/>
      <c r="F765"/>
      <c r="G765"/>
      <c r="H765"/>
      <c r="I765"/>
    </row>
    <row r="766" spans="1:9" ht="13.5" customHeight="1">
      <c r="A766"/>
      <c r="B766"/>
      <c r="C766"/>
      <c r="D766"/>
      <c r="E766"/>
      <c r="F766"/>
      <c r="G766"/>
      <c r="H766"/>
      <c r="I766"/>
    </row>
    <row r="767" spans="1:9" ht="13.5" customHeight="1">
      <c r="A767"/>
      <c r="B767"/>
      <c r="C767"/>
      <c r="D767"/>
      <c r="E767"/>
      <c r="F767"/>
      <c r="G767"/>
      <c r="H767"/>
      <c r="I767"/>
    </row>
    <row r="768" spans="1:9" ht="13.5" customHeight="1">
      <c r="A768"/>
      <c r="B768"/>
      <c r="C768"/>
      <c r="D768"/>
      <c r="E768"/>
      <c r="F768"/>
      <c r="G768"/>
      <c r="H768"/>
      <c r="I768"/>
    </row>
    <row r="769" spans="1:9" ht="13.5" customHeight="1">
      <c r="A769"/>
      <c r="B769"/>
      <c r="C769"/>
      <c r="D769"/>
      <c r="E769"/>
      <c r="F769"/>
      <c r="G769"/>
      <c r="H769"/>
      <c r="I769"/>
    </row>
    <row r="770" spans="1:9" ht="13.5" customHeight="1">
      <c r="A770"/>
      <c r="B770"/>
      <c r="C770"/>
      <c r="D770"/>
      <c r="E770"/>
      <c r="F770"/>
      <c r="G770"/>
      <c r="H770"/>
      <c r="I770"/>
    </row>
    <row r="771" spans="1:9" ht="13.5" customHeight="1">
      <c r="A771"/>
      <c r="B771"/>
      <c r="C771"/>
      <c r="D771"/>
      <c r="E771"/>
      <c r="F771"/>
      <c r="G771"/>
      <c r="H771"/>
      <c r="I771"/>
    </row>
    <row r="772" spans="1:9" ht="13.5" customHeight="1">
      <c r="A772"/>
      <c r="B772"/>
      <c r="C772"/>
      <c r="D772"/>
      <c r="E772"/>
      <c r="F772"/>
      <c r="G772"/>
      <c r="H772"/>
      <c r="I772"/>
    </row>
    <row r="773" spans="1:9" ht="13.5" customHeight="1">
      <c r="A773"/>
      <c r="B773"/>
      <c r="C773"/>
      <c r="D773"/>
      <c r="E773"/>
      <c r="F773"/>
      <c r="G773"/>
      <c r="H773"/>
      <c r="I773"/>
    </row>
    <row r="774" spans="1:9" ht="13.5" customHeight="1">
      <c r="A774"/>
      <c r="B774"/>
      <c r="C774"/>
      <c r="D774"/>
      <c r="E774"/>
      <c r="F774"/>
      <c r="G774"/>
      <c r="H774"/>
      <c r="I774"/>
    </row>
    <row r="775" spans="1:9" ht="13.5" customHeight="1">
      <c r="A775"/>
      <c r="B775"/>
      <c r="C775"/>
      <c r="D775"/>
      <c r="E775"/>
      <c r="F775"/>
      <c r="G775"/>
      <c r="H775"/>
      <c r="I775"/>
    </row>
    <row r="776" spans="1:9" ht="13.5" customHeight="1">
      <c r="A776"/>
      <c r="B776"/>
      <c r="C776"/>
      <c r="D776"/>
      <c r="E776"/>
      <c r="F776"/>
      <c r="G776"/>
      <c r="H776"/>
      <c r="I776"/>
    </row>
    <row r="777" spans="1:9" ht="13.5" customHeight="1">
      <c r="A777"/>
      <c r="B777"/>
      <c r="C777"/>
      <c r="D777"/>
      <c r="E777"/>
      <c r="F777"/>
      <c r="G777"/>
      <c r="H777"/>
      <c r="I777"/>
    </row>
    <row r="778" spans="1:9" ht="13.5" customHeight="1">
      <c r="A778"/>
      <c r="B778"/>
      <c r="C778"/>
      <c r="D778"/>
      <c r="E778"/>
      <c r="F778"/>
      <c r="G778"/>
      <c r="H778"/>
      <c r="I778"/>
    </row>
    <row r="779" spans="1:9" ht="13.5" customHeight="1">
      <c r="A779"/>
      <c r="B779"/>
      <c r="C779"/>
      <c r="D779"/>
      <c r="E779"/>
      <c r="F779"/>
      <c r="G779"/>
      <c r="H779"/>
      <c r="I779"/>
    </row>
    <row r="780" spans="1:9" ht="13.5" customHeight="1">
      <c r="A780"/>
      <c r="B780"/>
      <c r="C780"/>
      <c r="D780"/>
      <c r="E780"/>
      <c r="F780"/>
      <c r="G780"/>
      <c r="H780"/>
      <c r="I780"/>
    </row>
    <row r="781" spans="1:9" ht="13.5" customHeight="1">
      <c r="A781"/>
      <c r="B781"/>
      <c r="C781"/>
      <c r="D781"/>
      <c r="E781"/>
      <c r="F781"/>
      <c r="G781"/>
      <c r="H781"/>
      <c r="I781"/>
    </row>
    <row r="782" spans="1:9" ht="13.5" customHeight="1">
      <c r="A782"/>
      <c r="B782"/>
      <c r="C782"/>
      <c r="D782"/>
      <c r="E782"/>
      <c r="F782"/>
      <c r="G782"/>
      <c r="H782"/>
      <c r="I782"/>
    </row>
    <row r="783" spans="1:9" ht="13.5" customHeight="1">
      <c r="A783"/>
      <c r="B783"/>
      <c r="C783"/>
      <c r="D783"/>
      <c r="E783"/>
      <c r="F783"/>
      <c r="G783"/>
      <c r="H783"/>
      <c r="I783"/>
    </row>
    <row r="784" spans="1:9" ht="13.5" customHeight="1">
      <c r="A784"/>
      <c r="B784"/>
      <c r="C784"/>
      <c r="D784"/>
      <c r="E784"/>
      <c r="F784"/>
      <c r="G784"/>
      <c r="H784"/>
      <c r="I784"/>
    </row>
    <row r="785" spans="1:9" ht="13.5" customHeight="1">
      <c r="A785"/>
      <c r="B785"/>
      <c r="C785"/>
      <c r="D785"/>
      <c r="E785"/>
      <c r="F785"/>
      <c r="G785"/>
      <c r="H785"/>
      <c r="I785"/>
    </row>
    <row r="786" spans="1:9" ht="13.5" customHeight="1">
      <c r="A786"/>
      <c r="B786"/>
      <c r="C786"/>
      <c r="D786"/>
      <c r="E786"/>
      <c r="F786"/>
      <c r="G786"/>
      <c r="H786"/>
      <c r="I786"/>
    </row>
    <row r="787" spans="1:9" ht="13.5" customHeight="1">
      <c r="A787"/>
      <c r="B787"/>
      <c r="C787"/>
      <c r="D787"/>
      <c r="E787"/>
      <c r="F787"/>
      <c r="G787"/>
      <c r="H787"/>
      <c r="I787"/>
    </row>
    <row r="788" spans="1:9" ht="13.5" customHeight="1">
      <c r="A788"/>
      <c r="B788"/>
      <c r="C788"/>
      <c r="D788"/>
      <c r="E788"/>
      <c r="F788"/>
      <c r="G788"/>
      <c r="H788"/>
      <c r="I788"/>
    </row>
    <row r="789" spans="1:9" ht="13.5" customHeight="1">
      <c r="A789"/>
      <c r="B789"/>
      <c r="C789"/>
      <c r="D789"/>
      <c r="E789"/>
      <c r="F789"/>
      <c r="G789"/>
      <c r="H789"/>
      <c r="I789"/>
    </row>
    <row r="790" spans="1:9" ht="13.5" customHeight="1">
      <c r="A790"/>
      <c r="B790"/>
      <c r="C790"/>
      <c r="D790"/>
      <c r="E790"/>
      <c r="F790"/>
      <c r="G790"/>
      <c r="H790"/>
      <c r="I790"/>
    </row>
    <row r="791" spans="1:9" ht="13.5" customHeight="1">
      <c r="A791"/>
      <c r="B791"/>
      <c r="C791"/>
      <c r="D791"/>
      <c r="E791"/>
      <c r="F791"/>
      <c r="G791"/>
      <c r="H791"/>
      <c r="I791"/>
    </row>
    <row r="792" spans="1:9" ht="13.5" customHeight="1">
      <c r="A792"/>
      <c r="B792"/>
      <c r="C792"/>
      <c r="D792"/>
      <c r="E792"/>
      <c r="F792"/>
      <c r="G792"/>
      <c r="H792"/>
      <c r="I792"/>
    </row>
    <row r="793" spans="1:9" ht="13.5" customHeight="1">
      <c r="A793"/>
      <c r="B793"/>
      <c r="C793"/>
      <c r="D793"/>
      <c r="E793"/>
      <c r="F793"/>
      <c r="G793"/>
      <c r="H793"/>
      <c r="I793"/>
    </row>
    <row r="794" spans="1:9" ht="13.5" customHeight="1">
      <c r="A794"/>
      <c r="B794"/>
      <c r="C794"/>
      <c r="D794"/>
      <c r="E794"/>
      <c r="F794"/>
      <c r="G794"/>
      <c r="H794"/>
      <c r="I794"/>
    </row>
    <row r="795" spans="1:9" ht="13.5" customHeight="1">
      <c r="A795"/>
      <c r="B795"/>
      <c r="C795"/>
      <c r="D795"/>
      <c r="E795"/>
      <c r="F795"/>
      <c r="G795"/>
      <c r="H795"/>
      <c r="I795"/>
    </row>
    <row r="796" spans="1:9" ht="13.5" customHeight="1">
      <c r="A796"/>
      <c r="B796"/>
      <c r="C796"/>
      <c r="D796"/>
      <c r="E796"/>
      <c r="F796"/>
      <c r="G796"/>
      <c r="H796"/>
      <c r="I796"/>
    </row>
    <row r="797" spans="1:9" ht="13.5" customHeight="1">
      <c r="A797"/>
      <c r="B797"/>
      <c r="C797"/>
      <c r="D797"/>
      <c r="E797"/>
      <c r="F797"/>
      <c r="G797"/>
      <c r="H797"/>
      <c r="I797"/>
    </row>
    <row r="798" spans="1:9" ht="13.5" customHeight="1">
      <c r="A798"/>
      <c r="B798"/>
      <c r="C798"/>
      <c r="D798"/>
      <c r="E798"/>
      <c r="F798"/>
      <c r="G798"/>
      <c r="H798"/>
      <c r="I798"/>
    </row>
    <row r="799" spans="1:9" ht="13.5" customHeight="1">
      <c r="A799"/>
      <c r="B799"/>
      <c r="C799"/>
      <c r="D799"/>
      <c r="E799"/>
      <c r="F799"/>
      <c r="G799"/>
      <c r="H799"/>
      <c r="I799"/>
    </row>
    <row r="800" spans="1:9" ht="13.5" customHeight="1">
      <c r="A800"/>
      <c r="B800"/>
      <c r="C800"/>
      <c r="D800"/>
      <c r="E800"/>
      <c r="F800"/>
      <c r="G800"/>
      <c r="H800"/>
      <c r="I800"/>
    </row>
    <row r="801" spans="1:9" ht="13.5" customHeight="1">
      <c r="A801"/>
      <c r="B801"/>
      <c r="C801"/>
      <c r="D801"/>
      <c r="E801"/>
      <c r="F801"/>
      <c r="G801"/>
      <c r="H801"/>
      <c r="I801"/>
    </row>
    <row r="802" spans="1:9" ht="13.5" customHeight="1">
      <c r="A802"/>
      <c r="B802"/>
      <c r="C802"/>
      <c r="D802"/>
      <c r="E802"/>
      <c r="F802"/>
      <c r="G802"/>
      <c r="H802"/>
      <c r="I802"/>
    </row>
    <row r="803" spans="1:9" ht="13.5" customHeight="1">
      <c r="A803"/>
      <c r="B803"/>
      <c r="C803"/>
      <c r="D803"/>
      <c r="E803"/>
      <c r="F803"/>
      <c r="G803"/>
      <c r="H803"/>
      <c r="I803"/>
    </row>
    <row r="804" spans="1:9" ht="13.5" customHeight="1">
      <c r="A804"/>
      <c r="B804"/>
      <c r="C804"/>
      <c r="D804"/>
      <c r="E804"/>
      <c r="F804"/>
      <c r="G804"/>
      <c r="H804"/>
      <c r="I804"/>
    </row>
    <row r="805" spans="1:9" ht="13.5" customHeight="1">
      <c r="A805"/>
      <c r="B805"/>
      <c r="C805"/>
      <c r="D805"/>
      <c r="E805"/>
      <c r="F805"/>
      <c r="G805"/>
      <c r="H805"/>
      <c r="I805"/>
    </row>
    <row r="806" spans="1:9" ht="13.5" customHeight="1">
      <c r="A806"/>
      <c r="B806"/>
      <c r="C806"/>
      <c r="D806"/>
      <c r="E806"/>
      <c r="F806"/>
      <c r="G806"/>
      <c r="H806"/>
      <c r="I806"/>
    </row>
    <row r="807" spans="1:9" ht="13.5" customHeight="1">
      <c r="A807"/>
      <c r="B807"/>
      <c r="C807"/>
      <c r="D807"/>
      <c r="E807"/>
      <c r="F807"/>
      <c r="G807"/>
      <c r="H807"/>
      <c r="I807"/>
    </row>
    <row r="808" spans="1:9" ht="13.5" customHeight="1">
      <c r="A808"/>
      <c r="B808"/>
      <c r="C808"/>
      <c r="D808"/>
      <c r="E808"/>
      <c r="F808"/>
      <c r="G808"/>
      <c r="H808"/>
      <c r="I808"/>
    </row>
    <row r="809" spans="1:9" ht="13.5" customHeight="1">
      <c r="A809"/>
      <c r="B809"/>
      <c r="C809"/>
      <c r="D809"/>
      <c r="E809"/>
      <c r="F809"/>
      <c r="G809"/>
      <c r="H809"/>
      <c r="I809"/>
    </row>
    <row r="810" spans="1:9" ht="13.5" customHeight="1">
      <c r="A810"/>
      <c r="B810"/>
      <c r="C810"/>
      <c r="D810"/>
      <c r="E810"/>
      <c r="F810"/>
      <c r="G810"/>
      <c r="H810"/>
      <c r="I810"/>
    </row>
    <row r="811" spans="1:9" ht="13.5" customHeight="1">
      <c r="A811"/>
      <c r="B811"/>
      <c r="C811"/>
      <c r="D811"/>
      <c r="E811"/>
      <c r="F811"/>
      <c r="G811"/>
      <c r="H811"/>
      <c r="I811"/>
    </row>
    <row r="812" spans="1:9" ht="13.5" customHeight="1">
      <c r="A812"/>
      <c r="B812"/>
      <c r="C812"/>
      <c r="D812"/>
      <c r="E812"/>
      <c r="F812"/>
      <c r="G812"/>
      <c r="H812"/>
      <c r="I812"/>
    </row>
    <row r="813" spans="1:9" ht="13.5" customHeight="1">
      <c r="A813"/>
      <c r="B813"/>
      <c r="C813"/>
      <c r="D813"/>
      <c r="E813"/>
      <c r="F813"/>
      <c r="G813"/>
      <c r="H813"/>
      <c r="I813"/>
    </row>
    <row r="814" spans="1:9" ht="13.5" customHeight="1">
      <c r="A814"/>
      <c r="B814"/>
      <c r="C814"/>
      <c r="D814"/>
      <c r="E814"/>
      <c r="F814"/>
      <c r="G814"/>
      <c r="H814"/>
      <c r="I814"/>
    </row>
    <row r="815" spans="1:9" ht="13.5" customHeight="1">
      <c r="A815"/>
      <c r="B815"/>
      <c r="C815"/>
      <c r="D815"/>
      <c r="E815"/>
      <c r="F815"/>
      <c r="G815"/>
      <c r="H815"/>
      <c r="I815"/>
    </row>
    <row r="816" spans="1:9" ht="13.5" customHeight="1">
      <c r="A816"/>
      <c r="B816"/>
      <c r="C816"/>
      <c r="D816"/>
      <c r="E816"/>
      <c r="F816"/>
      <c r="G816"/>
      <c r="H816"/>
      <c r="I816"/>
    </row>
    <row r="817" spans="1:9" ht="13.5" customHeight="1">
      <c r="A817"/>
      <c r="B817"/>
      <c r="C817"/>
      <c r="D817"/>
      <c r="E817"/>
      <c r="F817"/>
      <c r="G817"/>
      <c r="H817"/>
      <c r="I817"/>
    </row>
    <row r="818" spans="1:9" ht="13.5" customHeight="1">
      <c r="A818"/>
      <c r="B818"/>
      <c r="C818"/>
      <c r="D818"/>
      <c r="E818"/>
      <c r="F818"/>
      <c r="G818"/>
      <c r="H818"/>
      <c r="I818"/>
    </row>
    <row r="819" spans="1:9" ht="13.5" customHeight="1">
      <c r="A819"/>
      <c r="B819"/>
      <c r="C819"/>
      <c r="D819"/>
      <c r="E819"/>
      <c r="F819"/>
      <c r="G819"/>
      <c r="H819"/>
      <c r="I819"/>
    </row>
    <row r="820" spans="1:9" ht="13.5" customHeight="1">
      <c r="A820"/>
      <c r="B820"/>
      <c r="C820"/>
      <c r="D820"/>
      <c r="E820"/>
      <c r="F820"/>
      <c r="G820"/>
      <c r="H820"/>
      <c r="I820"/>
    </row>
    <row r="821" spans="1:9" ht="13.5" customHeight="1">
      <c r="A821"/>
      <c r="B821"/>
      <c r="C821"/>
      <c r="D821"/>
      <c r="E821"/>
      <c r="F821"/>
      <c r="G821"/>
      <c r="H821"/>
      <c r="I821"/>
    </row>
    <row r="822" spans="1:9" ht="13.5" customHeight="1">
      <c r="A822"/>
      <c r="B822"/>
      <c r="C822"/>
      <c r="D822"/>
      <c r="E822"/>
      <c r="F822"/>
      <c r="G822"/>
      <c r="H822"/>
      <c r="I822"/>
    </row>
    <row r="823" spans="1:9" ht="13.5" customHeight="1">
      <c r="A823"/>
      <c r="B823"/>
      <c r="C823"/>
      <c r="D823"/>
      <c r="E823"/>
      <c r="F823"/>
      <c r="G823"/>
      <c r="H823"/>
      <c r="I823"/>
    </row>
    <row r="824" spans="1:9" ht="13.5" customHeight="1">
      <c r="A824"/>
      <c r="B824"/>
      <c r="C824"/>
      <c r="D824"/>
      <c r="E824"/>
      <c r="F824"/>
      <c r="G824"/>
      <c r="H824"/>
      <c r="I824"/>
    </row>
    <row r="825" spans="1:9" ht="13.5" customHeight="1">
      <c r="A825"/>
      <c r="B825"/>
      <c r="C825"/>
      <c r="D825"/>
      <c r="E825"/>
      <c r="F825"/>
      <c r="G825"/>
      <c r="H825"/>
      <c r="I825"/>
    </row>
    <row r="826" spans="1:9" ht="13.5" customHeight="1">
      <c r="A826"/>
      <c r="B826"/>
      <c r="C826"/>
      <c r="D826"/>
      <c r="E826"/>
      <c r="F826"/>
      <c r="G826"/>
      <c r="H826"/>
      <c r="I826"/>
    </row>
    <row r="827" spans="1:9" ht="13.5" customHeight="1">
      <c r="A827"/>
      <c r="B827"/>
      <c r="C827"/>
      <c r="D827"/>
      <c r="E827"/>
      <c r="F827"/>
      <c r="G827"/>
      <c r="H827"/>
      <c r="I827"/>
    </row>
    <row r="828" spans="1:9" ht="13.5" customHeight="1">
      <c r="A828"/>
      <c r="B828"/>
      <c r="C828"/>
      <c r="D828"/>
      <c r="E828"/>
      <c r="F828"/>
      <c r="G828"/>
      <c r="H828"/>
      <c r="I828"/>
    </row>
    <row r="829" spans="1:9" ht="13.5" customHeight="1">
      <c r="A829"/>
      <c r="B829"/>
      <c r="C829"/>
      <c r="D829"/>
      <c r="E829"/>
      <c r="F829"/>
      <c r="G829"/>
      <c r="H829"/>
      <c r="I829"/>
    </row>
    <row r="830" spans="1:9" ht="13.5" customHeight="1">
      <c r="A830"/>
      <c r="B830"/>
      <c r="C830"/>
      <c r="D830"/>
      <c r="E830"/>
      <c r="F830"/>
      <c r="G830"/>
      <c r="H830"/>
      <c r="I830"/>
    </row>
    <row r="831" spans="1:9" ht="13.5" customHeight="1">
      <c r="A831"/>
      <c r="B831"/>
      <c r="C831"/>
      <c r="D831"/>
      <c r="E831"/>
      <c r="F831"/>
      <c r="G831"/>
      <c r="H831"/>
      <c r="I831"/>
    </row>
    <row r="832" spans="1:9" ht="13.5" customHeight="1">
      <c r="A832"/>
      <c r="B832"/>
      <c r="C832"/>
      <c r="D832"/>
      <c r="E832"/>
      <c r="F832"/>
      <c r="G832"/>
      <c r="H832"/>
      <c r="I832"/>
    </row>
    <row r="833" spans="1:9" ht="13.5" customHeight="1">
      <c r="A833"/>
      <c r="B833"/>
      <c r="C833"/>
      <c r="D833"/>
      <c r="E833"/>
      <c r="F833"/>
      <c r="G833"/>
      <c r="H833"/>
      <c r="I833"/>
    </row>
    <row r="834" spans="1:9" ht="13.5" customHeight="1">
      <c r="A834"/>
      <c r="B834"/>
      <c r="C834"/>
      <c r="D834"/>
      <c r="E834"/>
      <c r="F834"/>
      <c r="G834"/>
      <c r="H834"/>
      <c r="I834"/>
    </row>
    <row r="835" spans="1:9" ht="13.5" customHeight="1">
      <c r="A835"/>
      <c r="B835"/>
      <c r="C835"/>
      <c r="D835"/>
      <c r="E835"/>
      <c r="F835"/>
      <c r="G835"/>
      <c r="H835"/>
      <c r="I835"/>
    </row>
    <row r="836" spans="1:9" ht="13.5" customHeight="1">
      <c r="A836"/>
      <c r="B836"/>
      <c r="C836"/>
      <c r="D836"/>
      <c r="E836"/>
      <c r="F836"/>
      <c r="G836"/>
      <c r="H836"/>
      <c r="I836"/>
    </row>
    <row r="837" spans="1:9" ht="13.5" customHeight="1">
      <c r="A837"/>
      <c r="B837"/>
      <c r="C837"/>
      <c r="D837"/>
      <c r="E837"/>
      <c r="F837"/>
      <c r="G837"/>
      <c r="H837"/>
      <c r="I837"/>
    </row>
    <row r="838" spans="1:9" ht="13.5" customHeight="1">
      <c r="A838"/>
      <c r="B838"/>
      <c r="C838"/>
      <c r="D838"/>
      <c r="E838"/>
      <c r="F838"/>
      <c r="G838"/>
      <c r="H838"/>
      <c r="I838"/>
    </row>
    <row r="839" spans="1:9" ht="13.5" customHeight="1">
      <c r="A839"/>
      <c r="B839"/>
      <c r="C839"/>
      <c r="D839"/>
      <c r="E839"/>
      <c r="F839"/>
      <c r="G839"/>
      <c r="H839"/>
      <c r="I839"/>
    </row>
    <row r="840" spans="1:9" ht="13.5" customHeight="1">
      <c r="A840"/>
      <c r="B840"/>
      <c r="C840"/>
      <c r="D840"/>
      <c r="E840"/>
      <c r="F840"/>
      <c r="G840"/>
      <c r="H840"/>
      <c r="I840"/>
    </row>
    <row r="841" spans="1:9" ht="13.5" customHeight="1">
      <c r="A841"/>
      <c r="B841"/>
      <c r="C841"/>
      <c r="D841"/>
      <c r="E841"/>
      <c r="F841"/>
      <c r="G841"/>
      <c r="H841"/>
      <c r="I841"/>
    </row>
    <row r="842" spans="1:9" ht="13.5" customHeight="1">
      <c r="A842"/>
      <c r="B842"/>
      <c r="C842"/>
      <c r="D842"/>
      <c r="E842"/>
      <c r="F842"/>
      <c r="G842"/>
      <c r="H842"/>
      <c r="I842"/>
    </row>
    <row r="843" spans="1:9" ht="13.5" customHeight="1">
      <c r="A843"/>
      <c r="B843"/>
      <c r="C843"/>
      <c r="D843"/>
      <c r="E843"/>
      <c r="F843"/>
      <c r="G843"/>
      <c r="H843"/>
      <c r="I843"/>
    </row>
    <row r="844" spans="1:9" ht="13.5" customHeight="1">
      <c r="A844"/>
      <c r="B844"/>
      <c r="C844"/>
      <c r="D844"/>
      <c r="E844"/>
      <c r="F844"/>
      <c r="G844"/>
      <c r="H844"/>
      <c r="I844"/>
    </row>
    <row r="845" spans="1:9" ht="13.5" customHeight="1">
      <c r="A845"/>
      <c r="B845"/>
      <c r="C845"/>
      <c r="D845"/>
      <c r="E845"/>
      <c r="F845"/>
      <c r="G845"/>
      <c r="H845"/>
      <c r="I845"/>
    </row>
    <row r="846" spans="1:9" ht="13.5" customHeight="1">
      <c r="A846"/>
      <c r="B846"/>
      <c r="C846"/>
      <c r="D846"/>
      <c r="E846"/>
      <c r="F846"/>
      <c r="G846"/>
      <c r="H846"/>
      <c r="I846"/>
    </row>
    <row r="847" spans="1:9" ht="13.5" customHeight="1">
      <c r="A847"/>
      <c r="B847"/>
      <c r="C847"/>
      <c r="D847"/>
      <c r="E847"/>
      <c r="F847"/>
      <c r="G847"/>
      <c r="H847"/>
      <c r="I847"/>
    </row>
    <row r="848" spans="1:9" ht="13.5" customHeight="1">
      <c r="A848"/>
      <c r="B848"/>
      <c r="C848"/>
      <c r="D848"/>
      <c r="E848"/>
      <c r="F848"/>
      <c r="G848"/>
      <c r="H848"/>
      <c r="I848"/>
    </row>
    <row r="849" spans="1:9" ht="13.5" customHeight="1">
      <c r="A849"/>
      <c r="B849"/>
      <c r="C849"/>
      <c r="D849"/>
      <c r="E849"/>
      <c r="F849"/>
      <c r="G849"/>
      <c r="H849"/>
      <c r="I849"/>
    </row>
    <row r="850" spans="1:9" ht="13.5" customHeight="1">
      <c r="A850"/>
      <c r="B850"/>
      <c r="C850"/>
      <c r="D850"/>
      <c r="E850"/>
      <c r="F850"/>
      <c r="G850"/>
      <c r="H850"/>
      <c r="I850"/>
    </row>
    <row r="851" spans="1:9" ht="13.5" customHeight="1">
      <c r="A851"/>
      <c r="B851"/>
      <c r="C851"/>
      <c r="D851"/>
      <c r="E851"/>
      <c r="F851"/>
      <c r="G851"/>
      <c r="H851"/>
      <c r="I851"/>
    </row>
    <row r="852" spans="1:9" ht="13.5" customHeight="1">
      <c r="A852"/>
      <c r="B852"/>
      <c r="C852"/>
      <c r="D852"/>
      <c r="E852"/>
      <c r="F852"/>
      <c r="G852"/>
      <c r="H852"/>
      <c r="I852"/>
    </row>
    <row r="853" spans="1:9" ht="13.5" customHeight="1">
      <c r="A853"/>
      <c r="B853"/>
      <c r="C853"/>
      <c r="D853"/>
      <c r="E853"/>
      <c r="F853"/>
      <c r="G853"/>
      <c r="H853"/>
      <c r="I853"/>
    </row>
    <row r="854" spans="1:9" ht="13.5" customHeight="1">
      <c r="A854"/>
      <c r="B854"/>
      <c r="C854"/>
      <c r="D854"/>
      <c r="E854"/>
      <c r="F854"/>
      <c r="G854"/>
      <c r="H854"/>
      <c r="I854"/>
    </row>
    <row r="855" spans="1:9" ht="13.5" customHeight="1">
      <c r="A855"/>
      <c r="B855"/>
      <c r="C855"/>
      <c r="D855"/>
      <c r="E855"/>
      <c r="F855"/>
      <c r="G855"/>
      <c r="H855"/>
      <c r="I855"/>
    </row>
    <row r="856" spans="1:9" ht="13.5" customHeight="1">
      <c r="A856"/>
      <c r="B856"/>
      <c r="C856"/>
      <c r="D856"/>
      <c r="E856"/>
      <c r="F856"/>
      <c r="G856"/>
      <c r="H856"/>
      <c r="I856"/>
    </row>
    <row r="857" spans="1:9" ht="13.5" customHeight="1">
      <c r="A857"/>
      <c r="B857"/>
      <c r="C857"/>
      <c r="D857"/>
      <c r="E857"/>
      <c r="F857"/>
      <c r="G857"/>
      <c r="H857"/>
      <c r="I857"/>
    </row>
    <row r="858" spans="1:9" ht="13.5" customHeight="1">
      <c r="A858"/>
      <c r="B858"/>
      <c r="C858"/>
      <c r="D858"/>
      <c r="E858"/>
      <c r="F858"/>
      <c r="G858"/>
      <c r="H858"/>
      <c r="I858"/>
    </row>
    <row r="859" spans="1:9" ht="13.5" customHeight="1">
      <c r="A859"/>
      <c r="B859"/>
      <c r="C859"/>
      <c r="D859"/>
      <c r="E859"/>
      <c r="F859"/>
      <c r="G859"/>
      <c r="H859"/>
      <c r="I859"/>
    </row>
    <row r="860" spans="1:9" ht="13.5" customHeight="1">
      <c r="A860"/>
      <c r="B860"/>
      <c r="C860"/>
      <c r="D860"/>
      <c r="E860"/>
      <c r="F860"/>
      <c r="G860"/>
      <c r="H860"/>
      <c r="I860"/>
    </row>
    <row r="861" spans="1:9" ht="13.5" customHeight="1">
      <c r="A861"/>
      <c r="B861"/>
      <c r="C861"/>
      <c r="D861"/>
      <c r="E861"/>
      <c r="F861"/>
      <c r="G861"/>
      <c r="H861"/>
      <c r="I861"/>
    </row>
    <row r="862" spans="1:9" ht="13.5" customHeight="1">
      <c r="A862"/>
      <c r="B862"/>
      <c r="C862"/>
      <c r="D862"/>
      <c r="E862"/>
      <c r="F862"/>
      <c r="G862"/>
      <c r="H862"/>
      <c r="I862"/>
    </row>
    <row r="863" spans="1:9" ht="13.5" customHeight="1">
      <c r="A863"/>
      <c r="B863"/>
      <c r="C863"/>
      <c r="D863"/>
      <c r="E863"/>
      <c r="F863"/>
      <c r="G863"/>
      <c r="H863"/>
      <c r="I863"/>
    </row>
    <row r="864" spans="1:9" ht="13.5" customHeight="1">
      <c r="A864"/>
      <c r="B864"/>
      <c r="C864"/>
      <c r="D864"/>
      <c r="E864"/>
      <c r="F864"/>
      <c r="G864"/>
      <c r="H864"/>
      <c r="I864"/>
    </row>
    <row r="865" spans="1:9" ht="13.5" customHeight="1">
      <c r="A865"/>
      <c r="B865"/>
      <c r="C865"/>
      <c r="D865"/>
      <c r="E865"/>
      <c r="F865"/>
      <c r="G865"/>
      <c r="H865"/>
      <c r="I865"/>
    </row>
    <row r="866" spans="1:9" ht="13.5" customHeight="1">
      <c r="A866"/>
      <c r="B866"/>
      <c r="C866"/>
      <c r="D866"/>
      <c r="E866"/>
      <c r="F866"/>
      <c r="G866"/>
      <c r="H866"/>
      <c r="I866"/>
    </row>
    <row r="867" spans="1:9" ht="13.5" customHeight="1">
      <c r="A867"/>
      <c r="B867"/>
      <c r="C867"/>
      <c r="D867"/>
      <c r="E867"/>
      <c r="F867"/>
      <c r="G867"/>
      <c r="H867"/>
      <c r="I867"/>
    </row>
    <row r="868" spans="1:9" ht="13.5" customHeight="1">
      <c r="A868"/>
      <c r="B868"/>
      <c r="C868"/>
      <c r="D868"/>
      <c r="E868"/>
      <c r="F868"/>
      <c r="G868"/>
      <c r="H868"/>
      <c r="I868"/>
    </row>
    <row r="869" spans="1:9" ht="13.5" customHeight="1">
      <c r="A869"/>
      <c r="B869"/>
      <c r="C869"/>
      <c r="D869"/>
      <c r="E869"/>
      <c r="F869"/>
      <c r="G869"/>
      <c r="H869"/>
      <c r="I869"/>
    </row>
    <row r="870" spans="1:9" ht="13.5" customHeight="1">
      <c r="A870"/>
      <c r="B870"/>
      <c r="C870"/>
      <c r="D870"/>
      <c r="E870"/>
      <c r="F870"/>
      <c r="G870"/>
      <c r="H870"/>
      <c r="I870"/>
    </row>
    <row r="871" spans="1:9" ht="13.5" customHeight="1">
      <c r="A871"/>
      <c r="B871"/>
      <c r="C871"/>
      <c r="D871"/>
      <c r="E871"/>
      <c r="F871"/>
      <c r="G871"/>
      <c r="H871"/>
      <c r="I871"/>
    </row>
    <row r="872" spans="1:9" ht="13.5" customHeight="1">
      <c r="A872"/>
      <c r="B872"/>
      <c r="C872"/>
      <c r="D872"/>
      <c r="E872"/>
      <c r="F872"/>
      <c r="G872"/>
      <c r="H872"/>
      <c r="I872"/>
    </row>
    <row r="873" spans="1:9" ht="13.5" customHeight="1">
      <c r="A873"/>
      <c r="B873"/>
      <c r="C873"/>
      <c r="D873"/>
      <c r="E873"/>
      <c r="F873"/>
      <c r="G873"/>
      <c r="H873"/>
      <c r="I873"/>
    </row>
    <row r="874" spans="1:9" ht="13.5" customHeight="1">
      <c r="A874"/>
      <c r="B874"/>
      <c r="C874"/>
      <c r="D874"/>
      <c r="E874"/>
      <c r="F874"/>
      <c r="G874"/>
      <c r="H874"/>
      <c r="I874"/>
    </row>
    <row r="875" spans="1:9" ht="13.5" customHeight="1">
      <c r="A875"/>
      <c r="B875"/>
      <c r="C875"/>
      <c r="D875"/>
      <c r="E875"/>
      <c r="F875"/>
      <c r="G875"/>
      <c r="H875"/>
      <c r="I875"/>
    </row>
    <row r="876" spans="1:9" ht="13.5" customHeight="1">
      <c r="A876"/>
      <c r="B876"/>
      <c r="C876"/>
      <c r="D876"/>
      <c r="E876"/>
      <c r="F876"/>
      <c r="G876"/>
      <c r="H876"/>
      <c r="I876"/>
    </row>
    <row r="877" spans="1:9" ht="13.5" customHeight="1">
      <c r="A877"/>
      <c r="B877"/>
      <c r="C877"/>
      <c r="D877"/>
      <c r="E877"/>
      <c r="F877"/>
      <c r="G877"/>
      <c r="H877"/>
      <c r="I877"/>
    </row>
    <row r="878" spans="1:9" ht="13.5" customHeight="1">
      <c r="A878"/>
      <c r="B878"/>
      <c r="C878"/>
      <c r="D878"/>
      <c r="E878"/>
      <c r="F878"/>
      <c r="G878"/>
      <c r="H878"/>
      <c r="I878"/>
    </row>
    <row r="879" spans="1:9" ht="13.5" customHeight="1">
      <c r="A879"/>
      <c r="B879"/>
      <c r="C879"/>
      <c r="D879"/>
      <c r="E879"/>
      <c r="F879"/>
      <c r="G879"/>
      <c r="H879"/>
      <c r="I879"/>
    </row>
    <row r="880" spans="1:9" ht="13.5" customHeight="1">
      <c r="A880"/>
      <c r="B880"/>
      <c r="C880"/>
      <c r="D880"/>
      <c r="E880"/>
      <c r="F880"/>
      <c r="G880"/>
      <c r="H880"/>
      <c r="I880"/>
    </row>
    <row r="881" spans="1:9" ht="13.5" customHeight="1">
      <c r="A881"/>
      <c r="B881"/>
      <c r="C881"/>
      <c r="D881"/>
      <c r="E881"/>
      <c r="F881"/>
      <c r="G881"/>
      <c r="H881"/>
      <c r="I881"/>
    </row>
    <row r="882" spans="1:9" ht="13.5" customHeight="1">
      <c r="A882"/>
      <c r="B882"/>
      <c r="C882"/>
      <c r="D882"/>
      <c r="E882"/>
      <c r="F882"/>
      <c r="G882"/>
      <c r="H882"/>
      <c r="I882"/>
    </row>
    <row r="883" spans="1:9" ht="13.5" customHeight="1">
      <c r="A883"/>
      <c r="B883"/>
      <c r="C883"/>
      <c r="D883"/>
      <c r="E883"/>
      <c r="F883"/>
      <c r="G883"/>
      <c r="H883"/>
      <c r="I883"/>
    </row>
    <row r="884" spans="1:9" ht="13.5" customHeight="1">
      <c r="A884"/>
      <c r="B884"/>
      <c r="C884"/>
      <c r="D884"/>
      <c r="E884"/>
      <c r="F884"/>
      <c r="G884"/>
      <c r="H884"/>
      <c r="I884"/>
    </row>
    <row r="885" spans="1:9" ht="13.5" customHeight="1">
      <c r="A885"/>
      <c r="B885"/>
      <c r="C885"/>
      <c r="D885"/>
      <c r="E885"/>
      <c r="F885"/>
      <c r="G885"/>
      <c r="H885"/>
      <c r="I885"/>
    </row>
    <row r="886" spans="1:9" ht="13.5" customHeight="1">
      <c r="A886"/>
      <c r="B886"/>
      <c r="C886"/>
      <c r="D886"/>
      <c r="E886"/>
      <c r="F886"/>
      <c r="G886"/>
      <c r="H886"/>
      <c r="I886"/>
    </row>
    <row r="887" spans="1:9" ht="13.5" customHeight="1">
      <c r="A887"/>
      <c r="B887"/>
      <c r="C887"/>
      <c r="D887"/>
      <c r="E887"/>
      <c r="F887"/>
      <c r="G887"/>
      <c r="H887"/>
      <c r="I887"/>
    </row>
    <row r="888" spans="1:9" ht="13.5" customHeight="1">
      <c r="A888"/>
      <c r="B888"/>
      <c r="C888"/>
      <c r="D888"/>
      <c r="E888"/>
      <c r="F888"/>
      <c r="G888"/>
      <c r="H888"/>
      <c r="I888"/>
    </row>
    <row r="889" spans="1:9" ht="13.5" customHeight="1">
      <c r="A889"/>
      <c r="B889"/>
      <c r="C889"/>
      <c r="D889"/>
      <c r="E889"/>
      <c r="F889"/>
      <c r="G889"/>
      <c r="H889"/>
      <c r="I889"/>
    </row>
    <row r="890" spans="1:9" ht="13.5" customHeight="1">
      <c r="A890"/>
      <c r="B890"/>
      <c r="C890"/>
      <c r="D890"/>
      <c r="E890"/>
      <c r="F890"/>
      <c r="G890"/>
      <c r="H890"/>
      <c r="I890"/>
    </row>
    <row r="891" spans="1:9" ht="13.5" customHeight="1">
      <c r="A891"/>
      <c r="B891"/>
      <c r="C891"/>
      <c r="D891"/>
      <c r="E891"/>
      <c r="F891"/>
      <c r="G891"/>
      <c r="H891"/>
      <c r="I891"/>
    </row>
    <row r="892" spans="1:9" ht="13.5" customHeight="1">
      <c r="A892"/>
      <c r="B892"/>
      <c r="C892"/>
      <c r="D892"/>
      <c r="E892"/>
      <c r="F892"/>
      <c r="G892"/>
      <c r="H892"/>
      <c r="I892"/>
    </row>
    <row r="893" spans="1:9" ht="13.5" customHeight="1">
      <c r="A893"/>
      <c r="B893"/>
      <c r="C893"/>
      <c r="D893"/>
      <c r="E893"/>
      <c r="F893"/>
      <c r="G893"/>
      <c r="H893"/>
      <c r="I893"/>
    </row>
    <row r="894" spans="1:9" ht="13.5" customHeight="1">
      <c r="A894"/>
      <c r="B894"/>
      <c r="C894"/>
      <c r="D894"/>
      <c r="E894"/>
      <c r="F894"/>
      <c r="G894"/>
      <c r="H894"/>
      <c r="I894"/>
    </row>
    <row r="895" spans="1:9" ht="13.5" customHeight="1">
      <c r="A895"/>
      <c r="B895"/>
      <c r="C895"/>
      <c r="D895"/>
      <c r="E895"/>
      <c r="F895"/>
      <c r="G895"/>
      <c r="H895"/>
      <c r="I895"/>
    </row>
    <row r="896" spans="1:9" ht="13.5" customHeight="1">
      <c r="A896"/>
      <c r="B896"/>
      <c r="C896"/>
      <c r="D896"/>
      <c r="E896"/>
      <c r="F896"/>
      <c r="G896"/>
      <c r="H896"/>
      <c r="I896"/>
    </row>
    <row r="897" spans="1:9" ht="13.5" customHeight="1">
      <c r="A897"/>
      <c r="B897"/>
      <c r="C897"/>
      <c r="D897"/>
      <c r="E897"/>
      <c r="F897"/>
      <c r="G897"/>
      <c r="H897"/>
      <c r="I897"/>
    </row>
    <row r="898" spans="1:9" ht="13.5" customHeight="1">
      <c r="A898"/>
      <c r="B898"/>
      <c r="C898"/>
      <c r="D898"/>
      <c r="E898"/>
      <c r="F898"/>
      <c r="G898"/>
      <c r="H898"/>
      <c r="I898"/>
    </row>
    <row r="899" spans="1:9" ht="13.5" customHeight="1">
      <c r="A899"/>
      <c r="B899"/>
      <c r="C899"/>
      <c r="D899"/>
      <c r="E899"/>
      <c r="F899"/>
      <c r="G899"/>
      <c r="H899"/>
      <c r="I899"/>
    </row>
    <row r="900" spans="1:9" ht="13.5" customHeight="1">
      <c r="A900"/>
      <c r="B900"/>
      <c r="C900"/>
      <c r="D900"/>
      <c r="E900"/>
      <c r="F900"/>
      <c r="G900"/>
      <c r="H900"/>
      <c r="I900"/>
    </row>
    <row r="901" spans="1:9" ht="13.5" customHeight="1">
      <c r="A901"/>
      <c r="B901"/>
      <c r="C901"/>
      <c r="D901"/>
      <c r="E901"/>
      <c r="F901"/>
      <c r="G901"/>
      <c r="H901"/>
      <c r="I901"/>
    </row>
    <row r="902" spans="1:9" ht="13.5" customHeight="1">
      <c r="A902"/>
      <c r="B902"/>
      <c r="C902"/>
      <c r="D902"/>
      <c r="E902"/>
      <c r="F902"/>
      <c r="G902"/>
      <c r="H902"/>
      <c r="I902"/>
    </row>
    <row r="903" spans="1:9" ht="13.5" customHeight="1">
      <c r="A903"/>
      <c r="B903"/>
      <c r="C903"/>
      <c r="D903"/>
      <c r="E903"/>
      <c r="F903"/>
      <c r="G903"/>
      <c r="H903"/>
      <c r="I903"/>
    </row>
    <row r="904" spans="1:9" ht="13.5" customHeight="1">
      <c r="A904"/>
      <c r="B904"/>
      <c r="C904"/>
      <c r="D904"/>
      <c r="E904"/>
      <c r="F904"/>
      <c r="G904"/>
      <c r="H904"/>
      <c r="I904"/>
    </row>
    <row r="905" spans="1:9" ht="13.5" customHeight="1">
      <c r="A905"/>
      <c r="B905"/>
      <c r="C905"/>
      <c r="D905"/>
      <c r="E905"/>
      <c r="F905"/>
      <c r="G905"/>
      <c r="H905"/>
      <c r="I905"/>
    </row>
    <row r="906" spans="1:9" ht="13.5" customHeight="1">
      <c r="A906"/>
      <c r="B906"/>
      <c r="C906"/>
      <c r="D906"/>
      <c r="E906"/>
      <c r="F906"/>
      <c r="G906"/>
      <c r="H906"/>
      <c r="I906"/>
    </row>
    <row r="907" spans="1:9" ht="13.5" customHeight="1">
      <c r="A907"/>
      <c r="B907"/>
      <c r="C907"/>
      <c r="D907"/>
      <c r="E907"/>
      <c r="F907"/>
      <c r="G907"/>
      <c r="H907"/>
      <c r="I907"/>
    </row>
    <row r="908" spans="1:9" ht="13.5" customHeight="1">
      <c r="A908"/>
      <c r="B908"/>
      <c r="C908"/>
      <c r="D908"/>
      <c r="E908"/>
      <c r="F908"/>
      <c r="G908"/>
      <c r="H908"/>
      <c r="I908"/>
    </row>
    <row r="909" spans="1:9" ht="13.5" customHeight="1">
      <c r="A909"/>
      <c r="B909"/>
      <c r="C909"/>
      <c r="D909"/>
      <c r="E909"/>
      <c r="F909"/>
      <c r="G909"/>
      <c r="H909"/>
      <c r="I909"/>
    </row>
    <row r="910" spans="1:9" ht="13.5" customHeight="1">
      <c r="A910"/>
      <c r="B910"/>
      <c r="C910"/>
      <c r="D910"/>
      <c r="E910"/>
      <c r="F910"/>
      <c r="G910"/>
      <c r="H910"/>
      <c r="I910"/>
    </row>
    <row r="911" spans="1:9" ht="13.5" customHeight="1">
      <c r="A911"/>
      <c r="B911"/>
      <c r="C911"/>
      <c r="D911"/>
      <c r="E911"/>
      <c r="F911"/>
      <c r="G911"/>
      <c r="H911"/>
      <c r="I911"/>
    </row>
    <row r="912" spans="1:9" ht="13.5" customHeight="1">
      <c r="A912"/>
      <c r="B912"/>
      <c r="C912"/>
      <c r="D912"/>
      <c r="E912"/>
      <c r="F912"/>
      <c r="G912"/>
      <c r="H912"/>
      <c r="I912"/>
    </row>
    <row r="913" spans="1:9" ht="13.5" customHeight="1">
      <c r="A913"/>
      <c r="B913"/>
      <c r="C913"/>
      <c r="D913"/>
      <c r="E913"/>
      <c r="F913"/>
      <c r="G913"/>
      <c r="H913"/>
      <c r="I913"/>
    </row>
    <row r="914" spans="1:9" ht="13.5" customHeight="1">
      <c r="A914"/>
      <c r="B914"/>
      <c r="C914"/>
      <c r="D914"/>
      <c r="E914"/>
      <c r="F914"/>
      <c r="G914"/>
      <c r="H914"/>
      <c r="I914"/>
    </row>
    <row r="915" spans="1:9" ht="13.5" customHeight="1">
      <c r="A915"/>
      <c r="B915"/>
      <c r="C915"/>
      <c r="D915"/>
      <c r="E915"/>
      <c r="F915"/>
      <c r="G915"/>
      <c r="H915"/>
      <c r="I915"/>
    </row>
    <row r="916" spans="1:9" ht="13.5" customHeight="1">
      <c r="A916"/>
      <c r="B916"/>
      <c r="C916"/>
      <c r="D916"/>
      <c r="E916"/>
      <c r="F916"/>
      <c r="G916"/>
      <c r="H916"/>
      <c r="I916"/>
    </row>
    <row r="917" spans="1:9" ht="13.5" customHeight="1">
      <c r="A917"/>
      <c r="B917"/>
      <c r="C917"/>
      <c r="D917"/>
      <c r="E917"/>
      <c r="F917"/>
      <c r="G917"/>
      <c r="H917"/>
      <c r="I917"/>
    </row>
    <row r="918" spans="1:9" ht="13.5" customHeight="1">
      <c r="A918"/>
      <c r="B918"/>
      <c r="C918"/>
      <c r="D918"/>
      <c r="E918"/>
      <c r="F918"/>
      <c r="G918"/>
      <c r="H918"/>
      <c r="I918"/>
    </row>
    <row r="919" spans="1:9" ht="13.5" customHeight="1">
      <c r="A919"/>
      <c r="B919"/>
      <c r="C919"/>
      <c r="D919"/>
      <c r="E919"/>
      <c r="F919"/>
      <c r="G919"/>
      <c r="H919"/>
      <c r="I919"/>
    </row>
    <row r="920" spans="1:9" ht="13.5" customHeight="1">
      <c r="A920"/>
      <c r="B920"/>
      <c r="C920"/>
      <c r="D920"/>
      <c r="E920"/>
      <c r="F920"/>
      <c r="G920"/>
      <c r="H920"/>
      <c r="I920"/>
    </row>
    <row r="921" spans="1:9" ht="13.5" customHeight="1">
      <c r="A921"/>
      <c r="B921"/>
      <c r="C921"/>
      <c r="D921"/>
      <c r="E921"/>
      <c r="F921"/>
      <c r="G921"/>
      <c r="H921"/>
      <c r="I921"/>
    </row>
    <row r="922" spans="1:9" ht="13.5" customHeight="1">
      <c r="A922"/>
      <c r="B922"/>
      <c r="C922"/>
      <c r="D922"/>
      <c r="E922"/>
      <c r="F922"/>
      <c r="G922"/>
      <c r="H922"/>
      <c r="I922"/>
    </row>
    <row r="923" spans="1:9" ht="13.5" customHeight="1">
      <c r="A923"/>
      <c r="B923"/>
      <c r="C923"/>
      <c r="D923"/>
      <c r="E923"/>
      <c r="F923"/>
      <c r="G923"/>
      <c r="H923"/>
      <c r="I923"/>
    </row>
    <row r="924" spans="1:9" ht="13.5" customHeight="1">
      <c r="A924"/>
      <c r="B924"/>
      <c r="C924"/>
      <c r="D924"/>
      <c r="E924"/>
      <c r="F924"/>
      <c r="G924"/>
      <c r="H924"/>
      <c r="I924"/>
    </row>
    <row r="925" spans="1:9" ht="13.5" customHeight="1">
      <c r="A925"/>
      <c r="B925"/>
      <c r="C925"/>
      <c r="D925"/>
      <c r="E925"/>
      <c r="F925"/>
      <c r="G925"/>
      <c r="H925"/>
      <c r="I925"/>
    </row>
    <row r="926" spans="1:9" ht="13.5" customHeight="1">
      <c r="A926"/>
      <c r="B926"/>
      <c r="C926"/>
      <c r="D926"/>
      <c r="E926"/>
      <c r="F926"/>
      <c r="G926"/>
      <c r="H926"/>
      <c r="I926"/>
    </row>
    <row r="927" spans="1:9" ht="13.5" customHeight="1">
      <c r="A927"/>
      <c r="B927"/>
      <c r="C927"/>
      <c r="D927"/>
      <c r="E927"/>
      <c r="F927"/>
      <c r="G927"/>
      <c r="H927"/>
      <c r="I927"/>
    </row>
    <row r="928" spans="1:9" ht="13.5" customHeight="1">
      <c r="A928"/>
      <c r="B928"/>
      <c r="C928"/>
      <c r="D928"/>
      <c r="E928"/>
      <c r="F928"/>
      <c r="G928"/>
      <c r="H928"/>
      <c r="I928"/>
    </row>
    <row r="929" spans="1:9" ht="13.5" customHeight="1">
      <c r="A929"/>
      <c r="B929"/>
      <c r="C929"/>
      <c r="D929"/>
      <c r="E929"/>
      <c r="F929"/>
      <c r="G929"/>
      <c r="H929"/>
      <c r="I929"/>
    </row>
    <row r="930" spans="1:9" ht="13.5" customHeight="1">
      <c r="A930"/>
      <c r="B930"/>
      <c r="C930"/>
      <c r="D930"/>
      <c r="E930"/>
      <c r="F930"/>
      <c r="G930"/>
      <c r="H930"/>
      <c r="I930"/>
    </row>
    <row r="931" spans="1:9" ht="13.5" customHeight="1">
      <c r="A931"/>
      <c r="B931"/>
      <c r="C931"/>
      <c r="D931"/>
      <c r="E931"/>
      <c r="F931"/>
      <c r="G931"/>
      <c r="H931"/>
      <c r="I931"/>
    </row>
    <row r="932" spans="1:9" ht="13.5" customHeight="1">
      <c r="A932"/>
      <c r="B932"/>
      <c r="C932"/>
      <c r="D932"/>
      <c r="E932"/>
      <c r="F932"/>
      <c r="G932"/>
      <c r="H932"/>
      <c r="I932"/>
    </row>
    <row r="933" spans="1:9" ht="13.5" customHeight="1">
      <c r="A933"/>
      <c r="B933"/>
      <c r="C933"/>
      <c r="D933"/>
      <c r="E933"/>
      <c r="F933"/>
      <c r="G933"/>
      <c r="H933"/>
      <c r="I933"/>
    </row>
    <row r="934" spans="1:9" ht="13.5" customHeight="1">
      <c r="A934"/>
      <c r="B934"/>
      <c r="C934"/>
      <c r="D934"/>
      <c r="E934"/>
      <c r="F934"/>
      <c r="G934"/>
      <c r="H934"/>
      <c r="I934"/>
    </row>
    <row r="935" spans="1:9" ht="13.5" customHeight="1">
      <c r="A935"/>
      <c r="B935"/>
      <c r="C935"/>
      <c r="D935"/>
      <c r="E935"/>
      <c r="F935"/>
      <c r="G935"/>
      <c r="H935"/>
      <c r="I935"/>
    </row>
    <row r="936" spans="1:9" ht="13.5" customHeight="1">
      <c r="A936"/>
      <c r="B936"/>
      <c r="C936"/>
      <c r="D936"/>
      <c r="E936"/>
      <c r="F936"/>
      <c r="G936"/>
      <c r="H936"/>
      <c r="I936"/>
    </row>
    <row r="937" spans="1:9" ht="13.5" customHeight="1">
      <c r="A937"/>
      <c r="B937"/>
      <c r="C937"/>
      <c r="D937"/>
      <c r="E937"/>
      <c r="F937"/>
      <c r="G937"/>
      <c r="H937"/>
      <c r="I937"/>
    </row>
    <row r="938" spans="1:9" ht="13.5" customHeight="1">
      <c r="A938"/>
      <c r="B938"/>
      <c r="C938"/>
      <c r="D938"/>
      <c r="E938"/>
      <c r="F938"/>
      <c r="G938"/>
      <c r="H938"/>
      <c r="I938"/>
    </row>
    <row r="939" spans="1:9" ht="13.5" customHeight="1">
      <c r="A939"/>
      <c r="B939"/>
      <c r="C939"/>
      <c r="D939"/>
      <c r="E939"/>
      <c r="F939"/>
      <c r="G939"/>
      <c r="H939"/>
      <c r="I939"/>
    </row>
    <row r="940" spans="1:9" ht="13.5" customHeight="1">
      <c r="A940"/>
      <c r="B940"/>
      <c r="C940"/>
      <c r="D940"/>
      <c r="E940"/>
      <c r="F940"/>
      <c r="G940"/>
      <c r="H940"/>
      <c r="I940"/>
    </row>
    <row r="941" spans="1:9" ht="13.5" customHeight="1">
      <c r="A941"/>
      <c r="B941"/>
      <c r="C941"/>
      <c r="D941"/>
      <c r="E941"/>
      <c r="F941"/>
      <c r="G941"/>
      <c r="H941"/>
      <c r="I941"/>
    </row>
    <row r="942" spans="1:9" ht="13.5" customHeight="1">
      <c r="A942"/>
      <c r="B942"/>
      <c r="C942"/>
      <c r="D942"/>
      <c r="E942"/>
      <c r="F942"/>
      <c r="G942"/>
      <c r="H942"/>
      <c r="I942"/>
    </row>
    <row r="943" spans="1:9" ht="13.5" customHeight="1">
      <c r="A943"/>
      <c r="B943"/>
      <c r="C943"/>
      <c r="D943"/>
      <c r="E943"/>
      <c r="F943"/>
      <c r="G943"/>
      <c r="H943"/>
      <c r="I943"/>
    </row>
    <row r="944" spans="1:9" ht="13.5" customHeight="1">
      <c r="A944"/>
      <c r="B944"/>
      <c r="C944"/>
      <c r="D944"/>
      <c r="E944"/>
      <c r="F944"/>
      <c r="G944"/>
      <c r="H944"/>
      <c r="I944"/>
    </row>
    <row r="945" spans="1:9" ht="13.5" customHeight="1">
      <c r="A945"/>
      <c r="B945"/>
      <c r="C945"/>
      <c r="D945"/>
      <c r="E945"/>
      <c r="F945"/>
      <c r="G945"/>
      <c r="H945"/>
      <c r="I945"/>
    </row>
    <row r="946" spans="1:9" ht="13.5" customHeight="1">
      <c r="A946"/>
      <c r="B946"/>
      <c r="C946"/>
      <c r="D946"/>
      <c r="E946"/>
      <c r="F946"/>
      <c r="G946"/>
      <c r="H946"/>
      <c r="I946"/>
    </row>
    <row r="947" spans="1:9" ht="13.5" customHeight="1">
      <c r="A947"/>
      <c r="B947"/>
      <c r="C947"/>
      <c r="D947"/>
      <c r="E947"/>
      <c r="F947"/>
      <c r="G947"/>
      <c r="H947"/>
      <c r="I947"/>
    </row>
    <row r="948" spans="1:9" ht="13.5" customHeight="1">
      <c r="A948"/>
      <c r="B948"/>
      <c r="C948"/>
      <c r="D948"/>
      <c r="E948"/>
      <c r="F948"/>
      <c r="G948"/>
      <c r="H948"/>
      <c r="I948"/>
    </row>
    <row r="949" spans="1:9" ht="13.5" customHeight="1">
      <c r="A949"/>
      <c r="B949"/>
      <c r="C949"/>
      <c r="D949"/>
      <c r="E949"/>
      <c r="F949"/>
      <c r="G949"/>
      <c r="H949"/>
      <c r="I949"/>
    </row>
    <row r="950" spans="1:9" ht="13.5" customHeight="1">
      <c r="A950"/>
      <c r="B950"/>
      <c r="C950"/>
      <c r="D950"/>
      <c r="E950"/>
      <c r="F950"/>
      <c r="G950"/>
      <c r="H950"/>
      <c r="I950"/>
    </row>
    <row r="951" spans="1:9" ht="13.5" customHeight="1">
      <c r="A951"/>
      <c r="B951"/>
      <c r="C951"/>
      <c r="D951"/>
      <c r="E951"/>
      <c r="F951"/>
      <c r="G951"/>
      <c r="H951"/>
      <c r="I951"/>
    </row>
    <row r="952" spans="1:9" ht="13.5" customHeight="1">
      <c r="A952"/>
      <c r="B952"/>
      <c r="C952"/>
      <c r="D952"/>
      <c r="E952"/>
      <c r="F952"/>
      <c r="G952"/>
      <c r="H952"/>
      <c r="I952"/>
    </row>
    <row r="953" spans="1:9" ht="13.5" customHeight="1">
      <c r="A953"/>
      <c r="B953"/>
      <c r="C953"/>
      <c r="D953"/>
      <c r="E953"/>
      <c r="F953"/>
      <c r="G953"/>
      <c r="H953"/>
      <c r="I953"/>
    </row>
    <row r="954" spans="1:9" ht="13.5" customHeight="1">
      <c r="A954"/>
      <c r="B954"/>
      <c r="C954"/>
      <c r="D954"/>
      <c r="E954"/>
      <c r="F954"/>
      <c r="G954"/>
      <c r="H954"/>
      <c r="I954"/>
    </row>
    <row r="955" spans="1:9" ht="13.5" customHeight="1">
      <c r="A955"/>
      <c r="B955"/>
      <c r="C955"/>
      <c r="D955"/>
      <c r="E955"/>
      <c r="F955"/>
      <c r="G955"/>
      <c r="H955"/>
      <c r="I955"/>
    </row>
    <row r="956" spans="1:9" ht="13.5" customHeight="1">
      <c r="A956"/>
      <c r="B956"/>
      <c r="C956"/>
      <c r="D956"/>
      <c r="E956"/>
      <c r="F956"/>
      <c r="G956"/>
      <c r="H956"/>
      <c r="I956"/>
    </row>
    <row r="957" spans="1:9" ht="13.5" customHeight="1">
      <c r="A957"/>
      <c r="B957"/>
      <c r="C957"/>
      <c r="D957"/>
      <c r="E957"/>
      <c r="F957"/>
      <c r="G957"/>
      <c r="H957"/>
      <c r="I957"/>
    </row>
    <row r="958" spans="1:9" ht="13.5" customHeight="1">
      <c r="A958"/>
      <c r="B958"/>
      <c r="C958"/>
      <c r="D958"/>
      <c r="E958"/>
      <c r="F958"/>
      <c r="G958"/>
      <c r="H958"/>
      <c r="I958"/>
    </row>
    <row r="959" spans="1:9" ht="13.5" customHeight="1">
      <c r="A959"/>
      <c r="B959"/>
      <c r="C959"/>
      <c r="D959"/>
      <c r="E959"/>
      <c r="F959"/>
      <c r="G959"/>
      <c r="H959"/>
      <c r="I959"/>
    </row>
    <row r="960" spans="1:9" ht="13.5" customHeight="1">
      <c r="A960"/>
      <c r="B960"/>
      <c r="C960"/>
      <c r="D960"/>
      <c r="E960"/>
      <c r="F960"/>
      <c r="G960"/>
      <c r="H960"/>
      <c r="I960"/>
    </row>
    <row r="961" spans="1:9" ht="13.5" customHeight="1">
      <c r="A961"/>
      <c r="B961"/>
      <c r="C961"/>
      <c r="D961"/>
      <c r="E961"/>
      <c r="F961"/>
      <c r="G961"/>
      <c r="H961"/>
      <c r="I961"/>
    </row>
    <row r="962" spans="1:9" ht="13.5" customHeight="1">
      <c r="A962"/>
      <c r="B962"/>
      <c r="C962"/>
      <c r="D962"/>
      <c r="E962"/>
      <c r="F962"/>
      <c r="G962"/>
      <c r="H962"/>
      <c r="I962"/>
    </row>
    <row r="963" spans="1:9" ht="13.5" customHeight="1">
      <c r="A963"/>
      <c r="B963"/>
      <c r="C963"/>
      <c r="D963"/>
      <c r="E963"/>
      <c r="F963"/>
      <c r="G963"/>
      <c r="H963"/>
      <c r="I963"/>
    </row>
    <row r="964" spans="1:9" ht="13.5" customHeight="1">
      <c r="A964"/>
      <c r="B964"/>
      <c r="C964"/>
      <c r="D964"/>
      <c r="E964"/>
      <c r="F964"/>
      <c r="G964"/>
      <c r="H964"/>
      <c r="I964"/>
    </row>
    <row r="965" spans="1:9" ht="13.5" customHeight="1">
      <c r="A965"/>
      <c r="B965"/>
      <c r="C965"/>
      <c r="D965"/>
      <c r="E965"/>
      <c r="F965"/>
      <c r="G965"/>
      <c r="H965"/>
      <c r="I965"/>
    </row>
    <row r="966" spans="1:9" ht="13.5" customHeight="1">
      <c r="A966"/>
      <c r="B966"/>
      <c r="C966"/>
      <c r="D966"/>
      <c r="E966"/>
      <c r="F966"/>
      <c r="G966"/>
      <c r="H966"/>
      <c r="I966"/>
    </row>
    <row r="967" spans="1:9" ht="13.5" customHeight="1">
      <c r="A967"/>
      <c r="B967"/>
      <c r="C967"/>
      <c r="D967"/>
      <c r="E967"/>
      <c r="F967"/>
      <c r="G967"/>
      <c r="H967"/>
      <c r="I967"/>
    </row>
    <row r="968" spans="1:9" ht="13.5" customHeight="1">
      <c r="A968"/>
      <c r="B968"/>
      <c r="C968"/>
      <c r="D968"/>
      <c r="E968"/>
      <c r="F968"/>
      <c r="G968"/>
      <c r="H968"/>
      <c r="I968"/>
    </row>
    <row r="969" spans="1:9" ht="13.5" customHeight="1">
      <c r="A969"/>
      <c r="B969"/>
      <c r="C969"/>
      <c r="D969"/>
      <c r="E969"/>
      <c r="F969"/>
      <c r="G969"/>
      <c r="H969"/>
      <c r="I969"/>
    </row>
    <row r="970" spans="1:9" ht="13.5" customHeight="1">
      <c r="A970"/>
      <c r="B970"/>
      <c r="C970"/>
      <c r="D970"/>
      <c r="E970"/>
      <c r="F970"/>
      <c r="G970"/>
      <c r="H970"/>
      <c r="I970"/>
    </row>
    <row r="971" spans="1:9" ht="13.5" customHeight="1">
      <c r="A971"/>
      <c r="B971"/>
      <c r="C971"/>
      <c r="D971"/>
      <c r="E971"/>
      <c r="F971"/>
      <c r="G971"/>
      <c r="H971"/>
      <c r="I971"/>
    </row>
    <row r="972" spans="1:9" ht="13.5" customHeight="1">
      <c r="A972"/>
      <c r="B972"/>
      <c r="C972"/>
      <c r="D972"/>
      <c r="E972"/>
      <c r="F972"/>
      <c r="G972"/>
      <c r="H972"/>
      <c r="I972"/>
    </row>
    <row r="973" spans="1:9" ht="13.5" customHeight="1">
      <c r="A973"/>
      <c r="B973"/>
      <c r="C973"/>
      <c r="D973"/>
      <c r="E973"/>
      <c r="F973"/>
      <c r="G973"/>
      <c r="H973"/>
      <c r="I973"/>
    </row>
    <row r="974" spans="1:9" ht="13.5" customHeight="1">
      <c r="A974"/>
      <c r="B974"/>
      <c r="C974"/>
      <c r="D974"/>
      <c r="E974"/>
      <c r="F974"/>
      <c r="G974"/>
      <c r="H974"/>
      <c r="I974"/>
    </row>
    <row r="975" spans="1:9" ht="13.5" customHeight="1">
      <c r="A975"/>
      <c r="B975"/>
      <c r="C975"/>
      <c r="D975"/>
      <c r="E975"/>
      <c r="F975"/>
      <c r="G975"/>
      <c r="H975"/>
      <c r="I975"/>
    </row>
    <row r="976" spans="1:9" ht="13.5" customHeight="1">
      <c r="A976"/>
      <c r="B976"/>
      <c r="C976"/>
      <c r="D976"/>
      <c r="E976"/>
      <c r="F976"/>
      <c r="G976"/>
      <c r="H976"/>
      <c r="I976"/>
    </row>
    <row r="977" spans="1:9" ht="13.5" customHeight="1">
      <c r="A977"/>
      <c r="B977"/>
      <c r="C977"/>
      <c r="D977"/>
      <c r="E977"/>
      <c r="F977"/>
      <c r="G977"/>
      <c r="H977"/>
      <c r="I977"/>
    </row>
    <row r="978" spans="1:9" ht="13.5" customHeight="1">
      <c r="A978"/>
      <c r="B978"/>
      <c r="C978"/>
      <c r="D978"/>
      <c r="E978"/>
      <c r="F978"/>
      <c r="G978"/>
      <c r="H978"/>
      <c r="I978"/>
    </row>
    <row r="979" spans="1:9" ht="13.5" customHeight="1">
      <c r="A979"/>
      <c r="B979"/>
      <c r="C979"/>
      <c r="D979"/>
      <c r="E979"/>
      <c r="F979"/>
      <c r="G979"/>
      <c r="H979"/>
      <c r="I979"/>
    </row>
    <row r="980" spans="1:9" ht="13.5" customHeight="1">
      <c r="A980"/>
      <c r="B980"/>
      <c r="C980"/>
      <c r="D980"/>
      <c r="E980"/>
      <c r="F980"/>
      <c r="G980"/>
      <c r="H980"/>
      <c r="I980"/>
    </row>
    <row r="981" spans="1:9" ht="13.5" customHeight="1">
      <c r="A981"/>
      <c r="B981"/>
      <c r="C981"/>
      <c r="D981"/>
      <c r="E981"/>
      <c r="F981"/>
      <c r="G981"/>
      <c r="H981"/>
      <c r="I981"/>
    </row>
    <row r="982" spans="1:9" ht="13.5" customHeight="1">
      <c r="A982"/>
      <c r="B982"/>
      <c r="C982"/>
      <c r="D982"/>
      <c r="E982"/>
      <c r="F982"/>
      <c r="G982"/>
      <c r="H982"/>
      <c r="I982"/>
    </row>
    <row r="983" spans="1:9" ht="13.5" customHeight="1">
      <c r="A983"/>
      <c r="B983"/>
      <c r="C983"/>
      <c r="D983"/>
      <c r="E983"/>
      <c r="F983"/>
      <c r="G983"/>
      <c r="H983"/>
      <c r="I983"/>
    </row>
    <row r="984" spans="1:9" ht="13.5" customHeight="1">
      <c r="A984"/>
      <c r="B984"/>
      <c r="C984"/>
      <c r="D984"/>
      <c r="E984"/>
      <c r="F984"/>
      <c r="G984"/>
      <c r="H984"/>
      <c r="I984"/>
    </row>
    <row r="985" spans="1:9" ht="13.5" customHeight="1">
      <c r="A985"/>
      <c r="B985"/>
      <c r="C985"/>
      <c r="D985"/>
      <c r="E985"/>
      <c r="F985"/>
      <c r="G985"/>
      <c r="H985"/>
      <c r="I985"/>
    </row>
    <row r="986" spans="1:9" ht="13.5" customHeight="1">
      <c r="A986"/>
      <c r="B986"/>
      <c r="C986"/>
      <c r="D986"/>
      <c r="E986"/>
      <c r="F986"/>
      <c r="G986"/>
      <c r="H986"/>
      <c r="I986"/>
    </row>
    <row r="987" spans="1:9" ht="13.5" customHeight="1">
      <c r="A987"/>
      <c r="B987"/>
      <c r="C987"/>
      <c r="D987"/>
      <c r="E987"/>
      <c r="F987"/>
      <c r="G987"/>
      <c r="H987"/>
      <c r="I987"/>
    </row>
    <row r="988" spans="1:9" ht="13.5" customHeight="1">
      <c r="A988"/>
      <c r="B988"/>
      <c r="C988"/>
      <c r="D988"/>
      <c r="E988"/>
      <c r="F988"/>
      <c r="G988"/>
      <c r="H988"/>
      <c r="I988"/>
    </row>
    <row r="989" spans="1:9" ht="13.5" customHeight="1">
      <c r="A989"/>
      <c r="B989"/>
      <c r="C989"/>
      <c r="D989"/>
      <c r="E989"/>
      <c r="F989"/>
      <c r="G989"/>
      <c r="H989"/>
      <c r="I989"/>
    </row>
    <row r="990" spans="1:9" ht="13.5" customHeight="1">
      <c r="A990"/>
      <c r="B990"/>
      <c r="C990"/>
      <c r="D990"/>
      <c r="E990"/>
      <c r="F990"/>
      <c r="G990"/>
      <c r="H990"/>
      <c r="I990"/>
    </row>
    <row r="991" spans="1:9" ht="13.5" customHeight="1">
      <c r="A991"/>
      <c r="B991"/>
      <c r="C991"/>
      <c r="D991"/>
      <c r="E991"/>
      <c r="F991"/>
      <c r="G991"/>
      <c r="H991"/>
      <c r="I991"/>
    </row>
    <row r="992" spans="1:9" ht="13.5" customHeight="1">
      <c r="A992"/>
      <c r="B992"/>
      <c r="C992"/>
      <c r="D992"/>
      <c r="E992"/>
      <c r="F992"/>
      <c r="G992"/>
      <c r="H992"/>
      <c r="I992"/>
    </row>
    <row r="993" spans="1:9" ht="13.5" customHeight="1">
      <c r="A993"/>
      <c r="B993"/>
      <c r="C993"/>
      <c r="D993"/>
      <c r="E993"/>
      <c r="F993"/>
      <c r="G993"/>
      <c r="H993"/>
      <c r="I993"/>
    </row>
    <row r="994" spans="1:9" ht="13.5" customHeight="1">
      <c r="A994"/>
      <c r="B994"/>
      <c r="C994"/>
      <c r="D994"/>
      <c r="E994"/>
      <c r="F994"/>
      <c r="G994"/>
      <c r="H994"/>
      <c r="I994"/>
    </row>
    <row r="995" spans="1:9" ht="13.5" customHeight="1">
      <c r="A995"/>
      <c r="B995"/>
      <c r="C995"/>
      <c r="D995"/>
      <c r="E995"/>
      <c r="F995"/>
      <c r="G995"/>
      <c r="H995"/>
      <c r="I995"/>
    </row>
    <row r="996" spans="1:9" ht="13.5" customHeight="1">
      <c r="A996"/>
      <c r="B996"/>
      <c r="C996"/>
      <c r="D996"/>
      <c r="E996"/>
      <c r="F996"/>
      <c r="G996"/>
      <c r="H996"/>
      <c r="I996"/>
    </row>
    <row r="997" spans="1:9" ht="13.5" customHeight="1">
      <c r="A997"/>
      <c r="B997"/>
      <c r="C997"/>
      <c r="D997"/>
      <c r="E997"/>
      <c r="F997"/>
      <c r="G997"/>
      <c r="H997"/>
      <c r="I997"/>
    </row>
    <row r="998" spans="1:9" ht="13.5" customHeight="1">
      <c r="A998"/>
      <c r="B998"/>
      <c r="C998"/>
      <c r="D998"/>
      <c r="E998"/>
      <c r="F998"/>
      <c r="G998"/>
      <c r="H998"/>
      <c r="I998"/>
    </row>
    <row r="999" spans="1:9" ht="13.5" customHeight="1">
      <c r="A999"/>
      <c r="B999"/>
      <c r="C999"/>
      <c r="D999"/>
      <c r="E999"/>
      <c r="F999"/>
      <c r="G999"/>
      <c r="H999"/>
      <c r="I999"/>
    </row>
    <row r="1000" spans="1:9" ht="13.5" customHeight="1">
      <c r="A1000"/>
      <c r="B1000"/>
      <c r="C1000"/>
      <c r="D1000"/>
      <c r="E1000"/>
      <c r="F1000"/>
      <c r="G1000"/>
      <c r="H1000"/>
      <c r="I1000"/>
    </row>
    <row r="1001" spans="1:9" ht="13.5" customHeight="1">
      <c r="A1001"/>
      <c r="B1001"/>
      <c r="C1001"/>
      <c r="D1001"/>
      <c r="E1001"/>
      <c r="F1001"/>
      <c r="G1001"/>
      <c r="H1001"/>
      <c r="I1001"/>
    </row>
    <row r="1002" spans="1:9" ht="13.5" customHeight="1">
      <c r="A1002"/>
      <c r="B1002"/>
      <c r="C1002"/>
      <c r="D1002"/>
      <c r="E1002"/>
      <c r="F1002"/>
      <c r="G1002"/>
      <c r="H1002"/>
      <c r="I1002"/>
    </row>
    <row r="1003" spans="1:9" ht="13.5" customHeight="1">
      <c r="A1003"/>
      <c r="B1003"/>
      <c r="C1003"/>
      <c r="D1003"/>
      <c r="E1003"/>
      <c r="F1003"/>
      <c r="G1003"/>
      <c r="H1003"/>
      <c r="I1003"/>
    </row>
    <row r="1004" spans="1:9" ht="13.5" customHeight="1">
      <c r="A1004"/>
      <c r="B1004"/>
      <c r="C1004"/>
      <c r="D1004"/>
      <c r="E1004"/>
      <c r="F1004"/>
      <c r="G1004"/>
      <c r="H1004"/>
      <c r="I1004"/>
    </row>
    <row r="1005" spans="1:9" ht="13.5" customHeight="1">
      <c r="A1005"/>
      <c r="B1005"/>
      <c r="C1005"/>
      <c r="D1005"/>
      <c r="E1005"/>
      <c r="F1005"/>
      <c r="G1005"/>
      <c r="H1005"/>
      <c r="I1005"/>
    </row>
    <row r="1006" spans="1:9" ht="13.5" customHeight="1">
      <c r="A1006"/>
      <c r="B1006"/>
      <c r="C1006"/>
      <c r="D1006"/>
      <c r="E1006"/>
      <c r="F1006"/>
      <c r="G1006"/>
      <c r="H1006"/>
      <c r="I1006"/>
    </row>
    <row r="1007" spans="1:9" ht="13.5" customHeight="1">
      <c r="A1007"/>
      <c r="B1007"/>
      <c r="C1007"/>
      <c r="D1007"/>
      <c r="E1007"/>
      <c r="F1007"/>
      <c r="G1007"/>
      <c r="H1007"/>
      <c r="I1007"/>
    </row>
    <row r="1008" spans="1:9" ht="13.5" customHeight="1">
      <c r="A1008"/>
      <c r="B1008"/>
      <c r="C1008"/>
      <c r="D1008"/>
      <c r="E1008"/>
      <c r="F1008"/>
      <c r="G1008"/>
      <c r="H1008"/>
      <c r="I1008"/>
    </row>
    <row r="1009" spans="1:9" ht="13.5" customHeight="1">
      <c r="A1009"/>
      <c r="B1009"/>
      <c r="C1009"/>
      <c r="D1009"/>
      <c r="E1009"/>
      <c r="F1009"/>
      <c r="G1009"/>
      <c r="H1009"/>
      <c r="I1009"/>
    </row>
    <row r="1010" spans="1:9" ht="13.5" customHeight="1">
      <c r="A1010"/>
      <c r="B1010"/>
      <c r="C1010"/>
      <c r="D1010"/>
      <c r="E1010"/>
      <c r="F1010"/>
      <c r="G1010"/>
      <c r="H1010"/>
      <c r="I1010"/>
    </row>
    <row r="1011" spans="1:9" ht="13.5" customHeight="1">
      <c r="A1011"/>
      <c r="B1011"/>
      <c r="C1011"/>
      <c r="D1011"/>
      <c r="E1011"/>
      <c r="F1011"/>
      <c r="G1011"/>
      <c r="H1011"/>
      <c r="I1011"/>
    </row>
    <row r="1012" spans="1:9" ht="13.5" customHeight="1">
      <c r="A1012"/>
      <c r="B1012"/>
      <c r="C1012"/>
      <c r="D1012"/>
      <c r="E1012"/>
      <c r="F1012"/>
      <c r="G1012"/>
      <c r="H1012"/>
      <c r="I1012"/>
    </row>
    <row r="1013" spans="1:9" ht="13.5" customHeight="1">
      <c r="A1013"/>
      <c r="B1013"/>
      <c r="C1013"/>
      <c r="D1013"/>
      <c r="E1013"/>
      <c r="F1013"/>
      <c r="G1013"/>
      <c r="H1013"/>
      <c r="I1013"/>
    </row>
    <row r="1014" spans="1:9" ht="13.5" customHeight="1">
      <c r="A1014"/>
      <c r="B1014"/>
      <c r="C1014"/>
      <c r="D1014"/>
      <c r="E1014"/>
      <c r="F1014"/>
      <c r="G1014"/>
      <c r="H1014"/>
      <c r="I1014"/>
    </row>
    <row r="1015" spans="1:9" ht="13.5" customHeight="1">
      <c r="A1015"/>
      <c r="B1015"/>
      <c r="C1015"/>
      <c r="D1015"/>
      <c r="E1015"/>
      <c r="F1015"/>
      <c r="G1015"/>
      <c r="H1015"/>
      <c r="I1015"/>
    </row>
    <row r="1016" spans="1:9" ht="13.5" customHeight="1">
      <c r="A1016"/>
      <c r="B1016"/>
      <c r="C1016"/>
      <c r="D1016"/>
      <c r="E1016"/>
      <c r="F1016"/>
      <c r="G1016"/>
      <c r="H1016"/>
      <c r="I1016"/>
    </row>
    <row r="1017" spans="1:9" ht="13.5" customHeight="1">
      <c r="A1017"/>
      <c r="B1017"/>
      <c r="C1017"/>
      <c r="D1017"/>
      <c r="E1017"/>
      <c r="F1017"/>
      <c r="G1017"/>
      <c r="H1017"/>
      <c r="I1017"/>
    </row>
    <row r="1018" spans="1:9" ht="13.5" customHeight="1">
      <c r="A1018"/>
      <c r="B1018"/>
      <c r="C1018"/>
      <c r="D1018"/>
      <c r="E1018"/>
      <c r="F1018"/>
      <c r="G1018"/>
      <c r="H1018"/>
      <c r="I1018"/>
    </row>
    <row r="1019" spans="1:9" ht="13.5" customHeight="1">
      <c r="A1019"/>
      <c r="B1019"/>
      <c r="C1019"/>
      <c r="D1019"/>
      <c r="E1019"/>
      <c r="F1019"/>
      <c r="G1019"/>
      <c r="H1019"/>
      <c r="I1019"/>
    </row>
    <row r="1020" spans="1:9" ht="13.5" customHeight="1">
      <c r="A1020"/>
      <c r="B1020"/>
      <c r="C1020"/>
      <c r="D1020"/>
      <c r="E1020"/>
      <c r="F1020"/>
      <c r="G1020"/>
      <c r="H1020"/>
      <c r="I1020"/>
    </row>
    <row r="1021" spans="1:9" ht="13.5" customHeight="1">
      <c r="A1021"/>
      <c r="B1021"/>
      <c r="C1021"/>
      <c r="D1021"/>
      <c r="E1021"/>
      <c r="F1021"/>
      <c r="G1021"/>
      <c r="H1021"/>
      <c r="I1021"/>
    </row>
    <row r="1022" spans="1:9" ht="13.5" customHeight="1">
      <c r="A1022"/>
      <c r="B1022"/>
      <c r="C1022"/>
      <c r="D1022"/>
      <c r="E1022"/>
      <c r="F1022"/>
      <c r="G1022"/>
      <c r="H1022"/>
      <c r="I1022"/>
    </row>
    <row r="1023" spans="1:9" ht="13.5" customHeight="1">
      <c r="A1023"/>
      <c r="B1023"/>
      <c r="C1023"/>
      <c r="D1023"/>
      <c r="E1023"/>
      <c r="F1023"/>
      <c r="G1023"/>
      <c r="H1023"/>
      <c r="I1023"/>
    </row>
    <row r="1024" spans="1:9" ht="13.5" customHeight="1">
      <c r="A1024"/>
      <c r="B1024"/>
      <c r="C1024"/>
      <c r="D1024"/>
      <c r="E1024"/>
      <c r="F1024"/>
      <c r="G1024"/>
      <c r="H1024"/>
      <c r="I1024"/>
    </row>
    <row r="1025" spans="1:9" ht="13.5" customHeight="1">
      <c r="A1025"/>
      <c r="B1025"/>
      <c r="C1025"/>
      <c r="D1025"/>
      <c r="E1025"/>
      <c r="F1025"/>
      <c r="G1025"/>
      <c r="H1025"/>
      <c r="I1025"/>
    </row>
    <row r="1026" spans="1:9" ht="13.5" customHeight="1">
      <c r="A1026"/>
      <c r="B1026"/>
      <c r="C1026"/>
      <c r="D1026"/>
      <c r="E1026"/>
      <c r="F1026"/>
      <c r="G1026"/>
      <c r="H1026"/>
      <c r="I1026"/>
    </row>
    <row r="1027" spans="1:9" ht="13.5" customHeight="1">
      <c r="A1027"/>
      <c r="B1027"/>
      <c r="C1027"/>
      <c r="D1027"/>
      <c r="E1027"/>
      <c r="F1027"/>
      <c r="G1027"/>
      <c r="H1027"/>
      <c r="I1027"/>
    </row>
    <row r="1028" spans="1:9" ht="13.5" customHeight="1">
      <c r="A1028"/>
      <c r="B1028"/>
      <c r="C1028"/>
      <c r="D1028"/>
      <c r="E1028"/>
      <c r="F1028"/>
      <c r="G1028"/>
      <c r="H1028"/>
      <c r="I1028"/>
    </row>
    <row r="1029" spans="1:9" ht="13.5" customHeight="1">
      <c r="A1029"/>
      <c r="B1029"/>
      <c r="C1029"/>
      <c r="D1029"/>
      <c r="E1029"/>
      <c r="F1029"/>
      <c r="G1029"/>
      <c r="H1029"/>
      <c r="I1029"/>
    </row>
    <row r="1030" spans="1:9" ht="13.5" customHeight="1">
      <c r="A1030"/>
      <c r="B1030"/>
      <c r="C1030"/>
      <c r="D1030"/>
      <c r="E1030"/>
      <c r="F1030"/>
      <c r="G1030"/>
      <c r="H1030"/>
      <c r="I1030"/>
    </row>
    <row r="1031" spans="1:9" ht="13.5" customHeight="1">
      <c r="A1031"/>
      <c r="B1031"/>
      <c r="C1031"/>
      <c r="D1031"/>
      <c r="E1031"/>
      <c r="F1031"/>
      <c r="G1031"/>
      <c r="H1031"/>
      <c r="I1031"/>
    </row>
    <row r="1032" spans="1:9" ht="13.5" customHeight="1">
      <c r="A1032"/>
      <c r="B1032"/>
      <c r="C1032"/>
      <c r="D1032"/>
      <c r="E1032"/>
      <c r="F1032"/>
      <c r="G1032"/>
      <c r="H1032"/>
      <c r="I1032"/>
    </row>
    <row r="1033" spans="1:9" ht="13.5" customHeight="1">
      <c r="A1033"/>
      <c r="B1033"/>
      <c r="C1033"/>
      <c r="D1033"/>
      <c r="E1033"/>
      <c r="F1033"/>
      <c r="G1033"/>
      <c r="H1033"/>
      <c r="I1033"/>
    </row>
    <row r="1034" spans="1:9" ht="13.5" customHeight="1">
      <c r="A1034"/>
      <c r="B1034"/>
      <c r="C1034"/>
      <c r="D1034"/>
      <c r="E1034"/>
      <c r="F1034"/>
      <c r="G1034"/>
      <c r="H1034"/>
      <c r="I1034"/>
    </row>
    <row r="1035" spans="1:9" ht="13.5" customHeight="1">
      <c r="A1035"/>
      <c r="B1035"/>
      <c r="C1035"/>
      <c r="D1035"/>
      <c r="E1035"/>
      <c r="F1035"/>
      <c r="G1035"/>
      <c r="H1035"/>
      <c r="I1035"/>
    </row>
    <row r="1036" spans="1:9" ht="13.5" customHeight="1">
      <c r="A1036"/>
      <c r="B1036"/>
      <c r="C1036"/>
      <c r="D1036"/>
      <c r="E1036"/>
      <c r="F1036"/>
      <c r="G1036"/>
      <c r="H1036"/>
      <c r="I1036"/>
    </row>
    <row r="1037" spans="1:9" ht="13.5" customHeight="1">
      <c r="A1037"/>
      <c r="B1037"/>
      <c r="C1037"/>
      <c r="D1037"/>
      <c r="E1037"/>
      <c r="F1037"/>
      <c r="G1037"/>
      <c r="H1037"/>
      <c r="I1037"/>
    </row>
    <row r="1038" spans="1:9" ht="13.5" customHeight="1">
      <c r="A1038"/>
      <c r="B1038"/>
      <c r="C1038"/>
      <c r="D1038"/>
      <c r="E1038"/>
      <c r="F1038"/>
      <c r="G1038"/>
      <c r="H1038"/>
      <c r="I1038"/>
    </row>
    <row r="1039" spans="1:9" ht="13.5" customHeight="1">
      <c r="A1039"/>
      <c r="B1039"/>
      <c r="C1039"/>
      <c r="D1039"/>
      <c r="E1039"/>
      <c r="F1039"/>
      <c r="G1039"/>
      <c r="H1039"/>
      <c r="I1039"/>
    </row>
    <row r="1040" spans="1:9" ht="13.5" customHeight="1">
      <c r="A1040"/>
      <c r="B1040"/>
      <c r="C1040"/>
      <c r="D1040"/>
      <c r="E1040"/>
      <c r="F1040"/>
      <c r="G1040"/>
      <c r="H1040"/>
      <c r="I1040"/>
    </row>
    <row r="1041" spans="1:9" ht="13.5" customHeight="1">
      <c r="A1041"/>
      <c r="B1041"/>
      <c r="C1041"/>
      <c r="D1041"/>
      <c r="E1041"/>
      <c r="F1041"/>
      <c r="G1041"/>
      <c r="H1041"/>
      <c r="I1041"/>
    </row>
    <row r="1042" spans="1:9" ht="13.5" customHeight="1">
      <c r="A1042"/>
      <c r="B1042"/>
      <c r="C1042"/>
      <c r="D1042"/>
      <c r="E1042"/>
      <c r="F1042"/>
      <c r="G1042"/>
      <c r="H1042"/>
      <c r="I1042"/>
    </row>
    <row r="1043" spans="1:9" ht="13.5" customHeight="1">
      <c r="A1043"/>
      <c r="B1043"/>
      <c r="C1043"/>
      <c r="D1043"/>
      <c r="E1043"/>
      <c r="F1043"/>
      <c r="G1043"/>
      <c r="H1043"/>
      <c r="I1043"/>
    </row>
    <row r="1044" spans="1:9" ht="13.5" customHeight="1">
      <c r="A1044"/>
      <c r="B1044"/>
      <c r="C1044"/>
      <c r="D1044"/>
      <c r="E1044"/>
      <c r="F1044"/>
      <c r="G1044"/>
      <c r="H1044"/>
      <c r="I1044"/>
    </row>
    <row r="1045" spans="1:9" ht="13.5" customHeight="1">
      <c r="A1045"/>
      <c r="B1045"/>
      <c r="C1045"/>
      <c r="D1045"/>
      <c r="E1045"/>
      <c r="F1045"/>
      <c r="G1045"/>
      <c r="H1045"/>
      <c r="I1045"/>
    </row>
    <row r="1046" spans="1:9" ht="13.5" customHeight="1">
      <c r="A1046"/>
      <c r="B1046"/>
      <c r="C1046"/>
      <c r="D1046"/>
      <c r="E1046"/>
      <c r="F1046"/>
      <c r="G1046"/>
      <c r="H1046"/>
      <c r="I1046"/>
    </row>
    <row r="1047" spans="1:9" ht="13.5" customHeight="1">
      <c r="A1047"/>
      <c r="B1047"/>
      <c r="C1047"/>
      <c r="D1047"/>
      <c r="E1047"/>
      <c r="F1047"/>
      <c r="G1047"/>
      <c r="H1047"/>
      <c r="I1047"/>
    </row>
    <row r="1048" spans="1:9" ht="13.5" customHeight="1">
      <c r="A1048"/>
      <c r="B1048"/>
      <c r="C1048"/>
      <c r="D1048"/>
      <c r="E1048"/>
      <c r="F1048"/>
      <c r="G1048"/>
      <c r="H1048"/>
      <c r="I1048"/>
    </row>
    <row r="1049" spans="1:9" ht="13.5" customHeight="1">
      <c r="A1049"/>
      <c r="B1049"/>
      <c r="C1049"/>
      <c r="D1049"/>
      <c r="E1049"/>
      <c r="F1049"/>
      <c r="G1049"/>
      <c r="H1049"/>
      <c r="I1049"/>
    </row>
    <row r="1050" spans="1:9" ht="13.5" customHeight="1">
      <c r="A1050"/>
      <c r="B1050"/>
      <c r="C1050"/>
      <c r="D1050"/>
      <c r="E1050"/>
      <c r="F1050"/>
      <c r="G1050"/>
      <c r="H1050"/>
      <c r="I1050"/>
    </row>
    <row r="1051" spans="1:9" ht="13.5" customHeight="1">
      <c r="A1051"/>
      <c r="B1051"/>
      <c r="C1051"/>
      <c r="D1051"/>
      <c r="E1051"/>
      <c r="F1051"/>
      <c r="G1051"/>
      <c r="H1051"/>
      <c r="I1051"/>
    </row>
    <row r="1052" spans="1:9" ht="13.5" customHeight="1">
      <c r="A1052"/>
      <c r="B1052"/>
      <c r="C1052"/>
      <c r="D1052"/>
      <c r="E1052"/>
      <c r="F1052"/>
      <c r="G1052"/>
      <c r="H1052"/>
      <c r="I1052"/>
    </row>
    <row r="1053" spans="1:9" ht="13.5" customHeight="1">
      <c r="A1053"/>
      <c r="B1053"/>
      <c r="C1053"/>
      <c r="D1053"/>
      <c r="E1053"/>
      <c r="F1053"/>
      <c r="G1053"/>
      <c r="H1053"/>
      <c r="I1053"/>
    </row>
    <row r="1054" spans="1:9" ht="13.5" customHeight="1">
      <c r="A1054"/>
      <c r="B1054"/>
      <c r="C1054"/>
      <c r="D1054"/>
      <c r="E1054"/>
      <c r="F1054"/>
      <c r="G1054"/>
      <c r="H1054"/>
      <c r="I1054"/>
    </row>
    <row r="1055" spans="1:9" ht="13.5" customHeight="1">
      <c r="A1055"/>
      <c r="B1055"/>
      <c r="C1055"/>
      <c r="D1055"/>
      <c r="E1055"/>
      <c r="F1055"/>
      <c r="G1055"/>
      <c r="H1055"/>
      <c r="I1055"/>
    </row>
    <row r="1056" spans="1:9" ht="13.5" customHeight="1">
      <c r="A1056"/>
      <c r="B1056"/>
      <c r="C1056"/>
      <c r="D1056"/>
      <c r="E1056"/>
      <c r="F1056"/>
      <c r="G1056"/>
      <c r="H1056"/>
      <c r="I1056"/>
    </row>
    <row r="1057" spans="1:9" ht="13.5" customHeight="1">
      <c r="A1057"/>
      <c r="B1057"/>
      <c r="C1057"/>
      <c r="D1057"/>
      <c r="E1057"/>
      <c r="F1057"/>
      <c r="G1057"/>
      <c r="H1057"/>
      <c r="I1057"/>
    </row>
    <row r="1058" spans="1:9" ht="13.5" customHeight="1">
      <c r="A1058"/>
      <c r="B1058"/>
      <c r="C1058"/>
      <c r="D1058"/>
      <c r="E1058"/>
      <c r="F1058"/>
      <c r="G1058"/>
      <c r="H1058"/>
      <c r="I1058"/>
    </row>
    <row r="1059" spans="1:9" ht="13.5" customHeight="1">
      <c r="A1059"/>
      <c r="B1059"/>
      <c r="C1059"/>
      <c r="D1059"/>
      <c r="E1059"/>
      <c r="F1059"/>
      <c r="G1059"/>
      <c r="H1059"/>
      <c r="I1059"/>
    </row>
    <row r="1060" spans="1:9" ht="13.5" customHeight="1">
      <c r="A1060"/>
      <c r="B1060"/>
      <c r="C1060"/>
      <c r="D1060"/>
      <c r="E1060"/>
      <c r="F1060"/>
      <c r="G1060"/>
      <c r="H1060"/>
      <c r="I1060"/>
    </row>
    <row r="1061" spans="1:9" ht="13.5" customHeight="1">
      <c r="A1061"/>
      <c r="B1061"/>
      <c r="C1061"/>
      <c r="D1061"/>
      <c r="E1061"/>
      <c r="F1061"/>
      <c r="G1061"/>
      <c r="H1061"/>
      <c r="I1061"/>
    </row>
    <row r="1062" spans="1:9" ht="13.5" customHeight="1">
      <c r="A1062"/>
      <c r="B1062"/>
      <c r="C1062"/>
      <c r="D1062"/>
      <c r="E1062"/>
      <c r="F1062"/>
      <c r="G1062"/>
      <c r="H1062"/>
      <c r="I1062"/>
    </row>
    <row r="1063" spans="1:9" ht="13.5" customHeight="1">
      <c r="A1063"/>
      <c r="B1063"/>
      <c r="C1063"/>
      <c r="D1063"/>
      <c r="E1063"/>
      <c r="F1063"/>
      <c r="G1063"/>
      <c r="H1063"/>
      <c r="I1063"/>
    </row>
    <row r="1064" spans="1:9" ht="13.5" customHeight="1">
      <c r="A1064"/>
      <c r="B1064"/>
      <c r="C1064"/>
      <c r="D1064"/>
      <c r="E1064"/>
      <c r="F1064"/>
      <c r="G1064"/>
      <c r="H1064"/>
      <c r="I1064"/>
    </row>
    <row r="1065" spans="1:9" ht="13.5" customHeight="1">
      <c r="A1065"/>
      <c r="B1065"/>
      <c r="C1065"/>
      <c r="D1065"/>
      <c r="E1065"/>
      <c r="F1065"/>
      <c r="G1065"/>
      <c r="H1065"/>
      <c r="I1065"/>
    </row>
    <row r="1066" spans="1:9" ht="13.5" customHeight="1">
      <c r="A1066"/>
      <c r="B1066"/>
      <c r="C1066"/>
      <c r="D1066"/>
      <c r="E1066"/>
      <c r="F1066"/>
      <c r="G1066"/>
      <c r="H1066"/>
      <c r="I1066"/>
    </row>
    <row r="1067" spans="1:9" ht="13.5" customHeight="1">
      <c r="A1067"/>
      <c r="B1067"/>
      <c r="C1067"/>
      <c r="D1067"/>
      <c r="E1067"/>
      <c r="F1067"/>
      <c r="G1067"/>
      <c r="H1067"/>
      <c r="I1067"/>
    </row>
    <row r="1068" spans="1:9" ht="13.5" customHeight="1">
      <c r="A1068"/>
      <c r="B1068"/>
      <c r="C1068"/>
      <c r="D1068"/>
      <c r="E1068"/>
      <c r="F1068"/>
      <c r="G1068"/>
      <c r="H1068"/>
      <c r="I1068"/>
    </row>
    <row r="1069" spans="1:9" ht="13.5" customHeight="1">
      <c r="A1069"/>
      <c r="B1069"/>
      <c r="C1069"/>
      <c r="D1069"/>
      <c r="E1069"/>
      <c r="F1069"/>
      <c r="G1069"/>
      <c r="H1069"/>
      <c r="I1069"/>
    </row>
    <row r="1070" spans="1:9" ht="13.5" customHeight="1">
      <c r="A1070"/>
      <c r="B1070"/>
      <c r="C1070"/>
      <c r="D1070"/>
      <c r="E1070"/>
      <c r="F1070"/>
      <c r="G1070"/>
      <c r="H1070"/>
      <c r="I1070"/>
    </row>
    <row r="1071" spans="1:9" ht="13.5" customHeight="1">
      <c r="A1071"/>
      <c r="B1071"/>
      <c r="C1071"/>
      <c r="D1071"/>
      <c r="E1071"/>
      <c r="F1071"/>
      <c r="G1071"/>
      <c r="H1071"/>
      <c r="I1071"/>
    </row>
    <row r="1072" spans="1:9" ht="13.5" customHeight="1">
      <c r="A1072"/>
      <c r="B1072"/>
      <c r="C1072"/>
      <c r="D1072"/>
      <c r="E1072"/>
      <c r="F1072"/>
      <c r="G1072"/>
      <c r="H1072"/>
      <c r="I1072"/>
    </row>
    <row r="1073" spans="1:9" ht="13.5" customHeight="1">
      <c r="A1073"/>
      <c r="B1073"/>
      <c r="C1073"/>
      <c r="D1073"/>
      <c r="E1073"/>
      <c r="F1073"/>
      <c r="G1073"/>
      <c r="H1073"/>
      <c r="I1073"/>
    </row>
    <row r="1074" spans="1:9" ht="13.5" customHeight="1">
      <c r="A1074"/>
      <c r="B1074"/>
      <c r="C1074"/>
      <c r="D1074"/>
      <c r="E1074"/>
      <c r="F1074"/>
      <c r="G1074"/>
      <c r="H1074"/>
      <c r="I1074"/>
    </row>
    <row r="1075" spans="1:9" ht="13.5" customHeight="1">
      <c r="A1075"/>
      <c r="B1075"/>
      <c r="C1075"/>
      <c r="D1075"/>
      <c r="E1075"/>
      <c r="F1075"/>
      <c r="G1075"/>
      <c r="H1075"/>
      <c r="I1075"/>
    </row>
    <row r="1076" spans="1:9" ht="13.5" customHeight="1">
      <c r="A1076"/>
      <c r="B1076"/>
      <c r="C1076"/>
      <c r="D1076"/>
      <c r="E1076"/>
      <c r="F1076"/>
      <c r="G1076"/>
      <c r="H1076"/>
      <c r="I1076"/>
    </row>
    <row r="1077" spans="1:9" ht="13.5" customHeight="1">
      <c r="A1077"/>
      <c r="B1077"/>
      <c r="C1077"/>
      <c r="D1077"/>
      <c r="E1077"/>
      <c r="F1077"/>
      <c r="G1077"/>
      <c r="H1077"/>
      <c r="I1077"/>
    </row>
    <row r="1078" spans="1:9" ht="13.5" customHeight="1">
      <c r="A1078"/>
      <c r="B1078"/>
      <c r="C1078"/>
      <c r="D1078"/>
      <c r="E1078"/>
      <c r="F1078"/>
      <c r="G1078"/>
      <c r="H1078"/>
      <c r="I1078"/>
    </row>
    <row r="1079" spans="1:9" ht="13.5" customHeight="1">
      <c r="A1079"/>
      <c r="B1079"/>
      <c r="C1079"/>
      <c r="D1079"/>
      <c r="E1079"/>
      <c r="F1079"/>
      <c r="G1079"/>
      <c r="H1079"/>
      <c r="I1079"/>
    </row>
    <row r="1080" spans="1:9" ht="13.5" customHeight="1">
      <c r="A1080"/>
      <c r="B1080"/>
      <c r="C1080"/>
      <c r="D1080"/>
      <c r="E1080"/>
      <c r="F1080"/>
      <c r="G1080"/>
      <c r="H1080"/>
      <c r="I1080"/>
    </row>
    <row r="1081" spans="1:9" ht="13.5" customHeight="1">
      <c r="A1081"/>
      <c r="B1081"/>
      <c r="C1081"/>
      <c r="D1081"/>
      <c r="E1081"/>
      <c r="F1081"/>
      <c r="G1081"/>
      <c r="H1081"/>
      <c r="I1081"/>
    </row>
    <row r="1082" spans="1:9" ht="13.5" customHeight="1">
      <c r="A1082"/>
      <c r="B1082"/>
      <c r="C1082"/>
      <c r="D1082"/>
      <c r="E1082"/>
      <c r="F1082"/>
      <c r="G1082"/>
      <c r="H1082"/>
      <c r="I1082"/>
    </row>
    <row r="1083" spans="1:9" ht="13.5" customHeight="1">
      <c r="A1083"/>
      <c r="B1083"/>
      <c r="C1083"/>
      <c r="D1083"/>
      <c r="E1083"/>
      <c r="F1083"/>
      <c r="G1083"/>
      <c r="H1083"/>
      <c r="I1083"/>
    </row>
    <row r="1084" spans="1:9" ht="13.5" customHeight="1">
      <c r="A1084"/>
      <c r="B1084"/>
      <c r="C1084"/>
      <c r="D1084"/>
      <c r="E1084"/>
      <c r="F1084"/>
      <c r="G1084"/>
      <c r="H1084"/>
      <c r="I1084"/>
    </row>
    <row r="1085" spans="1:9" ht="13.5" customHeight="1">
      <c r="A1085"/>
      <c r="B1085"/>
      <c r="C1085"/>
      <c r="D1085"/>
      <c r="E1085"/>
      <c r="F1085"/>
      <c r="G1085"/>
      <c r="H1085"/>
      <c r="I1085"/>
    </row>
    <row r="1086" spans="1:9" ht="13.5" customHeight="1">
      <c r="A1086"/>
      <c r="B1086"/>
      <c r="C1086"/>
      <c r="D1086"/>
      <c r="E1086"/>
      <c r="F1086"/>
      <c r="G1086"/>
      <c r="H1086"/>
      <c r="I1086"/>
    </row>
    <row r="1087" spans="1:9" ht="13.5" customHeight="1">
      <c r="A1087"/>
      <c r="B1087"/>
      <c r="C1087"/>
      <c r="D1087"/>
      <c r="E1087"/>
      <c r="F1087"/>
      <c r="G1087"/>
      <c r="H1087"/>
      <c r="I1087"/>
    </row>
    <row r="1088" spans="1:9" ht="13.5" customHeight="1">
      <c r="A1088"/>
      <c r="B1088"/>
      <c r="C1088"/>
      <c r="D1088"/>
      <c r="E1088"/>
      <c r="F1088"/>
      <c r="G1088"/>
      <c r="H1088"/>
      <c r="I1088"/>
    </row>
    <row r="1089" spans="1:9" ht="13.5" customHeight="1">
      <c r="A1089"/>
      <c r="B1089"/>
      <c r="C1089"/>
      <c r="D1089"/>
      <c r="E1089"/>
      <c r="F1089"/>
      <c r="G1089"/>
      <c r="H1089"/>
      <c r="I1089"/>
    </row>
    <row r="1090" spans="1:9" ht="13.5" customHeight="1">
      <c r="A1090"/>
      <c r="B1090"/>
      <c r="C1090"/>
      <c r="D1090"/>
      <c r="E1090"/>
      <c r="F1090"/>
      <c r="G1090"/>
      <c r="H1090"/>
      <c r="I1090"/>
    </row>
    <row r="1091" spans="1:9" ht="13.5" customHeight="1">
      <c r="A1091"/>
      <c r="B1091"/>
      <c r="C1091"/>
      <c r="D1091"/>
      <c r="E1091"/>
      <c r="F1091"/>
      <c r="G1091"/>
      <c r="H1091"/>
      <c r="I1091"/>
    </row>
    <row r="1092" spans="1:9" ht="13.5" customHeight="1">
      <c r="A1092"/>
      <c r="B1092"/>
      <c r="C1092"/>
      <c r="D1092"/>
      <c r="E1092"/>
      <c r="F1092"/>
      <c r="G1092"/>
      <c r="H1092"/>
      <c r="I1092"/>
    </row>
    <row r="1093" spans="1:9" ht="13.5" customHeight="1">
      <c r="A1093"/>
      <c r="B1093"/>
      <c r="C1093"/>
      <c r="D1093"/>
      <c r="E1093"/>
      <c r="F1093"/>
      <c r="G1093"/>
      <c r="H1093"/>
      <c r="I1093"/>
    </row>
    <row r="1094" spans="1:9" ht="13.5" customHeight="1">
      <c r="A1094"/>
      <c r="B1094"/>
      <c r="C1094"/>
      <c r="D1094"/>
      <c r="E1094"/>
      <c r="F1094"/>
      <c r="G1094"/>
      <c r="H1094"/>
      <c r="I1094"/>
    </row>
    <row r="1095" spans="1:9" ht="13.5" customHeight="1">
      <c r="A1095"/>
      <c r="B1095"/>
      <c r="C1095"/>
      <c r="D1095"/>
      <c r="E1095"/>
      <c r="F1095"/>
      <c r="G1095"/>
      <c r="H1095"/>
      <c r="I1095"/>
    </row>
    <row r="1096" spans="1:9" ht="13.5" customHeight="1">
      <c r="A1096"/>
      <c r="B1096"/>
      <c r="C1096"/>
      <c r="D1096"/>
      <c r="E1096"/>
      <c r="F1096"/>
      <c r="G1096"/>
      <c r="H1096"/>
      <c r="I1096"/>
    </row>
    <row r="1097" spans="1:9" ht="13.5" customHeight="1">
      <c r="A1097"/>
      <c r="B1097"/>
      <c r="C1097"/>
      <c r="D1097"/>
      <c r="E1097"/>
      <c r="F1097"/>
      <c r="G1097"/>
      <c r="H1097"/>
      <c r="I1097"/>
    </row>
    <row r="1098" spans="1:9" ht="13.5" customHeight="1">
      <c r="A1098"/>
      <c r="B1098"/>
      <c r="C1098"/>
      <c r="D1098"/>
      <c r="E1098"/>
      <c r="F1098"/>
      <c r="G1098"/>
      <c r="H1098"/>
      <c r="I1098"/>
    </row>
    <row r="1099" spans="1:9" ht="13.5" customHeight="1">
      <c r="A1099"/>
      <c r="B1099"/>
      <c r="C1099"/>
      <c r="D1099"/>
      <c r="E1099"/>
      <c r="F1099"/>
      <c r="G1099"/>
      <c r="H1099"/>
      <c r="I1099"/>
    </row>
    <row r="1100" spans="1:9" ht="13.5" customHeight="1">
      <c r="A1100"/>
      <c r="B1100"/>
      <c r="C1100"/>
      <c r="D1100"/>
      <c r="E1100"/>
      <c r="F1100"/>
      <c r="G1100"/>
      <c r="H1100"/>
      <c r="I1100"/>
    </row>
    <row r="1101" spans="1:9" ht="13.5" customHeight="1">
      <c r="A1101"/>
      <c r="B1101"/>
      <c r="C1101"/>
      <c r="D1101"/>
      <c r="E1101"/>
      <c r="F1101"/>
      <c r="G1101"/>
      <c r="H1101"/>
      <c r="I1101"/>
    </row>
    <row r="1102" spans="1:9" ht="13.5" customHeight="1">
      <c r="A1102"/>
      <c r="B1102"/>
      <c r="C1102"/>
      <c r="D1102"/>
      <c r="E1102"/>
      <c r="F1102"/>
      <c r="G1102"/>
      <c r="H1102"/>
      <c r="I1102"/>
    </row>
    <row r="1103" spans="1:9" ht="13.5" customHeight="1">
      <c r="A1103"/>
      <c r="B1103"/>
      <c r="C1103"/>
      <c r="D1103"/>
      <c r="E1103"/>
      <c r="F1103"/>
      <c r="G1103"/>
      <c r="H1103"/>
      <c r="I1103"/>
    </row>
    <row r="1104" spans="1:9" ht="13.5" customHeight="1">
      <c r="A1104"/>
      <c r="B1104"/>
      <c r="C1104"/>
      <c r="D1104"/>
      <c r="E1104"/>
      <c r="F1104"/>
      <c r="G1104"/>
      <c r="H1104"/>
      <c r="I1104"/>
    </row>
    <row r="1105" spans="1:9" ht="13.5" customHeight="1">
      <c r="A1105"/>
      <c r="B1105"/>
      <c r="C1105"/>
      <c r="D1105"/>
      <c r="E1105"/>
      <c r="F1105"/>
      <c r="G1105"/>
      <c r="H1105"/>
      <c r="I1105"/>
    </row>
    <row r="1106" spans="1:9" ht="13.5" customHeight="1">
      <c r="A1106"/>
      <c r="B1106"/>
      <c r="C1106"/>
      <c r="D1106"/>
      <c r="E1106"/>
      <c r="F1106"/>
      <c r="G1106"/>
      <c r="H1106"/>
      <c r="I1106"/>
    </row>
    <row r="1107" spans="1:9" ht="13.5" customHeight="1">
      <c r="A1107"/>
      <c r="B1107"/>
      <c r="C1107"/>
      <c r="D1107"/>
      <c r="E1107"/>
      <c r="F1107"/>
      <c r="G1107"/>
      <c r="H1107"/>
      <c r="I1107"/>
    </row>
    <row r="1108" spans="1:9" ht="13.5" customHeight="1">
      <c r="A1108"/>
      <c r="B1108"/>
      <c r="C1108"/>
      <c r="D1108"/>
      <c r="E1108"/>
      <c r="F1108"/>
      <c r="G1108"/>
      <c r="H1108"/>
      <c r="I1108"/>
    </row>
    <row r="1109" spans="1:9" ht="13.5" customHeight="1">
      <c r="A1109"/>
      <c r="B1109"/>
      <c r="C1109"/>
      <c r="D1109"/>
      <c r="E1109"/>
      <c r="F1109"/>
      <c r="G1109"/>
      <c r="H1109"/>
      <c r="I1109"/>
    </row>
    <row r="1110" spans="1:9" ht="13.5" customHeight="1">
      <c r="A1110"/>
      <c r="B1110"/>
      <c r="C1110"/>
      <c r="D1110"/>
      <c r="E1110"/>
      <c r="F1110"/>
      <c r="G1110"/>
      <c r="H1110"/>
      <c r="I1110"/>
    </row>
    <row r="1111" spans="1:9" ht="13.5" customHeight="1">
      <c r="A1111"/>
      <c r="B1111"/>
      <c r="C1111"/>
      <c r="D1111"/>
      <c r="E1111"/>
      <c r="F1111"/>
      <c r="G1111"/>
      <c r="H1111"/>
      <c r="I1111"/>
    </row>
    <row r="1112" spans="1:9" ht="13.5" customHeight="1">
      <c r="A1112"/>
      <c r="B1112"/>
      <c r="C1112"/>
      <c r="D1112"/>
      <c r="E1112"/>
      <c r="F1112"/>
      <c r="G1112"/>
      <c r="H1112"/>
      <c r="I1112"/>
    </row>
    <row r="1113" spans="1:9" ht="13.5" customHeight="1">
      <c r="A1113"/>
      <c r="B1113"/>
      <c r="C1113"/>
      <c r="D1113"/>
      <c r="E1113"/>
      <c r="F1113"/>
      <c r="G1113"/>
      <c r="H1113"/>
      <c r="I1113"/>
    </row>
    <row r="1114" spans="1:9" ht="13.5" customHeight="1">
      <c r="A1114"/>
      <c r="B1114"/>
      <c r="C1114"/>
      <c r="D1114"/>
      <c r="E1114"/>
      <c r="F1114"/>
      <c r="G1114"/>
      <c r="H1114"/>
      <c r="I1114"/>
    </row>
    <row r="1115" spans="1:9" ht="13.5" customHeight="1">
      <c r="A1115"/>
      <c r="B1115"/>
      <c r="C1115"/>
      <c r="D1115"/>
      <c r="E1115"/>
      <c r="F1115"/>
      <c r="G1115"/>
      <c r="H1115"/>
      <c r="I1115"/>
    </row>
    <row r="1116" spans="1:9" ht="13.5" customHeight="1">
      <c r="A1116"/>
      <c r="B1116"/>
      <c r="C1116"/>
      <c r="D1116"/>
      <c r="E1116"/>
      <c r="F1116"/>
      <c r="G1116"/>
      <c r="H1116"/>
      <c r="I1116"/>
    </row>
    <row r="1117" spans="1:9" ht="13.5" customHeight="1">
      <c r="A1117"/>
      <c r="B1117"/>
      <c r="C1117"/>
      <c r="D1117"/>
      <c r="E1117"/>
      <c r="F1117"/>
      <c r="G1117"/>
      <c r="H1117"/>
      <c r="I1117"/>
    </row>
    <row r="1118" spans="1:9" ht="13.5" customHeight="1">
      <c r="A1118"/>
      <c r="B1118"/>
      <c r="C1118"/>
      <c r="D1118"/>
      <c r="E1118"/>
      <c r="F1118"/>
      <c r="G1118"/>
      <c r="H1118"/>
      <c r="I1118"/>
    </row>
    <row r="1119" spans="1:9" ht="13.5" customHeight="1">
      <c r="A1119"/>
      <c r="B1119"/>
      <c r="C1119"/>
      <c r="D1119"/>
      <c r="E1119"/>
      <c r="F1119"/>
      <c r="G1119"/>
      <c r="H1119"/>
      <c r="I1119"/>
    </row>
    <row r="1120" spans="1:9" ht="13.5" customHeight="1">
      <c r="A1120"/>
      <c r="B1120"/>
      <c r="C1120"/>
      <c r="D1120"/>
      <c r="E1120"/>
      <c r="F1120"/>
      <c r="G1120"/>
      <c r="H1120"/>
      <c r="I1120"/>
    </row>
    <row r="1121" spans="1:9" ht="13.5" customHeight="1">
      <c r="A1121"/>
      <c r="B1121"/>
      <c r="C1121"/>
      <c r="D1121"/>
      <c r="E1121"/>
      <c r="F1121"/>
      <c r="G1121"/>
      <c r="H1121"/>
      <c r="I1121"/>
    </row>
    <row r="1122" spans="1:9" ht="13.5" customHeight="1">
      <c r="A1122"/>
      <c r="B1122"/>
      <c r="C1122"/>
      <c r="D1122"/>
      <c r="E1122"/>
      <c r="F1122"/>
      <c r="G1122"/>
      <c r="H1122"/>
      <c r="I1122"/>
    </row>
    <row r="1123" spans="1:9" ht="13.5" customHeight="1">
      <c r="A1123"/>
      <c r="B1123"/>
      <c r="C1123"/>
      <c r="D1123"/>
      <c r="E1123"/>
      <c r="F1123"/>
      <c r="G1123"/>
      <c r="H1123"/>
      <c r="I1123"/>
    </row>
    <row r="1124" spans="1:9" ht="13.5" customHeight="1">
      <c r="A1124"/>
      <c r="B1124"/>
      <c r="C1124"/>
      <c r="D1124"/>
      <c r="E1124"/>
      <c r="F1124"/>
      <c r="G1124"/>
      <c r="H1124"/>
      <c r="I1124"/>
    </row>
    <row r="1125" spans="1:9" ht="13.5" customHeight="1">
      <c r="A1125"/>
      <c r="B1125"/>
      <c r="C1125"/>
      <c r="D1125"/>
      <c r="E1125"/>
      <c r="F1125"/>
      <c r="G1125"/>
      <c r="H1125"/>
      <c r="I1125"/>
    </row>
    <row r="1126" spans="1:9" ht="13.5" customHeight="1">
      <c r="A1126"/>
      <c r="B1126"/>
      <c r="C1126"/>
      <c r="D1126"/>
      <c r="E1126"/>
      <c r="F1126"/>
      <c r="G1126"/>
      <c r="H1126"/>
      <c r="I1126"/>
    </row>
    <row r="1127" spans="1:9" ht="13.5" customHeight="1">
      <c r="A1127"/>
      <c r="B1127"/>
      <c r="C1127"/>
      <c r="D1127"/>
      <c r="E1127"/>
      <c r="F1127"/>
      <c r="G1127"/>
      <c r="H1127"/>
      <c r="I1127"/>
    </row>
    <row r="1128" spans="1:9" ht="13.5" customHeight="1">
      <c r="A1128"/>
      <c r="B1128"/>
      <c r="C1128"/>
      <c r="D1128"/>
      <c r="E1128"/>
      <c r="F1128"/>
      <c r="G1128"/>
      <c r="H1128"/>
      <c r="I1128"/>
    </row>
    <row r="1129" spans="1:9" ht="13.5" customHeight="1">
      <c r="A1129"/>
      <c r="B1129"/>
      <c r="C1129"/>
      <c r="D1129"/>
      <c r="E1129"/>
      <c r="F1129"/>
      <c r="G1129"/>
      <c r="H1129"/>
      <c r="I1129"/>
    </row>
    <row r="1130" spans="1:9" ht="13.5" customHeight="1">
      <c r="A1130"/>
      <c r="B1130"/>
      <c r="C1130"/>
      <c r="D1130"/>
      <c r="E1130"/>
      <c r="F1130"/>
      <c r="G1130"/>
      <c r="H1130"/>
      <c r="I1130"/>
    </row>
    <row r="1131" spans="1:9" ht="13.5" customHeight="1">
      <c r="A1131"/>
      <c r="B1131"/>
      <c r="C1131"/>
      <c r="D1131"/>
      <c r="E1131"/>
      <c r="F1131"/>
      <c r="G1131"/>
      <c r="H1131"/>
      <c r="I1131"/>
    </row>
    <row r="1132" spans="1:9" ht="13.5" customHeight="1">
      <c r="A1132"/>
      <c r="B1132"/>
      <c r="C1132"/>
      <c r="D1132"/>
      <c r="E1132"/>
      <c r="F1132"/>
      <c r="G1132"/>
      <c r="H1132"/>
      <c r="I1132"/>
    </row>
    <row r="1133" spans="1:9" ht="13.5" customHeight="1">
      <c r="A1133"/>
      <c r="B1133"/>
      <c r="C1133"/>
      <c r="D1133"/>
      <c r="E1133"/>
      <c r="F1133"/>
      <c r="G1133"/>
      <c r="H1133"/>
      <c r="I1133"/>
    </row>
    <row r="1134" spans="1:9" ht="13.5" customHeight="1">
      <c r="A1134"/>
      <c r="B1134"/>
      <c r="C1134"/>
      <c r="D1134"/>
      <c r="E1134"/>
      <c r="F1134"/>
      <c r="G1134"/>
      <c r="H1134"/>
      <c r="I1134"/>
    </row>
    <row r="1135" spans="1:9" ht="13.5" customHeight="1">
      <c r="A1135"/>
      <c r="B1135"/>
      <c r="C1135"/>
      <c r="D1135"/>
      <c r="E1135"/>
      <c r="F1135"/>
      <c r="G1135"/>
      <c r="H1135"/>
      <c r="I1135"/>
    </row>
    <row r="1136" spans="1:9" ht="13.5" customHeight="1">
      <c r="A1136"/>
      <c r="B1136"/>
      <c r="C1136"/>
      <c r="D1136"/>
      <c r="E1136"/>
      <c r="F1136"/>
      <c r="G1136"/>
      <c r="H1136"/>
      <c r="I1136"/>
    </row>
    <row r="1137" spans="1:9" ht="13.5" customHeight="1">
      <c r="A1137"/>
      <c r="B1137"/>
      <c r="C1137"/>
      <c r="D1137"/>
      <c r="E1137"/>
      <c r="F1137"/>
      <c r="G1137"/>
      <c r="H1137"/>
      <c r="I1137"/>
    </row>
    <row r="1138" spans="1:9" ht="13.5" customHeight="1">
      <c r="A1138"/>
      <c r="B1138"/>
      <c r="C1138"/>
      <c r="D1138"/>
      <c r="E1138"/>
      <c r="F1138"/>
      <c r="G1138"/>
      <c r="H1138"/>
      <c r="I1138"/>
    </row>
    <row r="1139" spans="1:9" ht="13.5" customHeight="1">
      <c r="A1139"/>
      <c r="B1139"/>
      <c r="C1139"/>
      <c r="D1139"/>
      <c r="E1139"/>
      <c r="F1139"/>
      <c r="G1139"/>
      <c r="H1139"/>
      <c r="I1139"/>
    </row>
    <row r="1140" spans="1:9" ht="13.5" customHeight="1">
      <c r="A1140"/>
      <c r="B1140"/>
      <c r="C1140"/>
      <c r="D1140"/>
      <c r="E1140"/>
      <c r="F1140"/>
      <c r="G1140"/>
      <c r="H1140"/>
      <c r="I1140"/>
    </row>
    <row r="1141" spans="1:9" ht="13.5" customHeight="1">
      <c r="A1141"/>
      <c r="B1141"/>
      <c r="C1141"/>
      <c r="D1141"/>
      <c r="E1141"/>
      <c r="F1141"/>
      <c r="G1141"/>
      <c r="H1141"/>
      <c r="I1141"/>
    </row>
    <row r="1142" spans="1:9" ht="13.5" customHeight="1">
      <c r="A1142"/>
      <c r="B1142"/>
      <c r="C1142"/>
      <c r="D1142"/>
      <c r="E1142"/>
      <c r="F1142"/>
      <c r="G1142"/>
      <c r="H1142"/>
      <c r="I1142"/>
    </row>
    <row r="1143" spans="1:9" ht="13.5" customHeight="1">
      <c r="A1143"/>
      <c r="B1143"/>
      <c r="C1143"/>
      <c r="D1143"/>
      <c r="E1143"/>
      <c r="F1143"/>
      <c r="G1143"/>
      <c r="H1143"/>
      <c r="I1143"/>
    </row>
    <row r="1144" spans="1:9" ht="13.5" customHeight="1">
      <c r="A1144"/>
      <c r="B1144"/>
      <c r="C1144"/>
      <c r="D1144"/>
      <c r="E1144"/>
      <c r="F1144"/>
      <c r="G1144"/>
      <c r="H1144"/>
      <c r="I1144"/>
    </row>
    <row r="1145" spans="1:9" ht="13.5" customHeight="1">
      <c r="A1145"/>
      <c r="B1145"/>
      <c r="C1145"/>
      <c r="D1145"/>
      <c r="E1145"/>
      <c r="F1145"/>
      <c r="G1145"/>
      <c r="H1145"/>
      <c r="I1145"/>
    </row>
    <row r="1146" spans="1:9" ht="13.5" customHeight="1">
      <c r="A1146"/>
      <c r="B1146"/>
      <c r="C1146"/>
      <c r="D1146"/>
      <c r="E1146"/>
      <c r="F1146"/>
      <c r="G1146"/>
      <c r="H1146"/>
      <c r="I1146"/>
    </row>
    <row r="1147" spans="1:9" ht="13.5" customHeight="1">
      <c r="A1147"/>
      <c r="B1147"/>
      <c r="C1147"/>
      <c r="D1147"/>
      <c r="E1147"/>
      <c r="F1147"/>
      <c r="G1147"/>
      <c r="H1147"/>
      <c r="I1147"/>
    </row>
    <row r="1148" spans="1:9" ht="13.5" customHeight="1">
      <c r="A1148"/>
      <c r="B1148"/>
      <c r="C1148"/>
      <c r="D1148"/>
      <c r="E1148"/>
      <c r="F1148"/>
      <c r="G1148"/>
      <c r="H1148"/>
      <c r="I1148"/>
    </row>
    <row r="1149" spans="1:9" ht="13.5" customHeight="1">
      <c r="A1149"/>
      <c r="B1149"/>
      <c r="C1149"/>
      <c r="D1149"/>
      <c r="E1149"/>
      <c r="F1149"/>
      <c r="G1149"/>
      <c r="H1149"/>
      <c r="I1149"/>
    </row>
    <row r="1150" spans="1:9" ht="13.5" customHeight="1">
      <c r="A1150"/>
      <c r="B1150"/>
      <c r="C1150"/>
      <c r="D1150"/>
      <c r="E1150"/>
      <c r="F1150"/>
      <c r="G1150"/>
      <c r="H1150"/>
      <c r="I1150"/>
    </row>
    <row r="1151" spans="1:9" ht="13.5" customHeight="1">
      <c r="A1151"/>
      <c r="B1151"/>
      <c r="C1151"/>
      <c r="D1151"/>
      <c r="E1151"/>
      <c r="F1151"/>
      <c r="G1151"/>
      <c r="H1151"/>
      <c r="I1151"/>
    </row>
    <row r="1152" spans="1:9" ht="13.5" customHeight="1">
      <c r="A1152"/>
      <c r="B1152"/>
      <c r="C1152"/>
      <c r="D1152"/>
      <c r="E1152"/>
      <c r="F1152"/>
      <c r="G1152"/>
      <c r="H1152"/>
      <c r="I1152"/>
    </row>
    <row r="1153" spans="1:9" ht="13.5" customHeight="1">
      <c r="A1153"/>
      <c r="B1153"/>
      <c r="C1153"/>
      <c r="D1153"/>
      <c r="E1153"/>
      <c r="F1153"/>
      <c r="G1153"/>
      <c r="H1153"/>
      <c r="I1153"/>
    </row>
    <row r="1154" spans="1:9" ht="13.5" customHeight="1">
      <c r="A1154"/>
      <c r="B1154"/>
      <c r="C1154"/>
      <c r="D1154"/>
      <c r="E1154"/>
      <c r="F1154"/>
      <c r="G1154"/>
      <c r="H1154"/>
      <c r="I1154"/>
    </row>
    <row r="1155" spans="1:9" ht="13.5" customHeight="1">
      <c r="A1155"/>
      <c r="B1155"/>
      <c r="C1155"/>
      <c r="D1155"/>
      <c r="E1155"/>
      <c r="F1155"/>
      <c r="G1155"/>
      <c r="H1155"/>
      <c r="I1155"/>
    </row>
    <row r="1156" spans="1:9" ht="13.5" customHeight="1">
      <c r="A1156"/>
      <c r="B1156"/>
      <c r="C1156"/>
      <c r="D1156"/>
      <c r="E1156"/>
      <c r="F1156"/>
      <c r="G1156"/>
      <c r="H1156"/>
      <c r="I1156"/>
    </row>
    <row r="1157" spans="1:9" ht="13.5" customHeight="1">
      <c r="A1157"/>
      <c r="B1157"/>
      <c r="C1157"/>
      <c r="D1157"/>
      <c r="E1157"/>
      <c r="F1157"/>
      <c r="G1157"/>
      <c r="H1157"/>
      <c r="I1157"/>
    </row>
    <row r="1158" spans="1:9" ht="13.5" customHeight="1">
      <c r="A1158"/>
      <c r="B1158"/>
      <c r="C1158"/>
      <c r="D1158"/>
      <c r="E1158"/>
      <c r="F1158"/>
      <c r="G1158"/>
      <c r="H1158"/>
      <c r="I1158"/>
    </row>
    <row r="1159" spans="1:9" ht="13.5" customHeight="1">
      <c r="A1159"/>
      <c r="B1159"/>
      <c r="C1159"/>
      <c r="D1159"/>
      <c r="E1159"/>
      <c r="F1159"/>
      <c r="G1159"/>
      <c r="H1159"/>
      <c r="I1159"/>
    </row>
    <row r="1160" spans="1:9" ht="13.5" customHeight="1">
      <c r="A1160"/>
      <c r="B1160"/>
      <c r="C1160"/>
      <c r="D1160"/>
      <c r="E1160"/>
      <c r="F1160"/>
      <c r="G1160"/>
      <c r="H1160"/>
      <c r="I1160"/>
    </row>
    <row r="1161" spans="1:9" ht="13.5" customHeight="1">
      <c r="A1161"/>
      <c r="B1161"/>
      <c r="C1161"/>
      <c r="D1161"/>
      <c r="E1161"/>
      <c r="F1161"/>
      <c r="G1161"/>
      <c r="H1161"/>
      <c r="I1161"/>
    </row>
    <row r="1162" spans="1:9" ht="13.5" customHeight="1">
      <c r="A1162"/>
      <c r="B1162"/>
      <c r="C1162"/>
      <c r="D1162"/>
      <c r="E1162"/>
      <c r="F1162"/>
      <c r="G1162"/>
      <c r="H1162"/>
      <c r="I1162"/>
    </row>
    <row r="1163" spans="1:9" ht="13.5" customHeight="1">
      <c r="A1163"/>
      <c r="B1163"/>
      <c r="C1163"/>
      <c r="D1163"/>
      <c r="E1163"/>
      <c r="F1163"/>
      <c r="G1163"/>
      <c r="H1163"/>
      <c r="I1163"/>
    </row>
    <row r="1164" spans="1:9" ht="13.5" customHeight="1">
      <c r="A1164"/>
      <c r="B1164"/>
      <c r="C1164"/>
      <c r="D1164"/>
      <c r="E1164"/>
      <c r="F1164"/>
      <c r="G1164"/>
      <c r="H1164"/>
      <c r="I1164"/>
    </row>
    <row r="1165" spans="1:9" ht="13.5" customHeight="1">
      <c r="A1165"/>
      <c r="B1165"/>
      <c r="C1165"/>
      <c r="D1165"/>
      <c r="E1165"/>
      <c r="F1165"/>
      <c r="G1165"/>
      <c r="H1165"/>
      <c r="I1165"/>
    </row>
    <row r="1166" spans="1:9" ht="13.5" customHeight="1">
      <c r="A1166"/>
      <c r="B1166"/>
      <c r="C1166"/>
      <c r="D1166"/>
      <c r="E1166"/>
      <c r="F1166"/>
      <c r="G1166"/>
      <c r="H1166"/>
      <c r="I1166"/>
    </row>
    <row r="1167" spans="1:9" ht="13.5" customHeight="1">
      <c r="A1167"/>
      <c r="B1167"/>
      <c r="C1167"/>
      <c r="D1167"/>
      <c r="E1167"/>
      <c r="F1167"/>
      <c r="G1167"/>
      <c r="H1167"/>
      <c r="I1167"/>
    </row>
    <row r="1168" spans="1:9" ht="13.5" customHeight="1">
      <c r="A1168"/>
      <c r="B1168"/>
      <c r="C1168"/>
      <c r="D1168"/>
      <c r="E1168"/>
      <c r="F1168"/>
      <c r="G1168"/>
      <c r="H1168"/>
      <c r="I1168"/>
    </row>
    <row r="1169" spans="1:9" ht="13.5" customHeight="1">
      <c r="A1169"/>
      <c r="B1169"/>
      <c r="C1169"/>
      <c r="D1169"/>
      <c r="E1169"/>
      <c r="F1169"/>
      <c r="G1169"/>
      <c r="H1169"/>
      <c r="I1169"/>
    </row>
    <row r="1170" spans="1:9" ht="13.5" customHeight="1">
      <c r="A1170"/>
      <c r="B1170"/>
      <c r="C1170"/>
      <c r="D1170"/>
      <c r="E1170"/>
      <c r="F1170"/>
      <c r="G1170"/>
      <c r="H1170"/>
      <c r="I1170"/>
    </row>
    <row r="1171" spans="1:9" ht="13.5" customHeight="1">
      <c r="A1171"/>
      <c r="B1171"/>
      <c r="C1171"/>
      <c r="D1171"/>
      <c r="E1171"/>
      <c r="F1171"/>
      <c r="G1171"/>
      <c r="H1171"/>
      <c r="I1171"/>
    </row>
    <row r="1172" spans="1:9" ht="13.5" customHeight="1">
      <c r="A1172"/>
      <c r="B1172"/>
      <c r="C1172"/>
      <c r="D1172"/>
      <c r="E1172"/>
      <c r="F1172"/>
      <c r="G1172"/>
      <c r="H1172"/>
      <c r="I1172"/>
    </row>
    <row r="1173" spans="1:9" ht="13.5" customHeight="1">
      <c r="A1173"/>
      <c r="B1173"/>
      <c r="C1173"/>
      <c r="D1173"/>
      <c r="E1173"/>
      <c r="F1173"/>
      <c r="G1173"/>
      <c r="H1173"/>
      <c r="I1173"/>
    </row>
    <row r="1174" spans="1:9" ht="13.5" customHeight="1">
      <c r="A1174"/>
      <c r="B1174"/>
      <c r="C1174"/>
      <c r="D1174"/>
      <c r="E1174"/>
      <c r="F1174"/>
      <c r="G1174"/>
      <c r="H1174"/>
      <c r="I1174"/>
    </row>
    <row r="1175" spans="1:9" ht="13.5" customHeight="1">
      <c r="A1175"/>
      <c r="B1175"/>
      <c r="C1175"/>
      <c r="D1175"/>
      <c r="E1175"/>
      <c r="F1175"/>
      <c r="G1175"/>
      <c r="H1175"/>
      <c r="I1175"/>
    </row>
    <row r="1176" spans="1:9" ht="13.5" customHeight="1">
      <c r="A1176"/>
      <c r="B1176"/>
      <c r="C1176"/>
      <c r="D1176"/>
      <c r="E1176"/>
      <c r="F1176"/>
      <c r="G1176"/>
      <c r="H1176"/>
      <c r="I1176"/>
    </row>
    <row r="1177" spans="1:9" ht="13.5" customHeight="1">
      <c r="A1177"/>
      <c r="B1177"/>
      <c r="C1177"/>
      <c r="D1177"/>
      <c r="E1177"/>
      <c r="F1177"/>
      <c r="G1177"/>
      <c r="H1177"/>
      <c r="I1177"/>
    </row>
    <row r="1178" spans="1:9" ht="13.5" customHeight="1">
      <c r="A1178"/>
      <c r="B1178"/>
      <c r="C1178"/>
      <c r="D1178"/>
      <c r="E1178"/>
      <c r="F1178"/>
      <c r="G1178"/>
      <c r="H1178"/>
      <c r="I1178"/>
    </row>
    <row r="1179" spans="1:9" ht="13.5" customHeight="1">
      <c r="A1179"/>
      <c r="B1179"/>
      <c r="C1179"/>
      <c r="D1179"/>
      <c r="E1179"/>
      <c r="F1179"/>
      <c r="G1179"/>
      <c r="H1179"/>
      <c r="I1179"/>
    </row>
    <row r="1180" spans="1:9" ht="13.5" customHeight="1">
      <c r="A1180"/>
      <c r="B1180"/>
      <c r="C1180"/>
      <c r="D1180"/>
      <c r="E1180"/>
      <c r="F1180"/>
      <c r="G1180"/>
      <c r="H1180"/>
      <c r="I1180"/>
    </row>
    <row r="1181" spans="1:9" ht="13.5" customHeight="1">
      <c r="A1181"/>
      <c r="B1181"/>
      <c r="C1181"/>
      <c r="D1181"/>
      <c r="E1181"/>
      <c r="F1181"/>
      <c r="G1181"/>
      <c r="H1181"/>
      <c r="I1181"/>
    </row>
    <row r="1182" spans="1:9" ht="13.5" customHeight="1">
      <c r="A1182"/>
      <c r="B1182"/>
      <c r="C1182"/>
      <c r="D1182"/>
      <c r="E1182"/>
      <c r="F1182"/>
      <c r="G1182"/>
      <c r="H1182"/>
      <c r="I1182"/>
    </row>
    <row r="1183" spans="1:9" ht="13.5" customHeight="1">
      <c r="A1183"/>
      <c r="B1183"/>
      <c r="C1183"/>
      <c r="D1183"/>
      <c r="E1183"/>
      <c r="F1183"/>
      <c r="G1183"/>
      <c r="H1183"/>
      <c r="I1183"/>
    </row>
    <row r="1184" spans="1:9" ht="13.5" customHeight="1">
      <c r="A1184"/>
      <c r="B1184"/>
      <c r="C1184"/>
      <c r="D1184"/>
      <c r="E1184"/>
      <c r="F1184"/>
      <c r="G1184"/>
      <c r="H1184"/>
      <c r="I1184"/>
    </row>
    <row r="1185" spans="1:9" ht="13.5" customHeight="1">
      <c r="A1185"/>
      <c r="B1185"/>
      <c r="C1185"/>
      <c r="D1185"/>
      <c r="E1185"/>
      <c r="F1185"/>
      <c r="G1185"/>
      <c r="H1185"/>
      <c r="I1185"/>
    </row>
    <row r="1186" spans="1:9" ht="13.5" customHeight="1">
      <c r="A1186"/>
      <c r="B1186"/>
      <c r="C1186"/>
      <c r="D1186"/>
      <c r="E1186"/>
      <c r="F1186"/>
      <c r="G1186"/>
      <c r="H1186"/>
      <c r="I1186"/>
    </row>
    <row r="1187" spans="1:9" ht="13.5" customHeight="1">
      <c r="A1187"/>
      <c r="B1187"/>
      <c r="C1187"/>
      <c r="D1187"/>
      <c r="E1187"/>
      <c r="F1187"/>
      <c r="G1187"/>
      <c r="H1187"/>
      <c r="I1187"/>
    </row>
    <row r="1188" spans="1:9" ht="13.5" customHeight="1">
      <c r="A1188"/>
      <c r="B1188"/>
      <c r="C1188"/>
      <c r="D1188"/>
      <c r="E1188"/>
      <c r="F1188"/>
      <c r="G1188"/>
      <c r="H1188"/>
      <c r="I1188"/>
    </row>
    <row r="1189" spans="1:9" ht="13.5" customHeight="1">
      <c r="A1189"/>
      <c r="B1189"/>
      <c r="C1189"/>
      <c r="D1189"/>
      <c r="E1189"/>
      <c r="F1189"/>
      <c r="G1189"/>
      <c r="H1189"/>
      <c r="I1189"/>
    </row>
    <row r="1190" spans="1:9" ht="13.5" customHeight="1">
      <c r="A1190"/>
      <c r="B1190"/>
      <c r="C1190"/>
      <c r="D1190"/>
      <c r="E1190"/>
      <c r="F1190"/>
      <c r="G1190"/>
      <c r="H1190"/>
      <c r="I1190"/>
    </row>
    <row r="1191" spans="1:9" ht="13.5" customHeight="1">
      <c r="A1191"/>
      <c r="B1191"/>
      <c r="C1191"/>
      <c r="D1191"/>
      <c r="E1191"/>
      <c r="F1191"/>
      <c r="G1191"/>
      <c r="H1191"/>
      <c r="I1191"/>
    </row>
    <row r="1192" spans="1:9" ht="13.5" customHeight="1">
      <c r="A1192"/>
      <c r="B1192"/>
      <c r="C1192"/>
      <c r="D1192"/>
      <c r="E1192"/>
      <c r="F1192"/>
      <c r="G1192"/>
      <c r="H1192"/>
      <c r="I1192"/>
    </row>
    <row r="1193" spans="1:9" ht="13.5" customHeight="1">
      <c r="A1193"/>
      <c r="B1193"/>
      <c r="C1193"/>
      <c r="D1193"/>
      <c r="E1193"/>
      <c r="F1193"/>
      <c r="G1193"/>
      <c r="H1193"/>
      <c r="I1193"/>
    </row>
    <row r="1194" spans="1:9" ht="13.5" customHeight="1">
      <c r="A1194"/>
      <c r="B1194"/>
      <c r="C1194"/>
      <c r="D1194"/>
      <c r="E1194"/>
      <c r="F1194"/>
      <c r="G1194"/>
      <c r="H1194"/>
      <c r="I1194"/>
    </row>
    <row r="1195" spans="1:9" ht="13.5" customHeight="1">
      <c r="A1195"/>
      <c r="B1195"/>
      <c r="C1195"/>
      <c r="D1195"/>
      <c r="E1195"/>
      <c r="F1195"/>
      <c r="G1195"/>
      <c r="H1195"/>
      <c r="I1195"/>
    </row>
    <row r="1196" spans="1:9" ht="13.5" customHeight="1">
      <c r="A1196"/>
      <c r="B1196"/>
      <c r="C1196"/>
      <c r="D1196"/>
      <c r="E1196"/>
      <c r="F1196"/>
      <c r="G1196"/>
      <c r="H1196"/>
      <c r="I1196"/>
    </row>
    <row r="1197" spans="1:9" ht="13.5" customHeight="1">
      <c r="A1197"/>
      <c r="B1197"/>
      <c r="C1197"/>
      <c r="D1197"/>
      <c r="E1197"/>
      <c r="F1197"/>
      <c r="G1197"/>
      <c r="H1197"/>
      <c r="I1197"/>
    </row>
    <row r="1198" spans="1:9" ht="13.5" customHeight="1">
      <c r="A1198"/>
      <c r="B1198"/>
      <c r="C1198"/>
      <c r="D1198"/>
      <c r="E1198"/>
      <c r="F1198"/>
      <c r="G1198"/>
      <c r="H1198"/>
      <c r="I1198"/>
    </row>
    <row r="1199" spans="1:9" ht="13.5" customHeight="1">
      <c r="A1199"/>
      <c r="B1199"/>
      <c r="C1199"/>
      <c r="D1199"/>
      <c r="E1199"/>
      <c r="F1199"/>
      <c r="G1199"/>
      <c r="H1199"/>
      <c r="I1199"/>
    </row>
    <row r="1200" spans="1:9" ht="13.5" customHeight="1">
      <c r="A1200"/>
      <c r="B1200"/>
      <c r="C1200"/>
      <c r="D1200"/>
      <c r="E1200"/>
      <c r="F1200"/>
      <c r="G1200"/>
      <c r="H1200"/>
      <c r="I1200"/>
    </row>
    <row r="1201" spans="1:9" ht="13.5" customHeight="1">
      <c r="A1201"/>
      <c r="B1201"/>
      <c r="C1201"/>
      <c r="D1201"/>
      <c r="E1201"/>
      <c r="F1201"/>
      <c r="G1201"/>
      <c r="H1201"/>
      <c r="I1201"/>
    </row>
    <row r="1202" spans="1:9" ht="13.5" customHeight="1">
      <c r="A1202"/>
      <c r="B1202"/>
      <c r="C1202"/>
      <c r="D1202"/>
      <c r="E1202"/>
      <c r="F1202"/>
      <c r="G1202"/>
      <c r="H1202"/>
      <c r="I1202"/>
    </row>
    <row r="1203" spans="1:9" ht="13.5" customHeight="1">
      <c r="A1203"/>
      <c r="B1203"/>
      <c r="C1203"/>
      <c r="D1203"/>
      <c r="E1203"/>
      <c r="F1203"/>
      <c r="G1203"/>
      <c r="H1203"/>
      <c r="I1203"/>
    </row>
    <row r="1204" spans="1:9" ht="13.5" customHeight="1">
      <c r="A1204"/>
      <c r="B1204"/>
      <c r="C1204"/>
      <c r="D1204"/>
      <c r="E1204"/>
      <c r="F1204"/>
      <c r="G1204"/>
      <c r="H1204"/>
      <c r="I1204"/>
    </row>
    <row r="1205" spans="1:9" ht="13.5" customHeight="1">
      <c r="A1205"/>
      <c r="B1205"/>
      <c r="C1205"/>
      <c r="D1205"/>
      <c r="E1205"/>
      <c r="F1205"/>
      <c r="G1205"/>
      <c r="H1205"/>
      <c r="I1205"/>
    </row>
    <row r="1206" spans="1:9" ht="13.5" customHeight="1">
      <c r="A1206"/>
      <c r="B1206"/>
      <c r="C1206"/>
      <c r="D1206"/>
      <c r="E1206"/>
      <c r="F1206"/>
      <c r="G1206"/>
      <c r="H1206"/>
      <c r="I1206"/>
    </row>
    <row r="1207" spans="1:9" ht="13.5" customHeight="1">
      <c r="A1207"/>
      <c r="B1207"/>
      <c r="C1207"/>
      <c r="D1207"/>
      <c r="E1207"/>
      <c r="F1207"/>
      <c r="G1207"/>
      <c r="H1207"/>
      <c r="I1207"/>
    </row>
    <row r="1208" spans="1:9" ht="13.5" customHeight="1">
      <c r="A1208"/>
      <c r="B1208"/>
      <c r="C1208"/>
      <c r="D1208"/>
      <c r="E1208"/>
      <c r="F1208"/>
      <c r="G1208"/>
      <c r="H1208"/>
      <c r="I1208"/>
    </row>
    <row r="1209" spans="1:9" ht="13.5" customHeight="1">
      <c r="A1209"/>
      <c r="B1209"/>
      <c r="C1209"/>
      <c r="D1209"/>
      <c r="E1209"/>
      <c r="F1209"/>
      <c r="G1209"/>
      <c r="H1209"/>
      <c r="I1209"/>
    </row>
    <row r="1210" spans="1:9" ht="13.5" customHeight="1">
      <c r="A1210"/>
      <c r="B1210"/>
      <c r="C1210"/>
      <c r="D1210"/>
      <c r="E1210"/>
      <c r="F1210"/>
      <c r="G1210"/>
      <c r="H1210"/>
      <c r="I1210"/>
    </row>
    <row r="1211" spans="1:9" ht="13.5" customHeight="1">
      <c r="A1211"/>
      <c r="B1211"/>
      <c r="C1211"/>
      <c r="D1211"/>
      <c r="E1211"/>
      <c r="F1211"/>
      <c r="G1211"/>
      <c r="H1211"/>
      <c r="I1211"/>
    </row>
    <row r="1212" spans="1:9" ht="13.5" customHeight="1">
      <c r="A1212"/>
      <c r="B1212"/>
      <c r="C1212"/>
      <c r="D1212"/>
      <c r="E1212"/>
      <c r="F1212"/>
      <c r="G1212"/>
      <c r="H1212"/>
      <c r="I1212"/>
    </row>
    <row r="1213" spans="1:9" ht="13.5" customHeight="1">
      <c r="A1213"/>
      <c r="B1213"/>
      <c r="C1213"/>
      <c r="D1213"/>
      <c r="E1213"/>
      <c r="F1213"/>
      <c r="G1213"/>
      <c r="H1213"/>
      <c r="I1213"/>
    </row>
    <row r="1214" spans="1:9" ht="13.5" customHeight="1">
      <c r="A1214"/>
      <c r="B1214"/>
      <c r="C1214"/>
      <c r="D1214"/>
      <c r="E1214"/>
      <c r="F1214"/>
      <c r="G1214"/>
      <c r="H1214"/>
      <c r="I1214"/>
    </row>
    <row r="1215" spans="1:9" ht="13.5" customHeight="1">
      <c r="A1215"/>
      <c r="B1215"/>
      <c r="C1215"/>
      <c r="D1215"/>
      <c r="E1215"/>
      <c r="F1215"/>
      <c r="G1215"/>
      <c r="H1215"/>
      <c r="I1215"/>
    </row>
    <row r="1216" spans="1:9" ht="13.5" customHeight="1">
      <c r="A1216"/>
      <c r="B1216"/>
      <c r="C1216"/>
      <c r="D1216"/>
      <c r="E1216"/>
      <c r="F1216"/>
      <c r="G1216"/>
      <c r="H1216"/>
      <c r="I1216"/>
    </row>
    <row r="1217" spans="1:9" ht="13.5" customHeight="1">
      <c r="A1217"/>
      <c r="B1217"/>
      <c r="C1217"/>
      <c r="D1217"/>
      <c r="E1217"/>
      <c r="F1217"/>
      <c r="G1217"/>
      <c r="H1217"/>
      <c r="I1217"/>
    </row>
    <row r="1218" spans="1:9" ht="13.5" customHeight="1">
      <c r="A1218"/>
      <c r="B1218"/>
      <c r="C1218"/>
      <c r="D1218"/>
      <c r="E1218"/>
      <c r="F1218"/>
      <c r="G1218"/>
      <c r="H1218"/>
      <c r="I1218"/>
    </row>
    <row r="1219" spans="1:9" ht="13.5" customHeight="1">
      <c r="A1219"/>
      <c r="B1219"/>
      <c r="C1219"/>
      <c r="D1219"/>
      <c r="E1219"/>
      <c r="F1219"/>
      <c r="G1219"/>
      <c r="H1219"/>
      <c r="I1219"/>
    </row>
    <row r="1220" spans="1:9" ht="13.5" customHeight="1">
      <c r="A1220"/>
      <c r="B1220"/>
      <c r="C1220"/>
      <c r="D1220"/>
      <c r="E1220"/>
      <c r="F1220"/>
      <c r="G1220"/>
      <c r="H1220"/>
      <c r="I1220"/>
    </row>
    <row r="1221" spans="1:9" ht="13.5" customHeight="1">
      <c r="A1221"/>
      <c r="B1221"/>
      <c r="C1221"/>
      <c r="D1221"/>
      <c r="E1221"/>
      <c r="F1221"/>
      <c r="G1221"/>
      <c r="H1221"/>
      <c r="I1221"/>
    </row>
    <row r="1222" spans="1:9" ht="13.5" customHeight="1">
      <c r="A1222"/>
      <c r="B1222"/>
      <c r="C1222"/>
      <c r="D1222"/>
      <c r="E1222"/>
      <c r="F1222"/>
      <c r="G1222"/>
      <c r="H1222"/>
      <c r="I1222"/>
    </row>
    <row r="1223" spans="1:9" ht="13.5" customHeight="1">
      <c r="A1223"/>
      <c r="B1223"/>
      <c r="C1223"/>
      <c r="D1223"/>
      <c r="E1223"/>
      <c r="F1223"/>
      <c r="G1223"/>
      <c r="H1223"/>
      <c r="I1223"/>
    </row>
    <row r="1224" spans="1:9" ht="13.5" customHeight="1">
      <c r="A1224"/>
      <c r="B1224"/>
      <c r="C1224"/>
      <c r="D1224"/>
      <c r="E1224"/>
      <c r="F1224"/>
      <c r="G1224"/>
      <c r="H1224"/>
      <c r="I1224"/>
    </row>
    <row r="1225" spans="1:9" ht="13.5" customHeight="1">
      <c r="A1225"/>
      <c r="B1225"/>
      <c r="C1225"/>
      <c r="D1225"/>
      <c r="E1225"/>
      <c r="F1225"/>
      <c r="G1225"/>
      <c r="H1225"/>
      <c r="I1225"/>
    </row>
    <row r="1226" spans="1:9" ht="13.5" customHeight="1">
      <c r="A1226"/>
      <c r="B1226"/>
      <c r="C1226"/>
      <c r="D1226"/>
      <c r="E1226"/>
      <c r="F1226"/>
      <c r="G1226"/>
      <c r="H1226"/>
      <c r="I1226"/>
    </row>
    <row r="1227" spans="1:9" ht="13.5" customHeight="1">
      <c r="A1227"/>
      <c r="B1227"/>
      <c r="C1227"/>
      <c r="D1227"/>
      <c r="E1227"/>
      <c r="F1227"/>
      <c r="G1227"/>
      <c r="H1227"/>
      <c r="I1227"/>
    </row>
    <row r="1228" spans="1:9" ht="13.5" customHeight="1">
      <c r="A1228"/>
      <c r="B1228"/>
      <c r="C1228"/>
      <c r="D1228"/>
      <c r="E1228"/>
      <c r="F1228"/>
      <c r="G1228"/>
      <c r="H1228"/>
      <c r="I1228"/>
    </row>
    <row r="1229" spans="1:9" ht="13.5" customHeight="1">
      <c r="A1229"/>
      <c r="B1229"/>
      <c r="C1229"/>
      <c r="D1229"/>
      <c r="E1229"/>
      <c r="F1229"/>
      <c r="G1229"/>
      <c r="H1229"/>
      <c r="I1229"/>
    </row>
    <row r="1230" spans="1:9" ht="13.5" customHeight="1">
      <c r="A1230"/>
      <c r="B1230"/>
      <c r="C1230"/>
      <c r="D1230"/>
      <c r="E1230"/>
      <c r="F1230"/>
      <c r="G1230"/>
      <c r="H1230"/>
      <c r="I1230"/>
    </row>
    <row r="1231" spans="1:9" ht="13.5" customHeight="1">
      <c r="A1231"/>
      <c r="B1231"/>
      <c r="C1231"/>
      <c r="D1231"/>
      <c r="E1231"/>
      <c r="F1231"/>
      <c r="G1231"/>
      <c r="H1231"/>
      <c r="I1231"/>
    </row>
    <row r="1232" spans="1:9" ht="13.5" customHeight="1">
      <c r="A1232"/>
      <c r="B1232"/>
      <c r="C1232"/>
      <c r="D1232"/>
      <c r="E1232"/>
      <c r="F1232"/>
      <c r="G1232"/>
      <c r="H1232"/>
      <c r="I1232"/>
    </row>
    <row r="1233" spans="1:9" ht="13.5" customHeight="1">
      <c r="A1233"/>
      <c r="B1233"/>
      <c r="C1233"/>
      <c r="D1233"/>
      <c r="E1233"/>
      <c r="F1233"/>
      <c r="G1233"/>
      <c r="H1233"/>
      <c r="I1233"/>
    </row>
    <row r="1234" spans="1:9" ht="13.5" customHeight="1">
      <c r="A1234"/>
      <c r="B1234"/>
      <c r="C1234"/>
      <c r="D1234"/>
      <c r="E1234"/>
      <c r="F1234"/>
      <c r="G1234"/>
      <c r="H1234"/>
      <c r="I1234"/>
    </row>
    <row r="1235" spans="1:9" ht="13.5" customHeight="1">
      <c r="A1235"/>
      <c r="B1235"/>
      <c r="C1235"/>
      <c r="D1235"/>
      <c r="E1235"/>
      <c r="F1235"/>
      <c r="G1235"/>
      <c r="H1235"/>
      <c r="I1235"/>
    </row>
    <row r="1236" spans="1:9" ht="13.5" customHeight="1">
      <c r="A1236"/>
      <c r="B1236"/>
      <c r="C1236"/>
      <c r="D1236"/>
      <c r="E1236"/>
      <c r="F1236"/>
      <c r="G1236"/>
      <c r="H1236"/>
      <c r="I1236"/>
    </row>
    <row r="1237" spans="1:9" ht="13.5" customHeight="1">
      <c r="A1237"/>
      <c r="B1237"/>
      <c r="C1237"/>
      <c r="D1237"/>
      <c r="E1237"/>
      <c r="F1237"/>
      <c r="G1237"/>
      <c r="H1237"/>
      <c r="I1237"/>
    </row>
    <row r="1238" spans="1:9" ht="13.5" customHeight="1">
      <c r="A1238"/>
      <c r="B1238"/>
      <c r="C1238"/>
      <c r="D1238"/>
      <c r="E1238"/>
      <c r="F1238"/>
      <c r="G1238"/>
      <c r="H1238"/>
      <c r="I1238"/>
    </row>
    <row r="1239" spans="1:9" ht="13.5" customHeight="1">
      <c r="A1239"/>
      <c r="B1239"/>
      <c r="C1239"/>
      <c r="D1239"/>
      <c r="E1239"/>
      <c r="F1239"/>
      <c r="G1239"/>
      <c r="H1239"/>
      <c r="I1239"/>
    </row>
    <row r="1240" spans="1:9" ht="13.5" customHeight="1">
      <c r="A1240"/>
      <c r="B1240"/>
      <c r="C1240"/>
      <c r="D1240"/>
      <c r="E1240"/>
      <c r="F1240"/>
      <c r="G1240"/>
      <c r="H1240"/>
      <c r="I1240"/>
    </row>
    <row r="1241" spans="1:9" ht="13.5" customHeight="1">
      <c r="A1241"/>
      <c r="B1241"/>
      <c r="C1241"/>
      <c r="D1241"/>
      <c r="E1241"/>
      <c r="F1241"/>
      <c r="G1241"/>
      <c r="H1241"/>
      <c r="I1241"/>
    </row>
    <row r="1242" spans="1:9" ht="13.5" customHeight="1">
      <c r="A1242"/>
      <c r="B1242"/>
      <c r="C1242"/>
      <c r="D1242"/>
      <c r="E1242"/>
      <c r="F1242"/>
      <c r="G1242"/>
      <c r="H1242"/>
      <c r="I1242"/>
    </row>
    <row r="1243" spans="1:9" ht="13.5" customHeight="1">
      <c r="A1243"/>
      <c r="B1243"/>
      <c r="C1243"/>
      <c r="D1243"/>
      <c r="E1243"/>
      <c r="F1243"/>
      <c r="G1243"/>
      <c r="H1243"/>
      <c r="I1243"/>
    </row>
    <row r="1244" spans="1:9" ht="13.5" customHeight="1">
      <c r="A1244"/>
      <c r="B1244"/>
      <c r="C1244"/>
      <c r="D1244"/>
      <c r="E1244"/>
      <c r="F1244"/>
      <c r="G1244"/>
      <c r="H1244"/>
      <c r="I1244"/>
    </row>
    <row r="1245" spans="1:9" ht="13.5" customHeight="1">
      <c r="A1245"/>
      <c r="B1245"/>
      <c r="C1245"/>
      <c r="D1245"/>
      <c r="E1245"/>
      <c r="F1245"/>
      <c r="G1245"/>
      <c r="H1245"/>
      <c r="I1245"/>
    </row>
    <row r="1246" spans="1:9" ht="13.5" customHeight="1">
      <c r="A1246"/>
      <c r="B1246"/>
      <c r="C1246"/>
      <c r="D1246"/>
      <c r="E1246"/>
      <c r="F1246"/>
      <c r="G1246"/>
      <c r="H1246"/>
      <c r="I1246"/>
    </row>
    <row r="1247" spans="1:9" ht="13.5" customHeight="1">
      <c r="A1247"/>
      <c r="B1247"/>
      <c r="C1247"/>
      <c r="D1247"/>
      <c r="E1247"/>
      <c r="F1247"/>
      <c r="G1247"/>
      <c r="H1247"/>
      <c r="I1247"/>
    </row>
    <row r="1248" spans="1:9" ht="13.5" customHeight="1">
      <c r="A1248"/>
      <c r="B1248"/>
      <c r="C1248"/>
      <c r="D1248"/>
      <c r="E1248"/>
      <c r="F1248"/>
      <c r="G1248"/>
      <c r="H1248"/>
      <c r="I1248"/>
    </row>
    <row r="1249" spans="1:9" ht="13.5" customHeight="1">
      <c r="A1249"/>
      <c r="B1249"/>
      <c r="C1249"/>
      <c r="D1249"/>
      <c r="E1249"/>
      <c r="F1249"/>
      <c r="G1249"/>
      <c r="H1249"/>
      <c r="I1249"/>
    </row>
    <row r="1250" spans="1:9" ht="13.5" customHeight="1">
      <c r="A1250"/>
      <c r="B1250"/>
      <c r="C1250"/>
      <c r="D1250"/>
      <c r="E1250"/>
      <c r="F1250"/>
      <c r="G1250"/>
      <c r="H1250"/>
      <c r="I1250"/>
    </row>
    <row r="1251" spans="1:9" ht="13.5" customHeight="1">
      <c r="A1251"/>
      <c r="B1251"/>
      <c r="C1251"/>
      <c r="D1251"/>
      <c r="E1251"/>
      <c r="F1251"/>
      <c r="G1251"/>
      <c r="H1251"/>
      <c r="I1251"/>
    </row>
    <row r="1252" spans="1:9" ht="13.5" customHeight="1">
      <c r="A1252"/>
      <c r="B1252"/>
      <c r="C1252"/>
      <c r="D1252"/>
      <c r="E1252"/>
      <c r="F1252"/>
      <c r="G1252"/>
      <c r="H1252"/>
      <c r="I1252"/>
    </row>
    <row r="1253" spans="1:9" ht="13.5" customHeight="1">
      <c r="A1253"/>
      <c r="B1253"/>
      <c r="C1253"/>
      <c r="D1253"/>
      <c r="E1253"/>
      <c r="F1253"/>
      <c r="G1253"/>
      <c r="H1253"/>
      <c r="I1253"/>
    </row>
    <row r="1254" spans="1:9" ht="13.5" customHeight="1">
      <c r="A1254"/>
      <c r="B1254"/>
      <c r="C1254"/>
      <c r="D1254"/>
      <c r="E1254"/>
      <c r="F1254"/>
      <c r="G1254"/>
      <c r="H1254"/>
      <c r="I1254"/>
    </row>
    <row r="1255" spans="1:9" ht="13.5" customHeight="1">
      <c r="A1255"/>
      <c r="B1255"/>
      <c r="C1255"/>
      <c r="D1255"/>
      <c r="E1255"/>
      <c r="F1255"/>
      <c r="G1255"/>
      <c r="H1255"/>
      <c r="I1255"/>
    </row>
    <row r="1256" spans="1:9" ht="13.5" customHeight="1">
      <c r="A1256"/>
      <c r="B1256"/>
      <c r="C1256"/>
      <c r="D1256"/>
      <c r="E1256"/>
      <c r="F1256"/>
      <c r="G1256"/>
      <c r="H1256"/>
      <c r="I1256"/>
    </row>
    <row r="1257" spans="1:9" ht="13.5" customHeight="1">
      <c r="A1257"/>
      <c r="B1257"/>
      <c r="C1257"/>
      <c r="D1257"/>
      <c r="E1257"/>
      <c r="F1257"/>
      <c r="G1257"/>
      <c r="H1257"/>
      <c r="I1257"/>
    </row>
    <row r="1258" spans="1:9" ht="13.5" customHeight="1">
      <c r="A1258"/>
      <c r="B1258"/>
      <c r="C1258"/>
      <c r="D1258"/>
      <c r="E1258"/>
      <c r="F1258"/>
      <c r="G1258"/>
      <c r="H1258"/>
      <c r="I1258"/>
    </row>
    <row r="1259" spans="1:9" ht="13.5" customHeight="1">
      <c r="A1259"/>
      <c r="B1259"/>
      <c r="C1259"/>
      <c r="D1259"/>
      <c r="E1259"/>
      <c r="F1259"/>
      <c r="G1259"/>
      <c r="H1259"/>
      <c r="I1259"/>
    </row>
    <row r="1260" spans="1:9" ht="13.5" customHeight="1">
      <c r="A1260"/>
      <c r="B1260"/>
      <c r="C1260"/>
      <c r="D1260"/>
      <c r="E1260"/>
      <c r="F1260"/>
      <c r="G1260"/>
      <c r="H1260"/>
      <c r="I1260"/>
    </row>
    <row r="1261" spans="1:9" ht="13.5" customHeight="1">
      <c r="A1261"/>
      <c r="B1261"/>
      <c r="C1261"/>
      <c r="D1261"/>
      <c r="E1261"/>
      <c r="F1261"/>
      <c r="G1261"/>
      <c r="H1261"/>
      <c r="I1261"/>
    </row>
    <row r="1262" spans="1:9" ht="13.5" customHeight="1">
      <c r="A1262"/>
      <c r="B1262"/>
      <c r="C1262"/>
      <c r="D1262"/>
      <c r="E1262"/>
      <c r="F1262"/>
      <c r="G1262"/>
      <c r="H1262"/>
      <c r="I1262"/>
    </row>
    <row r="1263" spans="1:9" ht="13.5" customHeight="1">
      <c r="A1263"/>
      <c r="B1263"/>
      <c r="C1263"/>
      <c r="D1263"/>
      <c r="E1263"/>
      <c r="F1263"/>
      <c r="G1263"/>
      <c r="H1263"/>
      <c r="I1263"/>
    </row>
    <row r="1264" spans="1:9" ht="13.5" customHeight="1">
      <c r="A1264"/>
      <c r="B1264"/>
      <c r="C1264"/>
      <c r="D1264"/>
      <c r="E1264"/>
      <c r="F1264"/>
      <c r="G1264"/>
      <c r="H1264"/>
      <c r="I1264"/>
    </row>
    <row r="1265" spans="1:9" ht="13.5" customHeight="1">
      <c r="A1265"/>
      <c r="B1265"/>
      <c r="C1265"/>
      <c r="D1265"/>
      <c r="E1265"/>
      <c r="F1265"/>
      <c r="G1265"/>
      <c r="H1265"/>
      <c r="I1265"/>
    </row>
    <row r="1266" spans="1:9" ht="13.5" customHeight="1">
      <c r="A1266"/>
      <c r="B1266"/>
      <c r="C1266"/>
      <c r="D1266"/>
      <c r="E1266"/>
      <c r="F1266"/>
      <c r="G1266"/>
      <c r="H1266"/>
      <c r="I1266"/>
    </row>
    <row r="1267" spans="1:9" ht="13.5" customHeight="1">
      <c r="A1267"/>
      <c r="B1267"/>
      <c r="C1267"/>
      <c r="D1267"/>
      <c r="E1267"/>
      <c r="F1267"/>
      <c r="G1267"/>
      <c r="H1267"/>
      <c r="I1267"/>
    </row>
    <row r="1268" spans="1:9" ht="13.5" customHeight="1">
      <c r="A1268"/>
      <c r="B1268"/>
      <c r="C1268"/>
      <c r="D1268"/>
      <c r="E1268"/>
      <c r="F1268"/>
      <c r="G1268"/>
      <c r="H1268"/>
      <c r="I1268"/>
    </row>
    <row r="1269" spans="1:9" ht="13.5" customHeight="1">
      <c r="A1269"/>
      <c r="B1269"/>
      <c r="C1269"/>
      <c r="D1269"/>
      <c r="E1269"/>
      <c r="F1269"/>
      <c r="G1269"/>
      <c r="H1269"/>
      <c r="I1269"/>
    </row>
    <row r="1270" spans="1:9" ht="13.5" customHeight="1">
      <c r="A1270"/>
      <c r="B1270"/>
      <c r="C1270"/>
      <c r="D1270"/>
      <c r="E1270"/>
      <c r="F1270"/>
      <c r="G1270"/>
      <c r="H1270"/>
      <c r="I1270"/>
    </row>
    <row r="1271" spans="1:9" ht="13.5" customHeight="1">
      <c r="A1271"/>
      <c r="B1271"/>
      <c r="C1271"/>
      <c r="D1271"/>
      <c r="E1271"/>
      <c r="F1271"/>
      <c r="G1271"/>
      <c r="H1271"/>
      <c r="I1271"/>
    </row>
    <row r="1272" spans="1:9" ht="13.5" customHeight="1">
      <c r="A1272"/>
      <c r="B1272"/>
      <c r="C1272"/>
      <c r="D1272"/>
      <c r="E1272"/>
      <c r="F1272"/>
      <c r="G1272"/>
      <c r="H1272"/>
      <c r="I1272"/>
    </row>
    <row r="1273" spans="1:9" ht="13.5" customHeight="1">
      <c r="A1273"/>
      <c r="B1273"/>
      <c r="C1273"/>
      <c r="D1273"/>
      <c r="E1273"/>
      <c r="F1273"/>
      <c r="G1273"/>
      <c r="H1273"/>
      <c r="I1273"/>
    </row>
    <row r="1274" spans="1:9" ht="13.5" customHeight="1">
      <c r="A1274"/>
      <c r="B1274"/>
      <c r="C1274"/>
      <c r="D1274"/>
      <c r="E1274"/>
      <c r="F1274"/>
      <c r="G1274"/>
      <c r="H1274"/>
      <c r="I1274"/>
    </row>
    <row r="1275" spans="1:9" ht="13.5" customHeight="1">
      <c r="A1275"/>
      <c r="B1275"/>
      <c r="C1275"/>
      <c r="D1275"/>
      <c r="E1275"/>
      <c r="F1275"/>
      <c r="G1275"/>
      <c r="H1275"/>
      <c r="I1275"/>
    </row>
    <row r="1276" spans="1:9" ht="13.5" customHeight="1">
      <c r="A1276"/>
      <c r="B1276"/>
      <c r="C1276"/>
      <c r="D1276"/>
      <c r="E1276"/>
      <c r="F1276"/>
      <c r="G1276"/>
      <c r="H1276"/>
      <c r="I1276"/>
    </row>
    <row r="1277" spans="1:9" ht="13.5" customHeight="1">
      <c r="A1277"/>
      <c r="B1277"/>
      <c r="C1277"/>
      <c r="D1277"/>
      <c r="E1277"/>
      <c r="F1277"/>
      <c r="G1277"/>
      <c r="H1277"/>
      <c r="I1277"/>
    </row>
    <row r="1278" spans="1:9" ht="13.5" customHeight="1">
      <c r="A1278"/>
      <c r="B1278"/>
      <c r="C1278"/>
      <c r="D1278"/>
      <c r="E1278"/>
      <c r="F1278"/>
      <c r="G1278"/>
      <c r="H1278"/>
      <c r="I1278"/>
    </row>
    <row r="1279" spans="1:9" ht="13.5" customHeight="1">
      <c r="A1279"/>
      <c r="B1279"/>
      <c r="C1279"/>
      <c r="D1279"/>
      <c r="E1279"/>
      <c r="F1279"/>
      <c r="G1279"/>
      <c r="H1279"/>
      <c r="I1279"/>
    </row>
    <row r="1280" spans="1:9" ht="13.5" customHeight="1">
      <c r="A1280"/>
      <c r="B1280"/>
      <c r="C1280"/>
      <c r="D1280"/>
      <c r="E1280"/>
      <c r="F1280"/>
      <c r="G1280"/>
      <c r="H1280"/>
      <c r="I1280"/>
    </row>
    <row r="1281" spans="1:9" ht="13.5" customHeight="1">
      <c r="A1281"/>
      <c r="B1281"/>
      <c r="C1281"/>
      <c r="D1281"/>
      <c r="E1281"/>
      <c r="F1281"/>
      <c r="G1281"/>
      <c r="H1281"/>
      <c r="I1281"/>
    </row>
    <row r="1282" spans="1:9" ht="13.5" customHeight="1">
      <c r="A1282"/>
      <c r="B1282"/>
      <c r="C1282"/>
      <c r="D1282"/>
      <c r="E1282"/>
      <c r="F1282"/>
      <c r="G1282"/>
      <c r="H1282"/>
      <c r="I1282"/>
    </row>
    <row r="1283" spans="1:9" ht="13.5" customHeight="1">
      <c r="A1283"/>
      <c r="B1283"/>
      <c r="C1283"/>
      <c r="D1283"/>
      <c r="E1283"/>
      <c r="F1283"/>
      <c r="G1283"/>
      <c r="H1283"/>
      <c r="I1283"/>
    </row>
    <row r="1284" spans="1:9" ht="13.5" customHeight="1">
      <c r="A1284"/>
      <c r="B1284"/>
      <c r="C1284"/>
      <c r="D1284"/>
      <c r="E1284"/>
      <c r="F1284"/>
      <c r="G1284"/>
      <c r="H1284"/>
      <c r="I1284"/>
    </row>
    <row r="1285" spans="1:9" ht="13.5" customHeight="1">
      <c r="A1285"/>
      <c r="B1285"/>
      <c r="C1285"/>
      <c r="D1285"/>
      <c r="E1285"/>
      <c r="F1285"/>
      <c r="G1285"/>
      <c r="H1285"/>
      <c r="I1285"/>
    </row>
    <row r="1286" spans="1:9" ht="13.5" customHeight="1">
      <c r="A1286"/>
      <c r="B1286"/>
      <c r="C1286"/>
      <c r="D1286"/>
      <c r="E1286"/>
      <c r="F1286"/>
      <c r="G1286"/>
      <c r="H1286"/>
      <c r="I1286"/>
    </row>
    <row r="1287" spans="1:9" ht="13.5" customHeight="1">
      <c r="A1287"/>
      <c r="B1287"/>
      <c r="C1287"/>
      <c r="D1287"/>
      <c r="E1287"/>
      <c r="F1287"/>
      <c r="G1287"/>
      <c r="H1287"/>
      <c r="I1287"/>
    </row>
    <row r="1288" spans="1:9" ht="13.5" customHeight="1">
      <c r="A1288"/>
      <c r="B1288"/>
      <c r="C1288"/>
      <c r="D1288"/>
      <c r="E1288"/>
      <c r="F1288"/>
      <c r="G1288"/>
      <c r="H1288"/>
      <c r="I1288"/>
    </row>
    <row r="1289" spans="1:9" ht="13.5" customHeight="1">
      <c r="A1289"/>
      <c r="B1289"/>
      <c r="C1289"/>
      <c r="D1289"/>
      <c r="E1289"/>
      <c r="F1289"/>
      <c r="G1289"/>
      <c r="H1289"/>
      <c r="I1289"/>
    </row>
    <row r="1290" spans="1:9" ht="13.5" customHeight="1">
      <c r="A1290"/>
      <c r="B1290"/>
      <c r="C1290"/>
      <c r="D1290"/>
      <c r="E1290"/>
      <c r="F1290"/>
      <c r="G1290"/>
      <c r="H1290"/>
      <c r="I1290"/>
    </row>
    <row r="1291" spans="1:9" ht="13.5" customHeight="1">
      <c r="A1291"/>
      <c r="B1291"/>
      <c r="C1291"/>
      <c r="D1291"/>
      <c r="E1291"/>
      <c r="F1291"/>
      <c r="G1291"/>
      <c r="H1291"/>
      <c r="I1291"/>
    </row>
    <row r="1292" spans="1:9" ht="13.5" customHeight="1">
      <c r="A1292"/>
      <c r="B1292"/>
      <c r="C1292"/>
      <c r="D1292"/>
      <c r="E1292"/>
      <c r="F1292"/>
      <c r="G1292"/>
      <c r="H1292"/>
      <c r="I1292"/>
    </row>
    <row r="1293" spans="1:9" ht="13.5" customHeight="1">
      <c r="A1293"/>
      <c r="B1293"/>
      <c r="C1293"/>
      <c r="D1293"/>
      <c r="E1293"/>
      <c r="F1293"/>
      <c r="G1293"/>
      <c r="H1293"/>
      <c r="I1293"/>
    </row>
    <row r="1294" spans="1:9" ht="13.5" customHeight="1">
      <c r="A1294"/>
      <c r="B1294"/>
      <c r="C1294"/>
      <c r="D1294"/>
      <c r="E1294"/>
      <c r="F1294"/>
      <c r="G1294"/>
      <c r="H1294"/>
      <c r="I1294"/>
    </row>
    <row r="1295" spans="1:9" ht="13.5" customHeight="1">
      <c r="A1295"/>
      <c r="B1295"/>
      <c r="C1295"/>
      <c r="D1295"/>
      <c r="E1295"/>
      <c r="F1295"/>
      <c r="G1295"/>
      <c r="H1295"/>
      <c r="I1295"/>
    </row>
    <row r="1296" spans="1:9" ht="13.5" customHeight="1">
      <c r="A1296"/>
      <c r="B1296"/>
      <c r="C1296"/>
      <c r="D1296"/>
      <c r="E1296"/>
      <c r="F1296"/>
      <c r="G1296"/>
      <c r="H1296"/>
      <c r="I1296"/>
    </row>
    <row r="1297" spans="1:9" ht="13.5" customHeight="1">
      <c r="A1297"/>
      <c r="B1297"/>
      <c r="C1297"/>
      <c r="D1297"/>
      <c r="E1297"/>
      <c r="F1297"/>
      <c r="G1297"/>
      <c r="H1297"/>
      <c r="I1297"/>
    </row>
    <row r="1298" spans="1:9" ht="13.5" customHeight="1">
      <c r="A1298"/>
      <c r="B1298"/>
      <c r="C1298"/>
      <c r="D1298"/>
      <c r="E1298"/>
      <c r="F1298"/>
      <c r="G1298"/>
      <c r="H1298"/>
      <c r="I1298"/>
    </row>
    <row r="1299" spans="1:9" ht="13.5" customHeight="1">
      <c r="A1299"/>
      <c r="B1299"/>
      <c r="C1299"/>
      <c r="D1299"/>
      <c r="E1299"/>
      <c r="F1299"/>
      <c r="G1299"/>
      <c r="H1299"/>
      <c r="I1299"/>
    </row>
    <row r="1300" spans="1:9" ht="13.5" customHeight="1">
      <c r="A1300"/>
      <c r="B1300"/>
      <c r="C1300"/>
      <c r="D1300"/>
      <c r="E1300"/>
      <c r="F1300"/>
      <c r="G1300"/>
      <c r="H1300"/>
      <c r="I1300"/>
    </row>
    <row r="1301" spans="1:9" ht="13.5" customHeight="1">
      <c r="A1301"/>
      <c r="B1301"/>
      <c r="C1301"/>
      <c r="D1301"/>
      <c r="E1301"/>
      <c r="F1301"/>
      <c r="G1301"/>
      <c r="H1301"/>
      <c r="I1301"/>
    </row>
    <row r="1302" spans="1:9" ht="13.5" customHeight="1">
      <c r="A1302"/>
      <c r="B1302"/>
      <c r="C1302"/>
      <c r="D1302"/>
      <c r="E1302"/>
      <c r="F1302"/>
      <c r="G1302"/>
      <c r="H1302"/>
      <c r="I1302"/>
    </row>
    <row r="1303" spans="1:9" ht="13.5" customHeight="1">
      <c r="A1303"/>
      <c r="B1303"/>
      <c r="C1303"/>
      <c r="D1303"/>
      <c r="E1303"/>
      <c r="F1303"/>
      <c r="G1303"/>
      <c r="H1303"/>
      <c r="I1303"/>
    </row>
    <row r="1304" spans="1:9" ht="13.5" customHeight="1">
      <c r="A1304"/>
      <c r="B1304"/>
      <c r="C1304"/>
      <c r="D1304"/>
      <c r="E1304"/>
      <c r="F1304"/>
      <c r="G1304"/>
      <c r="H1304"/>
      <c r="I1304"/>
    </row>
    <row r="1305" spans="1:9" ht="13.5" customHeight="1">
      <c r="A1305"/>
      <c r="B1305"/>
      <c r="C1305"/>
      <c r="D1305"/>
      <c r="E1305"/>
      <c r="F1305"/>
      <c r="G1305"/>
      <c r="H1305"/>
      <c r="I1305"/>
    </row>
    <row r="1306" spans="1:9" ht="13.5" customHeight="1">
      <c r="A1306"/>
      <c r="B1306"/>
      <c r="C1306"/>
      <c r="D1306"/>
      <c r="E1306"/>
      <c r="F1306"/>
      <c r="G1306"/>
      <c r="H1306"/>
      <c r="I1306"/>
    </row>
    <row r="1307" spans="1:9" ht="13.5" customHeight="1">
      <c r="A1307"/>
      <c r="B1307"/>
      <c r="C1307"/>
      <c r="D1307"/>
      <c r="E1307"/>
      <c r="F1307"/>
      <c r="G1307"/>
      <c r="H1307"/>
      <c r="I1307"/>
    </row>
    <row r="1308" spans="1:9" ht="13.5" customHeight="1">
      <c r="A1308"/>
      <c r="B1308"/>
      <c r="C1308"/>
      <c r="D1308"/>
      <c r="E1308"/>
      <c r="F1308"/>
      <c r="G1308"/>
      <c r="H1308"/>
      <c r="I1308"/>
    </row>
    <row r="1309" spans="1:9" ht="13.5" customHeight="1">
      <c r="A1309"/>
      <c r="B1309"/>
      <c r="C1309"/>
      <c r="D1309"/>
      <c r="E1309"/>
      <c r="F1309"/>
      <c r="G1309"/>
      <c r="H1309"/>
      <c r="I1309"/>
    </row>
    <row r="1310" spans="1:9" ht="13.5" customHeight="1">
      <c r="A1310"/>
      <c r="B1310"/>
      <c r="C1310"/>
      <c r="D1310"/>
      <c r="E1310"/>
      <c r="F1310"/>
      <c r="G1310"/>
      <c r="H1310"/>
      <c r="I1310"/>
    </row>
    <row r="1311" spans="1:9" ht="13.5" customHeight="1">
      <c r="A1311"/>
      <c r="B1311"/>
      <c r="C1311"/>
      <c r="D1311"/>
      <c r="E1311"/>
      <c r="F1311"/>
      <c r="G1311"/>
      <c r="H1311"/>
      <c r="I1311"/>
    </row>
    <row r="1312" spans="1:9" ht="13.5" customHeight="1">
      <c r="A1312"/>
      <c r="B1312"/>
      <c r="C1312"/>
      <c r="D1312"/>
      <c r="E1312"/>
      <c r="F1312"/>
      <c r="G1312"/>
      <c r="H1312"/>
      <c r="I1312"/>
    </row>
    <row r="1313" spans="1:9" ht="13.5" customHeight="1">
      <c r="A1313"/>
      <c r="B1313"/>
      <c r="C1313"/>
      <c r="D1313"/>
      <c r="E1313"/>
      <c r="F1313"/>
      <c r="G1313"/>
      <c r="H1313"/>
      <c r="I1313"/>
    </row>
    <row r="1314" spans="1:9" ht="13.5" customHeight="1">
      <c r="A1314"/>
      <c r="B1314"/>
      <c r="C1314"/>
      <c r="D1314"/>
      <c r="E1314"/>
      <c r="F1314"/>
      <c r="G1314"/>
      <c r="H1314"/>
      <c r="I1314"/>
    </row>
    <row r="1315" spans="1:9" ht="13.5" customHeight="1">
      <c r="A1315"/>
      <c r="B1315"/>
      <c r="C1315"/>
      <c r="D1315"/>
      <c r="E1315"/>
      <c r="F1315"/>
      <c r="G1315"/>
      <c r="H1315"/>
      <c r="I1315"/>
    </row>
    <row r="1316" spans="1:9" ht="13.5" customHeight="1">
      <c r="A1316"/>
      <c r="B1316"/>
      <c r="C1316"/>
      <c r="D1316"/>
      <c r="E1316"/>
      <c r="F1316"/>
      <c r="G1316"/>
      <c r="H1316"/>
      <c r="I1316"/>
    </row>
    <row r="1317" spans="1:9" ht="13.5" customHeight="1">
      <c r="A1317"/>
      <c r="B1317"/>
      <c r="C1317"/>
      <c r="D1317"/>
      <c r="E1317"/>
      <c r="F1317"/>
      <c r="G1317"/>
      <c r="H1317"/>
      <c r="I1317"/>
    </row>
    <row r="1318" spans="1:9" ht="13.5" customHeight="1">
      <c r="A1318"/>
      <c r="B1318"/>
      <c r="C1318"/>
      <c r="D1318"/>
      <c r="E1318"/>
      <c r="F1318"/>
      <c r="G1318"/>
      <c r="H1318"/>
      <c r="I1318"/>
    </row>
    <row r="1319" spans="1:9" ht="13.5" customHeight="1">
      <c r="A1319"/>
      <c r="B1319"/>
      <c r="C1319"/>
      <c r="D1319"/>
      <c r="E1319"/>
      <c r="F1319"/>
      <c r="G1319"/>
      <c r="H1319"/>
      <c r="I1319"/>
    </row>
    <row r="1320" spans="1:9" ht="13.5" customHeight="1">
      <c r="A1320"/>
      <c r="B1320"/>
      <c r="C1320"/>
      <c r="D1320"/>
      <c r="E1320"/>
      <c r="F1320"/>
      <c r="G1320"/>
      <c r="H1320"/>
      <c r="I1320"/>
    </row>
    <row r="1321" spans="1:9" ht="13.5" customHeight="1">
      <c r="A1321"/>
      <c r="B1321"/>
      <c r="C1321"/>
      <c r="D1321"/>
      <c r="E1321"/>
      <c r="F1321"/>
      <c r="G1321"/>
      <c r="H1321"/>
      <c r="I1321"/>
    </row>
    <row r="1322" spans="1:9" ht="13.5" customHeight="1">
      <c r="A1322"/>
      <c r="B1322"/>
      <c r="C1322"/>
      <c r="D1322"/>
      <c r="E1322"/>
      <c r="F1322"/>
      <c r="G1322"/>
      <c r="H1322"/>
      <c r="I1322"/>
    </row>
    <row r="1323" spans="1:9" ht="13.5" customHeight="1">
      <c r="A1323"/>
      <c r="B1323"/>
      <c r="C1323"/>
      <c r="D1323"/>
      <c r="E1323"/>
      <c r="F1323"/>
      <c r="G1323"/>
      <c r="H1323"/>
      <c r="I1323"/>
    </row>
    <row r="1324" spans="1:9" ht="13.5" customHeight="1">
      <c r="A1324"/>
      <c r="B1324"/>
      <c r="C1324"/>
      <c r="D1324"/>
      <c r="E1324"/>
      <c r="F1324"/>
      <c r="G1324"/>
      <c r="H1324"/>
      <c r="I1324"/>
    </row>
    <row r="1325" spans="1:9" ht="13.5" customHeight="1">
      <c r="A1325"/>
      <c r="B1325"/>
      <c r="C1325"/>
      <c r="D1325"/>
      <c r="E1325"/>
      <c r="F1325"/>
      <c r="G1325"/>
      <c r="H1325"/>
      <c r="I1325"/>
    </row>
    <row r="1326" spans="1:9" ht="13.5" customHeight="1">
      <c r="A1326"/>
      <c r="B1326"/>
      <c r="C1326"/>
      <c r="D1326"/>
      <c r="E1326"/>
      <c r="F1326"/>
      <c r="G1326"/>
      <c r="H1326"/>
      <c r="I1326"/>
    </row>
    <row r="1327" spans="1:9" ht="13.5" customHeight="1">
      <c r="A1327"/>
      <c r="B1327"/>
      <c r="C1327"/>
      <c r="D1327"/>
      <c r="E1327"/>
      <c r="F1327"/>
      <c r="G1327"/>
      <c r="H1327"/>
      <c r="I1327"/>
    </row>
    <row r="1328" spans="1:9" ht="13.5" customHeight="1">
      <c r="A1328"/>
      <c r="B1328"/>
      <c r="C1328"/>
      <c r="D1328"/>
      <c r="E1328"/>
      <c r="F1328"/>
      <c r="G1328"/>
      <c r="H1328"/>
      <c r="I1328"/>
    </row>
    <row r="1329" spans="1:9" ht="13.5" customHeight="1">
      <c r="A1329"/>
      <c r="B1329"/>
      <c r="C1329"/>
      <c r="D1329"/>
      <c r="E1329"/>
      <c r="F1329"/>
      <c r="G1329"/>
      <c r="H1329"/>
      <c r="I1329"/>
    </row>
    <row r="1330" spans="1:9" ht="13.5" customHeight="1">
      <c r="A1330"/>
      <c r="B1330"/>
      <c r="C1330"/>
      <c r="D1330"/>
      <c r="E1330"/>
      <c r="F1330"/>
      <c r="G1330"/>
      <c r="H1330"/>
      <c r="I1330"/>
    </row>
    <row r="1331" spans="1:9" ht="13.5" customHeight="1">
      <c r="A1331"/>
      <c r="B1331"/>
      <c r="C1331"/>
      <c r="D1331"/>
      <c r="E1331"/>
      <c r="F1331"/>
      <c r="G1331"/>
      <c r="H1331"/>
      <c r="I1331"/>
    </row>
    <row r="1332" spans="1:9" ht="13.5" customHeight="1">
      <c r="A1332"/>
      <c r="B1332"/>
      <c r="C1332"/>
      <c r="D1332"/>
      <c r="E1332"/>
      <c r="F1332"/>
      <c r="G1332"/>
      <c r="H1332"/>
      <c r="I1332"/>
    </row>
    <row r="1333" spans="1:9" ht="13.5" customHeight="1">
      <c r="A1333"/>
      <c r="B1333"/>
      <c r="C1333"/>
      <c r="D1333"/>
      <c r="E1333"/>
      <c r="F1333"/>
      <c r="G1333"/>
      <c r="H1333"/>
      <c r="I1333"/>
    </row>
    <row r="1334" spans="1:9" ht="13.5" customHeight="1">
      <c r="A1334"/>
      <c r="B1334"/>
      <c r="C1334"/>
      <c r="D1334"/>
      <c r="E1334"/>
      <c r="F1334"/>
      <c r="G1334"/>
      <c r="H1334"/>
      <c r="I1334"/>
    </row>
    <row r="1335" spans="1:9" ht="13.5" customHeight="1">
      <c r="A1335"/>
      <c r="B1335"/>
      <c r="C1335"/>
      <c r="D1335"/>
      <c r="E1335"/>
      <c r="F1335"/>
      <c r="G1335"/>
      <c r="H1335"/>
      <c r="I1335"/>
    </row>
    <row r="1336" spans="1:9" ht="13.5" customHeight="1">
      <c r="A1336"/>
      <c r="B1336"/>
      <c r="C1336"/>
      <c r="D1336"/>
      <c r="E1336"/>
      <c r="F1336"/>
      <c r="G1336"/>
      <c r="H1336"/>
      <c r="I1336"/>
    </row>
    <row r="1337" spans="1:9" ht="13.5" customHeight="1">
      <c r="A1337"/>
      <c r="B1337"/>
      <c r="C1337"/>
      <c r="D1337"/>
      <c r="E1337"/>
      <c r="F1337"/>
      <c r="G1337"/>
      <c r="H1337"/>
      <c r="I1337"/>
    </row>
    <row r="1338" spans="1:9" ht="13.5" customHeight="1">
      <c r="A1338"/>
      <c r="B1338"/>
      <c r="C1338"/>
      <c r="D1338"/>
      <c r="E1338"/>
      <c r="F1338"/>
      <c r="G1338"/>
      <c r="H1338"/>
      <c r="I1338"/>
    </row>
    <row r="1339" spans="1:9" ht="13.5" customHeight="1">
      <c r="A1339"/>
      <c r="B1339"/>
      <c r="C1339"/>
      <c r="D1339"/>
      <c r="E1339"/>
      <c r="F1339"/>
      <c r="G1339"/>
      <c r="H1339"/>
      <c r="I1339"/>
    </row>
    <row r="1340" spans="1:9" ht="13.5" customHeight="1">
      <c r="A1340"/>
      <c r="B1340"/>
      <c r="C1340"/>
      <c r="D1340"/>
      <c r="E1340"/>
      <c r="F1340"/>
      <c r="G1340"/>
      <c r="H1340"/>
      <c r="I1340"/>
    </row>
    <row r="1341" spans="1:9" ht="13.5" customHeight="1">
      <c r="A1341"/>
      <c r="B1341"/>
      <c r="C1341"/>
      <c r="D1341"/>
      <c r="E1341"/>
      <c r="F1341"/>
      <c r="G1341"/>
      <c r="H1341"/>
      <c r="I1341"/>
    </row>
    <row r="1342" spans="1:9" ht="13.5" customHeight="1">
      <c r="A1342"/>
      <c r="B1342"/>
      <c r="C1342"/>
      <c r="D1342"/>
      <c r="E1342"/>
      <c r="F1342"/>
      <c r="G1342"/>
      <c r="H1342"/>
      <c r="I1342"/>
    </row>
    <row r="1343" spans="1:9" ht="13.5" customHeight="1">
      <c r="A1343"/>
      <c r="B1343"/>
      <c r="C1343"/>
      <c r="D1343"/>
      <c r="E1343"/>
      <c r="F1343"/>
      <c r="G1343"/>
      <c r="H1343"/>
      <c r="I1343"/>
    </row>
    <row r="1344" spans="1:9" ht="13.5" customHeight="1">
      <c r="A1344"/>
      <c r="B1344"/>
      <c r="C1344"/>
      <c r="D1344"/>
      <c r="E1344"/>
      <c r="F1344"/>
      <c r="G1344"/>
      <c r="H1344"/>
      <c r="I1344"/>
    </row>
    <row r="1345" spans="1:9" ht="13.5" customHeight="1">
      <c r="A1345"/>
      <c r="B1345"/>
      <c r="C1345"/>
      <c r="D1345"/>
      <c r="E1345"/>
      <c r="F1345"/>
      <c r="G1345"/>
      <c r="H1345"/>
      <c r="I1345"/>
    </row>
    <row r="1346" spans="1:9" ht="13.5" customHeight="1">
      <c r="A1346"/>
      <c r="B1346"/>
      <c r="C1346"/>
      <c r="D1346"/>
      <c r="E1346"/>
      <c r="F1346"/>
      <c r="G1346"/>
      <c r="H1346"/>
      <c r="I1346"/>
    </row>
    <row r="1347" spans="1:9" ht="13.5" customHeight="1">
      <c r="A1347"/>
      <c r="B1347"/>
      <c r="C1347"/>
      <c r="D1347"/>
      <c r="E1347"/>
      <c r="F1347"/>
      <c r="G1347"/>
      <c r="H1347"/>
      <c r="I1347"/>
    </row>
    <row r="1348" spans="1:9" ht="13.5" customHeight="1">
      <c r="A1348"/>
      <c r="B1348"/>
      <c r="C1348"/>
      <c r="D1348"/>
      <c r="E1348"/>
      <c r="F1348"/>
      <c r="G1348"/>
      <c r="H1348"/>
      <c r="I1348"/>
    </row>
    <row r="1349" spans="1:9" ht="13.5" customHeight="1">
      <c r="A1349"/>
      <c r="B1349"/>
      <c r="C1349"/>
      <c r="D1349"/>
      <c r="E1349"/>
      <c r="F1349"/>
      <c r="G1349"/>
      <c r="H1349"/>
      <c r="I1349"/>
    </row>
    <row r="1350" spans="1:9" ht="13.5" customHeight="1">
      <c r="A1350"/>
      <c r="B1350"/>
      <c r="C1350"/>
      <c r="D1350"/>
      <c r="E1350"/>
      <c r="F1350"/>
      <c r="G1350"/>
      <c r="H1350"/>
      <c r="I1350"/>
    </row>
    <row r="1351" spans="1:9" ht="13.5" customHeight="1">
      <c r="A1351"/>
      <c r="B1351"/>
      <c r="C1351"/>
      <c r="D1351"/>
      <c r="E1351"/>
      <c r="F1351"/>
      <c r="G1351"/>
      <c r="H1351"/>
      <c r="I1351"/>
    </row>
    <row r="1352" spans="1:9" ht="13.5" customHeight="1">
      <c r="A1352"/>
      <c r="B1352"/>
      <c r="C1352"/>
      <c r="D1352"/>
      <c r="E1352"/>
      <c r="F1352"/>
      <c r="G1352"/>
      <c r="H1352"/>
      <c r="I1352"/>
    </row>
    <row r="1353" spans="1:9" ht="13.5" customHeight="1">
      <c r="A1353"/>
      <c r="B1353"/>
      <c r="C1353"/>
      <c r="D1353"/>
      <c r="E1353"/>
      <c r="F1353"/>
      <c r="G1353"/>
      <c r="H1353"/>
      <c r="I1353"/>
    </row>
    <row r="1354" spans="1:9" ht="13.5" customHeight="1">
      <c r="A1354"/>
      <c r="B1354"/>
      <c r="C1354"/>
      <c r="D1354"/>
      <c r="E1354"/>
      <c r="F1354"/>
      <c r="G1354"/>
      <c r="H1354"/>
      <c r="I1354"/>
    </row>
    <row r="1355" spans="1:9" ht="13.5" customHeight="1">
      <c r="A1355"/>
      <c r="B1355"/>
      <c r="C1355"/>
      <c r="D1355"/>
      <c r="E1355"/>
      <c r="F1355"/>
      <c r="G1355"/>
      <c r="H1355"/>
      <c r="I1355"/>
    </row>
    <row r="1356" spans="1:9" ht="13.5" customHeight="1">
      <c r="A1356"/>
      <c r="B1356"/>
      <c r="C1356"/>
      <c r="D1356"/>
      <c r="E1356"/>
      <c r="F1356"/>
      <c r="G1356"/>
      <c r="H1356"/>
      <c r="I1356"/>
    </row>
    <row r="1357" spans="1:9" ht="13.5" customHeight="1">
      <c r="A1357"/>
      <c r="B1357"/>
      <c r="C1357"/>
      <c r="D1357"/>
      <c r="E1357"/>
      <c r="F1357"/>
      <c r="G1357"/>
      <c r="H1357"/>
      <c r="I1357"/>
    </row>
    <row r="1358" spans="1:9" ht="13.5" customHeight="1">
      <c r="A1358"/>
      <c r="B1358"/>
      <c r="C1358"/>
      <c r="D1358"/>
      <c r="E1358"/>
      <c r="F1358"/>
      <c r="G1358"/>
      <c r="H1358"/>
      <c r="I1358"/>
    </row>
    <row r="1359" spans="1:9" ht="13.5" customHeight="1">
      <c r="A1359"/>
      <c r="B1359"/>
      <c r="C1359"/>
      <c r="D1359"/>
      <c r="E1359"/>
      <c r="F1359"/>
      <c r="G1359"/>
      <c r="H1359"/>
      <c r="I1359"/>
    </row>
    <row r="1360" spans="1:9" ht="13.5" customHeight="1">
      <c r="A1360"/>
      <c r="B1360"/>
      <c r="C1360"/>
      <c r="D1360"/>
      <c r="E1360"/>
      <c r="F1360"/>
      <c r="G1360"/>
      <c r="H1360"/>
      <c r="I1360"/>
    </row>
    <row r="1361" spans="1:9" ht="13.5" customHeight="1">
      <c r="A1361"/>
      <c r="B1361"/>
      <c r="C1361"/>
      <c r="D1361"/>
      <c r="E1361"/>
      <c r="F1361"/>
      <c r="G1361"/>
      <c r="H1361"/>
      <c r="I1361"/>
    </row>
    <row r="1362" spans="1:9" ht="13.5" customHeight="1">
      <c r="A1362"/>
      <c r="B1362"/>
      <c r="C1362"/>
      <c r="D1362"/>
      <c r="E1362"/>
      <c r="F1362"/>
      <c r="G1362"/>
      <c r="H1362"/>
      <c r="I1362"/>
    </row>
    <row r="1363" spans="1:9" ht="13.5" customHeight="1">
      <c r="A1363"/>
      <c r="B1363"/>
      <c r="C1363"/>
      <c r="D1363"/>
      <c r="E1363"/>
      <c r="F1363"/>
      <c r="G1363"/>
      <c r="H1363"/>
      <c r="I1363"/>
    </row>
    <row r="1364" spans="1:9" ht="13.5" customHeight="1">
      <c r="A1364"/>
      <c r="B1364"/>
      <c r="C1364"/>
      <c r="D1364"/>
      <c r="E1364"/>
      <c r="F1364"/>
      <c r="G1364"/>
      <c r="H1364"/>
      <c r="I1364"/>
    </row>
    <row r="1365" spans="1:9" ht="13.5" customHeight="1">
      <c r="A1365"/>
      <c r="B1365"/>
      <c r="C1365"/>
      <c r="D1365"/>
      <c r="E1365"/>
      <c r="F1365"/>
      <c r="G1365"/>
      <c r="H1365"/>
      <c r="I1365"/>
    </row>
    <row r="1366" spans="1:9" ht="13.5" customHeight="1">
      <c r="A1366"/>
      <c r="B1366"/>
      <c r="C1366"/>
      <c r="D1366"/>
      <c r="E1366"/>
      <c r="F1366"/>
      <c r="G1366"/>
      <c r="H1366"/>
      <c r="I1366"/>
    </row>
    <row r="1367" spans="1:9" ht="13.5" customHeight="1">
      <c r="A1367"/>
      <c r="B1367"/>
      <c r="C1367"/>
      <c r="D1367"/>
      <c r="E1367"/>
      <c r="F1367"/>
      <c r="G1367"/>
      <c r="H1367"/>
      <c r="I1367"/>
    </row>
    <row r="1368" spans="1:9" ht="13.5" customHeight="1">
      <c r="A1368"/>
      <c r="B1368"/>
      <c r="C1368"/>
      <c r="D1368"/>
      <c r="E1368"/>
      <c r="F1368"/>
      <c r="G1368"/>
      <c r="H1368"/>
      <c r="I1368"/>
    </row>
    <row r="1369" spans="1:9" ht="13.5" customHeight="1">
      <c r="A1369"/>
      <c r="B1369"/>
      <c r="C1369"/>
      <c r="D1369"/>
      <c r="E1369"/>
      <c r="F1369"/>
      <c r="G1369"/>
      <c r="H1369"/>
      <c r="I1369"/>
    </row>
    <row r="1370" spans="1:9" ht="13.5" customHeight="1">
      <c r="A1370"/>
      <c r="B1370"/>
      <c r="C1370"/>
      <c r="D1370"/>
      <c r="E1370"/>
      <c r="F1370"/>
      <c r="G1370"/>
      <c r="H1370"/>
      <c r="I1370"/>
    </row>
    <row r="1371" spans="1:9" ht="13.5" customHeight="1">
      <c r="A1371"/>
      <c r="B1371"/>
      <c r="C1371"/>
      <c r="D1371"/>
      <c r="E1371"/>
      <c r="F1371"/>
      <c r="G1371"/>
      <c r="H1371"/>
      <c r="I1371"/>
    </row>
    <row r="1372" spans="1:9" ht="13.5" customHeight="1">
      <c r="A1372"/>
      <c r="B1372"/>
      <c r="C1372"/>
      <c r="D1372"/>
      <c r="E1372"/>
      <c r="F1372"/>
      <c r="G1372"/>
      <c r="H1372"/>
      <c r="I1372"/>
    </row>
    <row r="1373" spans="1:9" ht="13.5" customHeight="1">
      <c r="A1373"/>
      <c r="B1373"/>
      <c r="C1373"/>
      <c r="D1373"/>
      <c r="E1373"/>
      <c r="F1373"/>
      <c r="G1373"/>
      <c r="H1373"/>
      <c r="I1373"/>
    </row>
    <row r="1374" spans="1:9" ht="13.5" customHeight="1">
      <c r="A1374"/>
      <c r="B1374"/>
      <c r="C1374"/>
      <c r="D1374"/>
      <c r="E1374"/>
      <c r="F1374"/>
      <c r="G1374"/>
      <c r="H1374"/>
      <c r="I1374"/>
    </row>
    <row r="1375" spans="1:9" ht="13.5" customHeight="1">
      <c r="A1375"/>
      <c r="B1375"/>
      <c r="C1375"/>
      <c r="D1375"/>
      <c r="E1375"/>
      <c r="F1375"/>
      <c r="G1375"/>
      <c r="H1375"/>
      <c r="I1375"/>
    </row>
    <row r="1376" spans="1:9" ht="13.5" customHeight="1">
      <c r="A1376"/>
      <c r="B1376"/>
      <c r="C1376"/>
      <c r="D1376"/>
      <c r="E1376"/>
      <c r="F1376"/>
      <c r="G1376"/>
      <c r="H1376"/>
      <c r="I1376"/>
    </row>
    <row r="1377" spans="1:9" ht="13.5" customHeight="1">
      <c r="A1377"/>
      <c r="B1377"/>
      <c r="C1377"/>
      <c r="D1377"/>
      <c r="E1377"/>
      <c r="F1377"/>
      <c r="G1377"/>
      <c r="H1377"/>
      <c r="I1377"/>
    </row>
    <row r="1378" spans="1:9" ht="13.5" customHeight="1">
      <c r="A1378"/>
      <c r="B1378"/>
      <c r="C1378"/>
      <c r="D1378"/>
      <c r="E1378"/>
      <c r="F1378"/>
      <c r="G1378"/>
      <c r="H1378"/>
      <c r="I1378"/>
    </row>
    <row r="1379" spans="1:9" ht="13.5" customHeight="1">
      <c r="A1379"/>
      <c r="B1379"/>
      <c r="C1379"/>
      <c r="D1379"/>
      <c r="E1379"/>
      <c r="F1379"/>
      <c r="G1379"/>
      <c r="H1379"/>
      <c r="I1379"/>
    </row>
    <row r="1380" spans="1:9" ht="13.5" customHeight="1">
      <c r="A1380"/>
      <c r="B1380"/>
      <c r="C1380"/>
      <c r="D1380"/>
      <c r="E1380"/>
      <c r="F1380"/>
      <c r="G1380"/>
      <c r="H1380"/>
      <c r="I1380"/>
    </row>
    <row r="1381" spans="1:9" ht="13.5" customHeight="1">
      <c r="A1381"/>
      <c r="B1381"/>
      <c r="C1381"/>
      <c r="D1381"/>
      <c r="E1381"/>
      <c r="F1381"/>
      <c r="G1381"/>
      <c r="H1381"/>
      <c r="I1381"/>
    </row>
    <row r="1382" spans="1:9" ht="13.5" customHeight="1">
      <c r="A1382"/>
      <c r="B1382"/>
      <c r="C1382"/>
      <c r="D1382"/>
      <c r="E1382"/>
      <c r="F1382"/>
      <c r="G1382"/>
      <c r="H1382"/>
      <c r="I1382"/>
    </row>
    <row r="1383" spans="1:9" ht="13.5" customHeight="1">
      <c r="A1383"/>
      <c r="B1383"/>
      <c r="C1383"/>
      <c r="D1383"/>
      <c r="E1383"/>
      <c r="F1383"/>
      <c r="G1383"/>
      <c r="H1383"/>
      <c r="I1383"/>
    </row>
    <row r="1384" spans="1:9" ht="13.5" customHeight="1">
      <c r="A1384"/>
      <c r="B1384"/>
      <c r="C1384"/>
      <c r="D1384"/>
      <c r="E1384"/>
      <c r="F1384"/>
      <c r="G1384"/>
      <c r="H1384"/>
      <c r="I1384"/>
    </row>
    <row r="1385" spans="1:9" ht="13.5" customHeight="1">
      <c r="A1385"/>
      <c r="B1385"/>
      <c r="C1385"/>
      <c r="D1385"/>
      <c r="E1385"/>
      <c r="F1385"/>
      <c r="G1385"/>
      <c r="H1385"/>
      <c r="I1385"/>
    </row>
    <row r="1386" spans="1:9" ht="13.5" customHeight="1">
      <c r="A1386"/>
      <c r="B1386"/>
      <c r="C1386"/>
      <c r="D1386"/>
      <c r="E1386"/>
      <c r="F1386"/>
      <c r="G1386"/>
      <c r="H1386"/>
      <c r="I1386"/>
    </row>
    <row r="1387" spans="1:9" ht="13.5" customHeight="1">
      <c r="A1387"/>
      <c r="B1387"/>
      <c r="C1387"/>
      <c r="D1387"/>
      <c r="E1387"/>
      <c r="F1387"/>
      <c r="G1387"/>
      <c r="H1387"/>
      <c r="I1387"/>
    </row>
    <row r="1388" spans="1:9" ht="13.5" customHeight="1">
      <c r="A1388"/>
      <c r="B1388"/>
      <c r="C1388"/>
      <c r="D1388"/>
      <c r="E1388"/>
      <c r="F1388"/>
      <c r="G1388"/>
      <c r="H1388"/>
      <c r="I1388"/>
    </row>
    <row r="1389" spans="1:9" ht="13.5" customHeight="1">
      <c r="A1389"/>
      <c r="B1389"/>
      <c r="C1389"/>
      <c r="D1389"/>
      <c r="E1389"/>
      <c r="F1389"/>
      <c r="G1389"/>
      <c r="H1389"/>
      <c r="I1389"/>
    </row>
    <row r="1390" spans="1:9" ht="13.5" customHeight="1">
      <c r="A1390"/>
      <c r="B1390"/>
      <c r="C1390"/>
      <c r="D1390"/>
      <c r="E1390"/>
      <c r="F1390"/>
      <c r="G1390"/>
      <c r="H1390"/>
      <c r="I1390"/>
    </row>
    <row r="1391" spans="1:9" ht="13.5" customHeight="1">
      <c r="A1391"/>
      <c r="B1391"/>
      <c r="C1391"/>
      <c r="D1391"/>
      <c r="E1391"/>
      <c r="F1391"/>
      <c r="G1391"/>
      <c r="H1391"/>
      <c r="I1391"/>
    </row>
    <row r="1392" spans="1:9" ht="13.5" customHeight="1">
      <c r="A1392"/>
      <c r="B1392"/>
      <c r="C1392"/>
      <c r="D1392"/>
      <c r="E1392"/>
      <c r="F1392"/>
      <c r="G1392"/>
      <c r="H1392"/>
      <c r="I1392"/>
    </row>
    <row r="1393" spans="1:9" ht="13.5" customHeight="1">
      <c r="A1393"/>
      <c r="B1393"/>
      <c r="C1393"/>
      <c r="D1393"/>
      <c r="E1393"/>
      <c r="F1393"/>
      <c r="G1393"/>
      <c r="H1393"/>
      <c r="I1393"/>
    </row>
    <row r="1394" spans="1:9" ht="13.5" customHeight="1">
      <c r="A1394"/>
      <c r="B1394"/>
      <c r="C1394"/>
      <c r="D1394"/>
      <c r="E1394"/>
      <c r="F1394"/>
      <c r="G1394"/>
      <c r="H1394"/>
      <c r="I1394"/>
    </row>
    <row r="1395" spans="1:9" ht="13.5" customHeight="1">
      <c r="A1395"/>
      <c r="B1395"/>
      <c r="C1395"/>
      <c r="D1395"/>
      <c r="E1395"/>
      <c r="F1395"/>
      <c r="G1395"/>
      <c r="H1395"/>
      <c r="I1395"/>
    </row>
    <row r="1396" spans="1:9" ht="13.5" customHeight="1">
      <c r="A1396"/>
      <c r="B1396"/>
      <c r="C1396"/>
      <c r="D1396"/>
      <c r="E1396"/>
      <c r="F1396"/>
      <c r="G1396"/>
      <c r="H1396"/>
      <c r="I1396"/>
    </row>
    <row r="1397" spans="1:9" ht="13.5" customHeight="1">
      <c r="A1397"/>
      <c r="B1397"/>
      <c r="C1397"/>
      <c r="D1397"/>
      <c r="E1397"/>
      <c r="F1397"/>
      <c r="G1397"/>
      <c r="H1397"/>
      <c r="I1397"/>
    </row>
    <row r="1398" spans="1:9" ht="13.5" customHeight="1">
      <c r="A1398"/>
      <c r="B1398"/>
      <c r="C1398"/>
      <c r="D1398"/>
      <c r="E1398"/>
      <c r="F1398"/>
      <c r="G1398"/>
      <c r="H1398"/>
      <c r="I1398"/>
    </row>
    <row r="1399" spans="1:9" ht="13.5" customHeight="1">
      <c r="A1399"/>
      <c r="B1399"/>
      <c r="C1399"/>
      <c r="D1399"/>
      <c r="E1399"/>
      <c r="F1399"/>
      <c r="G1399"/>
      <c r="H1399"/>
      <c r="I1399"/>
    </row>
    <row r="1400" spans="1:9" ht="13.5" customHeight="1">
      <c r="A1400"/>
      <c r="B1400"/>
      <c r="C1400"/>
      <c r="D1400"/>
      <c r="E1400"/>
      <c r="F1400"/>
      <c r="G1400"/>
      <c r="H1400"/>
      <c r="I1400"/>
    </row>
    <row r="1401" spans="1:9" ht="13.5" customHeight="1">
      <c r="A1401"/>
      <c r="B1401"/>
      <c r="C1401"/>
      <c r="D1401"/>
      <c r="E1401"/>
      <c r="F1401"/>
      <c r="G1401"/>
      <c r="H1401"/>
      <c r="I1401"/>
    </row>
    <row r="1402" spans="1:9" ht="13.5" customHeight="1">
      <c r="A1402"/>
      <c r="B1402"/>
      <c r="C1402"/>
      <c r="D1402"/>
      <c r="E1402"/>
      <c r="F1402"/>
      <c r="G1402"/>
      <c r="H1402"/>
      <c r="I1402"/>
    </row>
    <row r="1403" spans="1:9" ht="13.5" customHeight="1">
      <c r="A1403"/>
      <c r="B1403"/>
      <c r="C1403"/>
      <c r="D1403"/>
      <c r="E1403"/>
      <c r="F1403"/>
      <c r="G1403"/>
      <c r="H1403"/>
      <c r="I1403"/>
    </row>
    <row r="1404" spans="1:9" ht="13.5" customHeight="1">
      <c r="A1404"/>
      <c r="B1404"/>
      <c r="C1404"/>
      <c r="D1404"/>
      <c r="E1404"/>
      <c r="F1404"/>
      <c r="G1404"/>
      <c r="H1404"/>
      <c r="I1404"/>
    </row>
    <row r="1405" spans="1:9" ht="13.5" customHeight="1">
      <c r="A1405"/>
      <c r="B1405"/>
      <c r="C1405"/>
      <c r="D1405"/>
      <c r="E1405"/>
      <c r="F1405"/>
      <c r="G1405"/>
      <c r="H1405"/>
      <c r="I1405"/>
    </row>
    <row r="1406" spans="1:9" ht="13.5" customHeight="1">
      <c r="A1406"/>
      <c r="B1406"/>
      <c r="C1406"/>
      <c r="D1406"/>
      <c r="E1406"/>
      <c r="F1406"/>
      <c r="G1406"/>
      <c r="H1406"/>
      <c r="I1406"/>
    </row>
    <row r="1407" spans="1:9" ht="13.5" customHeight="1">
      <c r="A1407"/>
      <c r="B1407"/>
      <c r="C1407"/>
      <c r="D1407"/>
      <c r="E1407"/>
      <c r="F1407"/>
      <c r="G1407"/>
      <c r="H1407"/>
      <c r="I1407"/>
    </row>
    <row r="1408" spans="1:9" ht="13.5" customHeight="1">
      <c r="A1408"/>
      <c r="B1408"/>
      <c r="C1408"/>
      <c r="D1408"/>
      <c r="E1408"/>
      <c r="F1408"/>
      <c r="G1408"/>
      <c r="H1408"/>
      <c r="I1408"/>
    </row>
    <row r="1409" spans="1:9" ht="13.5" customHeight="1">
      <c r="A1409"/>
      <c r="B1409"/>
      <c r="C1409"/>
      <c r="D1409"/>
      <c r="E1409"/>
      <c r="F1409"/>
      <c r="G1409"/>
      <c r="H1409"/>
      <c r="I1409"/>
    </row>
    <row r="1410" spans="1:9" ht="13.5" customHeight="1">
      <c r="A1410"/>
      <c r="B1410"/>
      <c r="C1410"/>
      <c r="D1410"/>
      <c r="E1410"/>
      <c r="F1410"/>
      <c r="G1410"/>
      <c r="H1410"/>
      <c r="I1410"/>
    </row>
    <row r="1411" spans="1:9" ht="13.5" customHeight="1">
      <c r="A1411"/>
      <c r="B1411"/>
      <c r="C1411"/>
      <c r="D1411"/>
      <c r="E1411"/>
      <c r="F1411"/>
      <c r="G1411"/>
      <c r="H1411"/>
      <c r="I1411"/>
    </row>
    <row r="1412" spans="1:9" ht="13.5" customHeight="1">
      <c r="A1412"/>
      <c r="B1412"/>
      <c r="C1412"/>
      <c r="D1412"/>
      <c r="E1412"/>
      <c r="F1412"/>
      <c r="G1412"/>
      <c r="H1412"/>
      <c r="I1412"/>
    </row>
    <row r="1413" spans="1:9" ht="13.5" customHeight="1">
      <c r="A1413"/>
      <c r="B1413"/>
      <c r="C1413"/>
      <c r="D1413"/>
      <c r="E1413"/>
      <c r="F1413"/>
      <c r="G1413"/>
      <c r="H1413"/>
      <c r="I1413"/>
    </row>
    <row r="1414" spans="1:9" ht="13.5" customHeight="1">
      <c r="A1414"/>
      <c r="B1414"/>
      <c r="C1414"/>
      <c r="D1414"/>
      <c r="E1414"/>
      <c r="F1414"/>
      <c r="G1414"/>
      <c r="H1414"/>
      <c r="I1414"/>
    </row>
    <row r="1415" spans="1:9" ht="13.5" customHeight="1">
      <c r="A1415"/>
      <c r="B1415"/>
      <c r="C1415"/>
      <c r="D1415"/>
      <c r="E1415"/>
      <c r="F1415"/>
      <c r="G1415"/>
      <c r="H1415"/>
      <c r="I1415"/>
    </row>
    <row r="1416" spans="1:9" ht="13.5" customHeight="1">
      <c r="A1416"/>
      <c r="B1416"/>
      <c r="C1416"/>
      <c r="D1416"/>
      <c r="E1416"/>
      <c r="F1416"/>
      <c r="G1416"/>
      <c r="H1416"/>
      <c r="I1416"/>
    </row>
    <row r="1417" spans="1:9" ht="13.5" customHeight="1">
      <c r="A1417"/>
      <c r="B1417"/>
      <c r="C1417"/>
      <c r="D1417"/>
      <c r="E1417"/>
      <c r="F1417"/>
      <c r="G1417"/>
      <c r="H1417"/>
      <c r="I1417"/>
    </row>
    <row r="1418" spans="1:9" ht="13.5" customHeight="1">
      <c r="A1418"/>
      <c r="B1418"/>
      <c r="C1418"/>
      <c r="D1418"/>
      <c r="E1418"/>
      <c r="F1418"/>
      <c r="G1418"/>
      <c r="H1418"/>
      <c r="I1418"/>
    </row>
    <row r="1419" spans="1:9" ht="13.5" customHeight="1">
      <c r="A1419"/>
      <c r="B1419"/>
      <c r="C1419"/>
      <c r="D1419"/>
      <c r="E1419"/>
      <c r="F1419"/>
      <c r="G1419"/>
      <c r="H1419"/>
      <c r="I1419"/>
    </row>
    <row r="1420" spans="1:9" ht="13.5" customHeight="1">
      <c r="A1420"/>
      <c r="B1420"/>
      <c r="C1420"/>
      <c r="D1420"/>
      <c r="E1420"/>
      <c r="F1420"/>
      <c r="G1420"/>
      <c r="H1420"/>
      <c r="I1420"/>
    </row>
    <row r="1421" spans="1:9" ht="13.5" customHeight="1">
      <c r="A1421"/>
      <c r="B1421"/>
      <c r="C1421"/>
      <c r="D1421"/>
      <c r="E1421"/>
      <c r="F1421"/>
      <c r="G1421"/>
      <c r="H1421"/>
      <c r="I1421"/>
    </row>
    <row r="1422" spans="1:9" ht="13.5" customHeight="1">
      <c r="A1422"/>
      <c r="B1422"/>
      <c r="C1422"/>
      <c r="D1422"/>
      <c r="E1422"/>
      <c r="F1422"/>
      <c r="G1422"/>
      <c r="H1422"/>
      <c r="I1422"/>
    </row>
    <row r="1423" spans="1:9" ht="13.5" customHeight="1">
      <c r="A1423"/>
      <c r="B1423"/>
      <c r="C1423"/>
      <c r="D1423"/>
      <c r="E1423"/>
      <c r="F1423"/>
      <c r="G1423"/>
      <c r="H1423"/>
      <c r="I1423"/>
    </row>
    <row r="1424" spans="1:9" ht="13.5" customHeight="1">
      <c r="A1424"/>
      <c r="B1424"/>
      <c r="C1424"/>
      <c r="D1424"/>
      <c r="E1424"/>
      <c r="F1424"/>
      <c r="G1424"/>
      <c r="H1424"/>
      <c r="I1424"/>
    </row>
    <row r="1425" spans="1:9" ht="13.5" customHeight="1">
      <c r="A1425"/>
      <c r="B1425"/>
      <c r="C1425"/>
      <c r="D1425"/>
      <c r="E1425"/>
      <c r="F1425"/>
      <c r="G1425"/>
      <c r="H1425"/>
      <c r="I1425"/>
    </row>
    <row r="1426" spans="1:9" ht="13.5" customHeight="1">
      <c r="A1426"/>
      <c r="B1426"/>
      <c r="C1426"/>
      <c r="D1426"/>
      <c r="E1426"/>
      <c r="F1426"/>
      <c r="G1426"/>
      <c r="H1426"/>
      <c r="I1426"/>
    </row>
    <row r="1427" spans="1:9" ht="13.5" customHeight="1">
      <c r="A1427"/>
      <c r="B1427"/>
      <c r="C1427"/>
      <c r="D1427"/>
      <c r="E1427"/>
      <c r="F1427"/>
      <c r="G1427"/>
      <c r="H1427"/>
      <c r="I1427"/>
    </row>
    <row r="1428" spans="1:9" ht="13.5" customHeight="1">
      <c r="A1428"/>
      <c r="B1428"/>
      <c r="C1428"/>
      <c r="D1428"/>
      <c r="E1428"/>
      <c r="F1428"/>
      <c r="G1428"/>
      <c r="H1428"/>
      <c r="I1428"/>
    </row>
    <row r="1429" spans="1:9" ht="13.5" customHeight="1">
      <c r="A1429"/>
      <c r="B1429"/>
      <c r="C1429"/>
      <c r="D1429"/>
      <c r="E1429"/>
      <c r="F1429"/>
      <c r="G1429"/>
      <c r="H1429"/>
      <c r="I1429"/>
    </row>
    <row r="1430" spans="1:9" ht="13.5" customHeight="1">
      <c r="A1430"/>
      <c r="B1430"/>
      <c r="C1430"/>
      <c r="D1430"/>
      <c r="E1430"/>
      <c r="F1430"/>
      <c r="G1430"/>
      <c r="H1430"/>
      <c r="I1430"/>
    </row>
    <row r="1431" spans="1:9" ht="13.5" customHeight="1">
      <c r="A1431"/>
      <c r="B1431"/>
      <c r="C1431"/>
      <c r="D1431"/>
      <c r="E1431"/>
      <c r="F1431"/>
      <c r="G1431"/>
      <c r="H1431"/>
      <c r="I1431"/>
    </row>
    <row r="1432" spans="1:9" ht="13.5" customHeight="1">
      <c r="A1432"/>
      <c r="B1432"/>
      <c r="C1432"/>
      <c r="D1432"/>
      <c r="E1432"/>
      <c r="F1432"/>
      <c r="G1432"/>
      <c r="H1432"/>
      <c r="I1432"/>
    </row>
    <row r="1433" spans="1:9" ht="13.5" customHeight="1">
      <c r="A1433"/>
      <c r="B1433"/>
      <c r="C1433"/>
      <c r="D1433"/>
      <c r="E1433"/>
      <c r="F1433"/>
      <c r="G1433"/>
      <c r="H1433"/>
      <c r="I1433"/>
    </row>
    <row r="1434" spans="1:9" ht="13.5" customHeight="1">
      <c r="A1434"/>
      <c r="B1434"/>
      <c r="C1434"/>
      <c r="D1434"/>
      <c r="E1434"/>
      <c r="F1434"/>
      <c r="G1434"/>
      <c r="H1434"/>
      <c r="I1434"/>
    </row>
    <row r="1435" spans="1:9" ht="13.5" customHeight="1">
      <c r="A1435"/>
      <c r="B1435"/>
      <c r="C1435"/>
      <c r="D1435"/>
      <c r="E1435"/>
      <c r="F1435"/>
      <c r="G1435"/>
      <c r="H1435"/>
      <c r="I1435"/>
    </row>
    <row r="1436" spans="1:9" ht="13.5" customHeight="1">
      <c r="A1436"/>
      <c r="B1436"/>
      <c r="C1436"/>
      <c r="D1436"/>
      <c r="E1436"/>
      <c r="F1436"/>
      <c r="G1436"/>
      <c r="H1436"/>
      <c r="I1436"/>
    </row>
    <row r="1437" spans="1:9" ht="13.5" customHeight="1">
      <c r="A1437"/>
      <c r="B1437"/>
      <c r="C1437"/>
      <c r="D1437"/>
      <c r="E1437"/>
      <c r="F1437"/>
      <c r="G1437"/>
      <c r="H1437"/>
      <c r="I1437"/>
    </row>
    <row r="1438" spans="1:9" ht="13.5" customHeight="1">
      <c r="A1438"/>
      <c r="B1438"/>
      <c r="C1438"/>
      <c r="D1438"/>
      <c r="E1438"/>
      <c r="F1438"/>
      <c r="G1438"/>
      <c r="H1438"/>
      <c r="I1438"/>
    </row>
    <row r="1439" spans="1:9" ht="13.5" customHeight="1">
      <c r="A1439"/>
      <c r="B1439"/>
      <c r="C1439"/>
      <c r="D1439"/>
      <c r="E1439"/>
      <c r="F1439"/>
      <c r="G1439"/>
      <c r="H1439"/>
      <c r="I1439"/>
    </row>
    <row r="1440" spans="1:9" ht="13.5" customHeight="1">
      <c r="A1440"/>
      <c r="B1440"/>
      <c r="C1440"/>
      <c r="D1440"/>
      <c r="E1440"/>
      <c r="F1440"/>
      <c r="G1440"/>
      <c r="H1440"/>
      <c r="I1440"/>
    </row>
    <row r="1441" spans="1:9" ht="13.5" customHeight="1">
      <c r="A1441"/>
      <c r="B1441"/>
      <c r="C1441"/>
      <c r="D1441"/>
      <c r="E1441"/>
      <c r="F1441"/>
      <c r="G1441"/>
      <c r="H1441"/>
      <c r="I1441"/>
    </row>
    <row r="1442" spans="1:9" ht="13.5" customHeight="1">
      <c r="A1442"/>
      <c r="B1442"/>
      <c r="C1442"/>
      <c r="D1442"/>
      <c r="E1442"/>
      <c r="F1442"/>
      <c r="G1442"/>
      <c r="H1442"/>
      <c r="I1442"/>
    </row>
    <row r="1443" spans="1:9" ht="13.5" customHeight="1">
      <c r="A1443"/>
      <c r="B1443"/>
      <c r="C1443"/>
      <c r="D1443"/>
      <c r="E1443"/>
      <c r="F1443"/>
      <c r="G1443"/>
      <c r="H1443"/>
      <c r="I1443"/>
    </row>
    <row r="1444" spans="1:9" ht="13.5" customHeight="1">
      <c r="A1444"/>
      <c r="B1444"/>
      <c r="C1444"/>
      <c r="D1444"/>
      <c r="E1444"/>
      <c r="F1444"/>
      <c r="G1444"/>
      <c r="H1444"/>
      <c r="I1444"/>
    </row>
    <row r="1445" spans="1:9" ht="13.5" customHeight="1">
      <c r="A1445"/>
      <c r="B1445"/>
      <c r="C1445"/>
      <c r="D1445"/>
      <c r="E1445"/>
      <c r="F1445"/>
      <c r="G1445"/>
      <c r="H1445"/>
      <c r="I1445"/>
    </row>
    <row r="1446" spans="1:9" ht="13.5" customHeight="1">
      <c r="A1446"/>
      <c r="B1446"/>
      <c r="C1446"/>
      <c r="D1446"/>
      <c r="E1446"/>
      <c r="F1446"/>
      <c r="G1446"/>
      <c r="H1446"/>
      <c r="I1446"/>
    </row>
    <row r="1447" spans="1:9" ht="13.5" customHeight="1">
      <c r="A1447"/>
      <c r="B1447"/>
      <c r="C1447"/>
      <c r="D1447"/>
      <c r="E1447"/>
      <c r="F1447"/>
      <c r="G1447"/>
      <c r="H1447"/>
      <c r="I1447"/>
    </row>
    <row r="1448" spans="1:9" ht="13.5" customHeight="1">
      <c r="A1448"/>
      <c r="B1448"/>
      <c r="C1448"/>
      <c r="D1448"/>
      <c r="E1448"/>
      <c r="F1448"/>
      <c r="G1448"/>
      <c r="H1448"/>
      <c r="I1448"/>
    </row>
    <row r="1449" spans="1:9" ht="13.5" customHeight="1">
      <c r="A1449"/>
      <c r="B1449"/>
      <c r="C1449"/>
      <c r="D1449"/>
      <c r="E1449"/>
      <c r="F1449"/>
      <c r="G1449"/>
      <c r="H1449"/>
      <c r="I1449"/>
    </row>
    <row r="1450" spans="1:9" ht="13.5" customHeight="1">
      <c r="A1450"/>
      <c r="B1450"/>
      <c r="C1450"/>
      <c r="D1450"/>
      <c r="E1450"/>
      <c r="F1450"/>
      <c r="G1450"/>
      <c r="H1450"/>
      <c r="I1450"/>
    </row>
    <row r="1451" spans="1:9" ht="13.5" customHeight="1">
      <c r="A1451"/>
      <c r="B1451"/>
      <c r="C1451"/>
      <c r="D1451"/>
      <c r="E1451"/>
      <c r="F1451"/>
      <c r="G1451"/>
      <c r="H1451"/>
      <c r="I1451"/>
    </row>
    <row r="1452" spans="1:9" ht="13.5" customHeight="1">
      <c r="A1452"/>
      <c r="B1452"/>
      <c r="C1452"/>
      <c r="D1452"/>
      <c r="E1452"/>
      <c r="F1452"/>
      <c r="G1452"/>
      <c r="H1452"/>
      <c r="I1452"/>
    </row>
    <row r="1453" spans="1:9" ht="13.5" customHeight="1">
      <c r="A1453"/>
      <c r="B1453"/>
      <c r="C1453"/>
      <c r="D1453"/>
      <c r="E1453"/>
      <c r="F1453"/>
      <c r="G1453"/>
      <c r="H1453"/>
      <c r="I1453"/>
    </row>
    <row r="1454" spans="1:9" ht="13.5" customHeight="1">
      <c r="A1454"/>
      <c r="B1454"/>
      <c r="C1454"/>
      <c r="D1454"/>
      <c r="E1454"/>
      <c r="F1454"/>
      <c r="G1454"/>
      <c r="H1454"/>
      <c r="I1454"/>
    </row>
    <row r="1455" spans="1:9" ht="13.5" customHeight="1">
      <c r="A1455"/>
      <c r="B1455"/>
      <c r="C1455"/>
      <c r="D1455"/>
      <c r="E1455"/>
      <c r="F1455"/>
      <c r="G1455"/>
      <c r="H1455"/>
      <c r="I1455"/>
    </row>
    <row r="1456" spans="1:9" ht="13.5" customHeight="1">
      <c r="A1456"/>
      <c r="B1456"/>
      <c r="C1456"/>
      <c r="D1456"/>
      <c r="E1456"/>
      <c r="F1456"/>
      <c r="G1456"/>
      <c r="H1456"/>
      <c r="I1456"/>
    </row>
    <row r="1457" spans="1:9" ht="13.5" customHeight="1">
      <c r="A1457"/>
      <c r="B1457"/>
      <c r="C1457"/>
      <c r="D1457"/>
      <c r="E1457"/>
      <c r="F1457"/>
      <c r="G1457"/>
      <c r="H1457"/>
      <c r="I1457"/>
    </row>
    <row r="1458" spans="1:9" ht="13.5" customHeight="1">
      <c r="A1458"/>
      <c r="B1458"/>
      <c r="C1458"/>
      <c r="D1458"/>
      <c r="E1458"/>
      <c r="F1458"/>
      <c r="G1458"/>
      <c r="H1458"/>
      <c r="I1458"/>
    </row>
    <row r="1459" spans="1:9" ht="13.5" customHeight="1">
      <c r="A1459"/>
      <c r="B1459"/>
      <c r="C1459"/>
      <c r="D1459"/>
      <c r="E1459"/>
      <c r="F1459"/>
      <c r="G1459"/>
      <c r="H1459"/>
      <c r="I1459"/>
    </row>
    <row r="1460" spans="1:9" ht="13.5" customHeight="1">
      <c r="A1460"/>
      <c r="B1460"/>
      <c r="C1460"/>
      <c r="D1460"/>
      <c r="E1460"/>
      <c r="F1460"/>
      <c r="G1460"/>
      <c r="H1460"/>
      <c r="I1460"/>
    </row>
    <row r="1461" spans="1:9" ht="13.5" customHeight="1">
      <c r="A1461"/>
      <c r="B1461"/>
      <c r="C1461"/>
      <c r="D1461"/>
      <c r="E1461"/>
      <c r="F1461"/>
      <c r="G1461"/>
      <c r="H1461"/>
      <c r="I1461"/>
    </row>
    <row r="1462" spans="1:9" ht="13.5" customHeight="1">
      <c r="A1462"/>
      <c r="B1462"/>
      <c r="C1462"/>
      <c r="D1462"/>
      <c r="E1462"/>
      <c r="F1462"/>
      <c r="G1462"/>
      <c r="H1462"/>
      <c r="I1462"/>
    </row>
    <row r="1463" spans="1:9" ht="13.5" customHeight="1">
      <c r="A1463"/>
      <c r="B1463"/>
      <c r="C1463"/>
      <c r="D1463"/>
      <c r="E1463"/>
      <c r="F1463"/>
      <c r="G1463"/>
      <c r="H1463"/>
      <c r="I1463"/>
    </row>
    <row r="1464" spans="1:9" ht="13.5" customHeight="1">
      <c r="A1464"/>
      <c r="B1464"/>
      <c r="C1464"/>
      <c r="D1464"/>
      <c r="E1464"/>
      <c r="F1464"/>
      <c r="G1464"/>
      <c r="H1464"/>
      <c r="I1464"/>
    </row>
    <row r="1465" spans="1:9" ht="13.5" customHeight="1">
      <c r="A1465"/>
      <c r="B1465"/>
      <c r="C1465"/>
      <c r="D1465"/>
      <c r="E1465"/>
      <c r="F1465"/>
      <c r="G1465"/>
      <c r="H1465"/>
      <c r="I1465"/>
    </row>
    <row r="1466" spans="1:9" ht="13.5" customHeight="1">
      <c r="A1466"/>
      <c r="B1466"/>
      <c r="C1466"/>
      <c r="D1466"/>
      <c r="E1466"/>
      <c r="F1466"/>
      <c r="G1466"/>
      <c r="H1466"/>
      <c r="I1466"/>
    </row>
    <row r="1467" spans="1:9" ht="13.5" customHeight="1">
      <c r="A1467"/>
      <c r="B1467"/>
      <c r="C1467"/>
      <c r="D1467"/>
      <c r="E1467"/>
      <c r="F1467"/>
      <c r="G1467"/>
      <c r="H1467"/>
      <c r="I1467"/>
    </row>
    <row r="1468" spans="1:9" ht="13.5" customHeight="1">
      <c r="A1468"/>
      <c r="B1468"/>
      <c r="C1468"/>
      <c r="D1468"/>
      <c r="E1468"/>
      <c r="F1468"/>
      <c r="G1468"/>
      <c r="H1468"/>
      <c r="I1468"/>
    </row>
    <row r="1469" spans="1:9" ht="13.5" customHeight="1">
      <c r="A1469"/>
      <c r="B1469"/>
      <c r="C1469"/>
      <c r="D1469"/>
      <c r="E1469"/>
      <c r="F1469"/>
      <c r="G1469"/>
      <c r="H1469"/>
      <c r="I1469"/>
    </row>
    <row r="1470" spans="1:9" ht="13.5" customHeight="1">
      <c r="A1470"/>
      <c r="B1470"/>
      <c r="C1470"/>
      <c r="D1470"/>
      <c r="E1470"/>
      <c r="F1470"/>
      <c r="G1470"/>
      <c r="H1470"/>
      <c r="I1470"/>
    </row>
    <row r="1471" spans="1:9" ht="13.5" customHeight="1">
      <c r="A1471"/>
      <c r="B1471"/>
      <c r="C1471"/>
      <c r="D1471"/>
      <c r="E1471"/>
      <c r="F1471"/>
      <c r="G1471"/>
      <c r="H1471"/>
      <c r="I1471"/>
    </row>
    <row r="1472" spans="1:9" ht="13.5" customHeight="1">
      <c r="A1472"/>
      <c r="B1472"/>
      <c r="C1472"/>
      <c r="D1472"/>
      <c r="E1472"/>
      <c r="F1472"/>
      <c r="G1472"/>
      <c r="H1472"/>
      <c r="I1472"/>
    </row>
    <row r="1473" spans="1:9" ht="13.5" customHeight="1">
      <c r="A1473"/>
      <c r="B1473"/>
      <c r="C1473"/>
      <c r="D1473"/>
      <c r="E1473"/>
      <c r="F1473"/>
      <c r="G1473"/>
      <c r="H1473"/>
      <c r="I1473"/>
    </row>
    <row r="1474" spans="1:9" ht="13.5" customHeight="1">
      <c r="A1474"/>
      <c r="B1474"/>
      <c r="C1474"/>
      <c r="D1474"/>
      <c r="E1474"/>
      <c r="F1474"/>
      <c r="G1474"/>
      <c r="H1474"/>
      <c r="I1474"/>
    </row>
    <row r="1475" spans="1:9" ht="13.5" customHeight="1">
      <c r="A1475"/>
      <c r="B1475"/>
      <c r="C1475"/>
      <c r="D1475"/>
      <c r="E1475"/>
      <c r="F1475"/>
      <c r="G1475"/>
      <c r="H1475"/>
      <c r="I1475"/>
    </row>
    <row r="1476" spans="1:9" ht="13.5" customHeight="1">
      <c r="A1476"/>
      <c r="B1476"/>
      <c r="C1476"/>
      <c r="D1476"/>
      <c r="E1476"/>
      <c r="F1476"/>
      <c r="G1476"/>
      <c r="H1476"/>
      <c r="I1476"/>
    </row>
    <row r="1477" spans="1:9" ht="13.5" customHeight="1">
      <c r="A1477"/>
      <c r="B1477"/>
      <c r="C1477"/>
      <c r="D1477"/>
      <c r="E1477"/>
      <c r="F1477"/>
      <c r="G1477"/>
      <c r="H1477"/>
      <c r="I1477"/>
    </row>
    <row r="1478" spans="1:9" ht="13.5" customHeight="1">
      <c r="A1478"/>
      <c r="B1478"/>
      <c r="C1478"/>
      <c r="D1478"/>
      <c r="E1478"/>
      <c r="F1478"/>
      <c r="G1478"/>
      <c r="H1478"/>
      <c r="I1478"/>
    </row>
    <row r="1479" spans="1:9" ht="13.5" customHeight="1">
      <c r="A1479"/>
      <c r="B1479"/>
      <c r="C1479"/>
      <c r="D1479"/>
      <c r="E1479"/>
      <c r="F1479"/>
      <c r="G1479"/>
      <c r="H1479"/>
      <c r="I1479"/>
    </row>
    <row r="1480" spans="1:9" ht="13.5" customHeight="1">
      <c r="A1480"/>
      <c r="B1480"/>
      <c r="C1480"/>
      <c r="D1480"/>
      <c r="E1480"/>
      <c r="F1480"/>
      <c r="G1480"/>
      <c r="H1480"/>
      <c r="I1480"/>
    </row>
    <row r="1481" spans="1:9" ht="13.5" customHeight="1">
      <c r="A1481"/>
      <c r="B1481"/>
      <c r="C1481"/>
      <c r="D1481"/>
      <c r="E1481"/>
      <c r="F1481"/>
      <c r="G1481"/>
      <c r="H1481"/>
      <c r="I1481"/>
    </row>
    <row r="1482" spans="1:9" ht="13.5" customHeight="1">
      <c r="A1482"/>
      <c r="B1482"/>
      <c r="C1482"/>
      <c r="D1482"/>
      <c r="E1482"/>
      <c r="F1482"/>
      <c r="G1482"/>
      <c r="H1482"/>
      <c r="I1482"/>
    </row>
    <row r="1483" spans="1:9" ht="13.5" customHeight="1">
      <c r="A1483"/>
      <c r="B1483"/>
      <c r="C1483"/>
      <c r="D1483"/>
      <c r="E1483"/>
      <c r="F1483"/>
      <c r="G1483"/>
      <c r="H1483"/>
      <c r="I1483"/>
    </row>
    <row r="1484" spans="1:9" ht="13.5" customHeight="1">
      <c r="A1484"/>
      <c r="B1484"/>
      <c r="C1484"/>
      <c r="D1484"/>
      <c r="E1484"/>
      <c r="F1484"/>
      <c r="G1484"/>
      <c r="H1484"/>
      <c r="I1484"/>
    </row>
    <row r="1485" spans="1:9" ht="13.5" customHeight="1">
      <c r="A1485"/>
      <c r="B1485"/>
      <c r="C1485"/>
      <c r="D1485"/>
      <c r="E1485"/>
      <c r="F1485"/>
      <c r="G1485"/>
      <c r="H1485"/>
      <c r="I1485"/>
    </row>
    <row r="1486" spans="1:9" ht="13.5" customHeight="1">
      <c r="A1486"/>
      <c r="B1486"/>
      <c r="C1486"/>
      <c r="D1486"/>
      <c r="E1486"/>
      <c r="F1486"/>
      <c r="G1486"/>
      <c r="H1486"/>
      <c r="I1486"/>
    </row>
    <row r="1487" spans="1:9" ht="13.5" customHeight="1">
      <c r="A1487"/>
      <c r="B1487"/>
      <c r="C1487"/>
      <c r="D1487"/>
      <c r="E1487"/>
      <c r="F1487"/>
      <c r="G1487"/>
      <c r="H1487"/>
      <c r="I1487"/>
    </row>
    <row r="1488" spans="1:9" ht="13.5" customHeight="1">
      <c r="A1488"/>
      <c r="B1488"/>
      <c r="C1488"/>
      <c r="D1488"/>
      <c r="E1488"/>
      <c r="F1488"/>
      <c r="G1488"/>
      <c r="H1488"/>
      <c r="I1488"/>
    </row>
    <row r="1489" spans="1:9" ht="13.5" customHeight="1">
      <c r="A1489"/>
      <c r="B1489"/>
      <c r="C1489"/>
      <c r="D1489"/>
      <c r="E1489"/>
      <c r="F1489"/>
      <c r="G1489"/>
      <c r="H1489"/>
      <c r="I1489"/>
    </row>
    <row r="1490" spans="1:9" ht="13.5" customHeight="1">
      <c r="A1490"/>
      <c r="B1490"/>
      <c r="C1490"/>
      <c r="D1490"/>
      <c r="E1490"/>
      <c r="F1490"/>
      <c r="G1490"/>
      <c r="H1490"/>
      <c r="I1490"/>
    </row>
    <row r="1491" spans="1:9" ht="13.5" customHeight="1">
      <c r="A1491"/>
      <c r="B1491"/>
      <c r="C1491"/>
      <c r="D1491"/>
      <c r="E1491"/>
      <c r="F1491"/>
      <c r="G1491"/>
      <c r="H1491"/>
      <c r="I1491"/>
    </row>
    <row r="1492" spans="1:9" ht="13.5" customHeight="1">
      <c r="A1492"/>
      <c r="B1492"/>
      <c r="C1492"/>
      <c r="D1492"/>
      <c r="E1492"/>
      <c r="F1492"/>
      <c r="G1492"/>
      <c r="H1492"/>
      <c r="I1492"/>
    </row>
    <row r="1493" spans="1:9" ht="13.5" customHeight="1">
      <c r="A1493"/>
      <c r="B1493"/>
      <c r="C1493"/>
      <c r="D1493"/>
      <c r="E1493"/>
      <c r="F1493"/>
      <c r="G1493"/>
      <c r="H1493"/>
      <c r="I1493"/>
    </row>
    <row r="1494" spans="1:9" ht="13.5" customHeight="1">
      <c r="A1494"/>
      <c r="B1494"/>
      <c r="C1494"/>
      <c r="D1494"/>
      <c r="E1494"/>
      <c r="F1494"/>
      <c r="G1494"/>
      <c r="H1494"/>
      <c r="I1494"/>
    </row>
    <row r="1495" spans="1:9" ht="13.5" customHeight="1">
      <c r="A1495"/>
      <c r="B1495"/>
      <c r="C1495"/>
      <c r="D1495"/>
      <c r="E1495"/>
      <c r="F1495"/>
      <c r="G1495"/>
      <c r="H1495"/>
      <c r="I1495"/>
    </row>
    <row r="1496" spans="1:9" ht="13.5" customHeight="1">
      <c r="A1496"/>
      <c r="B1496"/>
      <c r="C1496"/>
      <c r="D1496"/>
      <c r="E1496"/>
      <c r="F1496"/>
      <c r="G1496"/>
      <c r="H1496"/>
      <c r="I1496"/>
    </row>
    <row r="1497" spans="1:9" ht="13.5" customHeight="1">
      <c r="A1497"/>
      <c r="B1497"/>
      <c r="C1497"/>
      <c r="D1497"/>
      <c r="E1497"/>
      <c r="F1497"/>
      <c r="G1497"/>
      <c r="H1497"/>
      <c r="I1497"/>
    </row>
    <row r="1498" spans="1:9" ht="13.5" customHeight="1">
      <c r="A1498"/>
      <c r="B1498"/>
      <c r="C1498"/>
      <c r="D1498"/>
      <c r="E1498"/>
      <c r="F1498"/>
      <c r="G1498"/>
      <c r="H1498"/>
      <c r="I1498"/>
    </row>
    <row r="1499" spans="1:9" ht="13.5" customHeight="1">
      <c r="A1499"/>
      <c r="B1499"/>
      <c r="C1499"/>
      <c r="D1499"/>
      <c r="E1499"/>
      <c r="F1499"/>
      <c r="G1499"/>
      <c r="H1499"/>
      <c r="I1499"/>
    </row>
    <row r="1500" spans="1:9" ht="13.5" customHeight="1">
      <c r="A1500"/>
      <c r="B1500"/>
      <c r="C1500"/>
      <c r="D1500"/>
      <c r="E1500"/>
      <c r="F1500"/>
      <c r="G1500"/>
      <c r="H1500"/>
      <c r="I1500"/>
    </row>
    <row r="1501" spans="1:9" ht="13.5" customHeight="1">
      <c r="A1501"/>
      <c r="B1501"/>
      <c r="C1501"/>
      <c r="D1501"/>
      <c r="E1501"/>
      <c r="F1501"/>
      <c r="G1501"/>
      <c r="H1501"/>
      <c r="I1501"/>
    </row>
    <row r="1502" spans="1:9" ht="13.5" customHeight="1">
      <c r="A1502"/>
      <c r="B1502"/>
      <c r="C1502"/>
      <c r="D1502"/>
      <c r="E1502"/>
      <c r="F1502"/>
      <c r="G1502"/>
      <c r="H1502"/>
      <c r="I1502"/>
    </row>
    <row r="1503" spans="1:9" ht="13.5" customHeight="1">
      <c r="A1503"/>
      <c r="B1503"/>
      <c r="C1503"/>
      <c r="D1503"/>
      <c r="E1503"/>
      <c r="F1503"/>
      <c r="G1503"/>
      <c r="H1503"/>
      <c r="I1503"/>
    </row>
    <row r="1504" spans="1:9" ht="13.5" customHeight="1">
      <c r="A1504"/>
      <c r="B1504"/>
      <c r="C1504"/>
      <c r="D1504"/>
      <c r="E1504"/>
      <c r="F1504"/>
      <c r="G1504"/>
      <c r="H1504"/>
      <c r="I1504"/>
    </row>
    <row r="1505" spans="1:9" ht="13.5" customHeight="1">
      <c r="A1505"/>
      <c r="B1505"/>
      <c r="C1505"/>
      <c r="D1505"/>
      <c r="E1505"/>
      <c r="F1505"/>
      <c r="G1505"/>
      <c r="H1505"/>
      <c r="I1505"/>
    </row>
    <row r="1506" spans="1:9" ht="13.5" customHeight="1">
      <c r="A1506"/>
      <c r="B1506"/>
      <c r="C1506"/>
      <c r="D1506"/>
      <c r="E1506"/>
      <c r="F1506"/>
      <c r="G1506"/>
      <c r="H1506"/>
      <c r="I1506"/>
    </row>
    <row r="1507" spans="1:9" ht="13.5" customHeight="1">
      <c r="A1507"/>
      <c r="B1507"/>
      <c r="C1507"/>
      <c r="D1507"/>
      <c r="E1507"/>
      <c r="F1507"/>
      <c r="G1507"/>
      <c r="H1507"/>
      <c r="I1507"/>
    </row>
    <row r="1508" spans="1:9" ht="13.5" customHeight="1">
      <c r="A1508"/>
      <c r="B1508"/>
      <c r="C1508"/>
      <c r="D1508"/>
      <c r="E1508"/>
      <c r="F1508"/>
      <c r="G1508"/>
      <c r="H1508"/>
      <c r="I1508"/>
    </row>
    <row r="1509" spans="1:9" ht="13.5" customHeight="1">
      <c r="A1509"/>
      <c r="B1509"/>
      <c r="C1509"/>
      <c r="D1509"/>
      <c r="E1509"/>
      <c r="F1509"/>
      <c r="G1509"/>
      <c r="H1509"/>
      <c r="I1509"/>
    </row>
    <row r="1510" spans="1:9" ht="13.5" customHeight="1">
      <c r="A1510"/>
      <c r="B1510"/>
      <c r="C1510"/>
      <c r="D1510"/>
      <c r="E1510"/>
      <c r="F1510"/>
      <c r="G1510"/>
      <c r="H1510"/>
      <c r="I1510"/>
    </row>
    <row r="1511" spans="1:9" ht="13.5" customHeight="1">
      <c r="A1511"/>
      <c r="B1511"/>
      <c r="C1511"/>
      <c r="D1511"/>
      <c r="E1511"/>
      <c r="F1511"/>
      <c r="G1511"/>
      <c r="H1511"/>
      <c r="I1511"/>
    </row>
    <row r="1512" spans="1:9" ht="13.5" customHeight="1">
      <c r="A1512"/>
      <c r="B1512"/>
      <c r="C1512"/>
      <c r="D1512"/>
      <c r="E1512"/>
      <c r="F1512"/>
      <c r="G1512"/>
      <c r="H1512"/>
      <c r="I1512"/>
    </row>
    <row r="1513" spans="1:9" ht="13.5" customHeight="1">
      <c r="A1513"/>
      <c r="B1513"/>
      <c r="C1513"/>
      <c r="D1513"/>
      <c r="E1513"/>
      <c r="F1513"/>
      <c r="G1513"/>
      <c r="H1513"/>
      <c r="I1513"/>
    </row>
    <row r="1514" spans="1:9" ht="13.5" customHeight="1">
      <c r="A1514"/>
      <c r="B1514"/>
      <c r="C1514"/>
      <c r="D1514"/>
      <c r="E1514"/>
      <c r="F1514"/>
      <c r="G1514"/>
      <c r="H1514"/>
      <c r="I1514"/>
    </row>
    <row r="1515" spans="1:9" ht="13.5" customHeight="1">
      <c r="A1515"/>
      <c r="B1515"/>
      <c r="C1515"/>
      <c r="D1515"/>
      <c r="E1515"/>
      <c r="F1515"/>
      <c r="G1515"/>
      <c r="H1515"/>
      <c r="I1515"/>
    </row>
    <row r="1516" spans="1:9" ht="13.5" customHeight="1">
      <c r="A1516"/>
      <c r="B1516"/>
      <c r="C1516"/>
      <c r="D1516"/>
      <c r="E1516"/>
      <c r="F1516"/>
      <c r="G1516"/>
      <c r="H1516"/>
      <c r="I1516"/>
    </row>
    <row r="1517" spans="1:9" ht="13.5" customHeight="1">
      <c r="A1517"/>
      <c r="B1517"/>
      <c r="C1517"/>
      <c r="D1517"/>
      <c r="E1517"/>
      <c r="F1517"/>
      <c r="G1517"/>
      <c r="H1517"/>
      <c r="I1517"/>
    </row>
    <row r="1518" spans="1:9" ht="13.5" customHeight="1">
      <c r="A1518"/>
      <c r="B1518"/>
      <c r="C1518"/>
      <c r="D1518"/>
      <c r="E1518"/>
      <c r="F1518"/>
      <c r="G1518"/>
      <c r="H1518"/>
      <c r="I1518"/>
    </row>
    <row r="1519" spans="1:9" ht="13.5" customHeight="1">
      <c r="A1519"/>
      <c r="B1519"/>
      <c r="C1519"/>
      <c r="D1519"/>
      <c r="E1519"/>
      <c r="F1519"/>
      <c r="G1519"/>
      <c r="H1519"/>
      <c r="I1519"/>
    </row>
    <row r="1520" spans="1:9" ht="13.5" customHeight="1">
      <c r="A1520"/>
      <c r="B1520"/>
      <c r="C1520"/>
      <c r="D1520"/>
      <c r="E1520"/>
      <c r="F1520"/>
      <c r="G1520"/>
      <c r="H1520"/>
      <c r="I1520"/>
    </row>
    <row r="1521" spans="1:9" ht="13.5" customHeight="1">
      <c r="A1521"/>
      <c r="B1521"/>
      <c r="C1521"/>
      <c r="D1521"/>
      <c r="E1521"/>
      <c r="F1521"/>
      <c r="G1521"/>
      <c r="H1521"/>
      <c r="I1521"/>
    </row>
    <row r="1522" spans="1:9" ht="13.5" customHeight="1">
      <c r="A1522"/>
      <c r="B1522"/>
      <c r="C1522"/>
      <c r="D1522"/>
      <c r="E1522"/>
      <c r="F1522"/>
      <c r="G1522"/>
      <c r="H1522"/>
      <c r="I1522"/>
    </row>
    <row r="1523" spans="1:9" ht="13.5" customHeight="1">
      <c r="A1523"/>
      <c r="B1523"/>
      <c r="C1523"/>
      <c r="D1523"/>
      <c r="E1523"/>
      <c r="F1523"/>
      <c r="G1523"/>
      <c r="H1523"/>
      <c r="I1523"/>
    </row>
    <row r="1524" spans="1:9" ht="13.5" customHeight="1">
      <c r="A1524"/>
      <c r="B1524"/>
      <c r="C1524"/>
      <c r="D1524"/>
      <c r="E1524"/>
      <c r="F1524"/>
      <c r="G1524"/>
      <c r="H1524"/>
      <c r="I1524"/>
    </row>
    <row r="1525" spans="1:9" ht="13.5" customHeight="1">
      <c r="A1525"/>
      <c r="B1525"/>
      <c r="C1525"/>
      <c r="D1525"/>
      <c r="E1525"/>
      <c r="F1525"/>
      <c r="G1525"/>
      <c r="H1525"/>
      <c r="I1525"/>
    </row>
    <row r="1526" spans="1:9" ht="13.5" customHeight="1">
      <c r="A1526"/>
      <c r="B1526"/>
      <c r="C1526"/>
      <c r="D1526"/>
      <c r="E1526"/>
      <c r="F1526"/>
      <c r="G1526"/>
      <c r="H1526"/>
      <c r="I1526"/>
    </row>
    <row r="1527" spans="1:9" ht="13.5" customHeight="1">
      <c r="A1527"/>
      <c r="B1527"/>
      <c r="C1527"/>
      <c r="D1527"/>
      <c r="E1527"/>
      <c r="F1527"/>
      <c r="G1527"/>
      <c r="H1527"/>
      <c r="I1527"/>
    </row>
    <row r="1528" spans="1:9" ht="13.5" customHeight="1">
      <c r="A1528"/>
      <c r="B1528"/>
      <c r="C1528"/>
      <c r="D1528"/>
      <c r="E1528"/>
      <c r="F1528"/>
      <c r="G1528"/>
      <c r="H1528"/>
      <c r="I1528"/>
    </row>
    <row r="1529" spans="1:9" ht="13.5" customHeight="1">
      <c r="A1529"/>
      <c r="B1529"/>
      <c r="C1529"/>
      <c r="D1529"/>
      <c r="E1529"/>
      <c r="F1529"/>
      <c r="G1529"/>
      <c r="H1529"/>
      <c r="I1529"/>
    </row>
    <row r="1530" spans="1:9" ht="13.5" customHeight="1">
      <c r="A1530"/>
      <c r="B1530"/>
      <c r="C1530"/>
      <c r="D1530"/>
      <c r="E1530"/>
      <c r="F1530"/>
      <c r="G1530"/>
      <c r="H1530"/>
      <c r="I1530"/>
    </row>
    <row r="1531" spans="1:9" ht="13.5" customHeight="1">
      <c r="A1531"/>
      <c r="B1531"/>
      <c r="C1531"/>
      <c r="D1531"/>
      <c r="E1531"/>
      <c r="F1531"/>
      <c r="G1531"/>
      <c r="H1531"/>
      <c r="I1531"/>
    </row>
    <row r="1532" spans="1:9" ht="13.5" customHeight="1">
      <c r="A1532"/>
      <c r="B1532"/>
      <c r="C1532"/>
      <c r="D1532"/>
      <c r="E1532"/>
      <c r="F1532"/>
      <c r="G1532"/>
      <c r="H1532"/>
      <c r="I1532"/>
    </row>
  </sheetData>
  <phoneticPr fontId="2" type="noConversion"/>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E542-78B6-0648-B5B0-87AF06F22550}">
  <dimension ref="A3:P412"/>
  <sheetViews>
    <sheetView topLeftCell="A122" zoomScale="157" zoomScaleNormal="140" workbookViewId="0">
      <pane xSplit="1" topLeftCell="B1" activePane="topRight" state="frozen"/>
      <selection activeCell="A10" sqref="A10"/>
      <selection pane="topRight" activeCell="C22" sqref="C22"/>
    </sheetView>
  </sheetViews>
  <sheetFormatPr baseColWidth="10" defaultColWidth="11" defaultRowHeight="17"/>
  <cols>
    <col min="1" max="1" width="45.83203125" bestFit="1" customWidth="1"/>
    <col min="2" max="2" width="22" bestFit="1" customWidth="1"/>
    <col min="3" max="3" width="22.6640625" bestFit="1" customWidth="1"/>
    <col min="4" max="4" width="22.83203125" bestFit="1" customWidth="1"/>
    <col min="5" max="5" width="22.33203125" bestFit="1" customWidth="1"/>
    <col min="6" max="6" width="22.5" bestFit="1" customWidth="1"/>
    <col min="7" max="7" width="22" bestFit="1" customWidth="1"/>
    <col min="8" max="8" width="21.83203125" bestFit="1" customWidth="1"/>
    <col min="9" max="9" width="23.83203125" bestFit="1" customWidth="1"/>
    <col min="10" max="10" width="22.83203125" bestFit="1" customWidth="1"/>
    <col min="11" max="11" width="21.83203125" bestFit="1" customWidth="1"/>
    <col min="12" max="12" width="22" bestFit="1" customWidth="1"/>
    <col min="13" max="13" width="22.33203125" bestFit="1" customWidth="1"/>
    <col min="15" max="15" width="15.33203125" bestFit="1" customWidth="1"/>
    <col min="16" max="16" width="16.83203125" bestFit="1" customWidth="1"/>
  </cols>
  <sheetData>
    <row r="3" spans="1:2">
      <c r="A3" s="255" t="s">
        <v>539</v>
      </c>
      <c r="B3" t="s">
        <v>540</v>
      </c>
    </row>
    <row r="4" spans="1:2">
      <c r="A4" s="256" t="s">
        <v>541</v>
      </c>
      <c r="B4" s="13">
        <v>504766397</v>
      </c>
    </row>
    <row r="5" spans="1:2">
      <c r="A5" s="257" t="s">
        <v>542</v>
      </c>
      <c r="B5" s="13">
        <v>504766397</v>
      </c>
    </row>
    <row r="6" spans="1:2">
      <c r="A6" s="256" t="s">
        <v>543</v>
      </c>
      <c r="B6" s="13">
        <v>5793090939</v>
      </c>
    </row>
    <row r="7" spans="1:2">
      <c r="A7" s="257" t="s">
        <v>544</v>
      </c>
      <c r="B7" s="13">
        <v>17336978</v>
      </c>
    </row>
    <row r="8" spans="1:2">
      <c r="A8" s="257" t="s">
        <v>545</v>
      </c>
      <c r="B8" s="13">
        <v>1858260858</v>
      </c>
    </row>
    <row r="9" spans="1:2">
      <c r="A9" s="257" t="s">
        <v>542</v>
      </c>
      <c r="B9" s="13">
        <v>3837743597</v>
      </c>
    </row>
    <row r="10" spans="1:2">
      <c r="A10" s="257" t="s">
        <v>391</v>
      </c>
      <c r="B10" s="13">
        <v>79749506</v>
      </c>
    </row>
    <row r="11" spans="1:2">
      <c r="A11" s="256" t="s">
        <v>369</v>
      </c>
      <c r="B11" s="13">
        <v>4420285606</v>
      </c>
    </row>
    <row r="12" spans="1:2">
      <c r="A12" s="257" t="s">
        <v>544</v>
      </c>
      <c r="B12" s="13">
        <v>24498736</v>
      </c>
    </row>
    <row r="13" spans="1:2">
      <c r="A13" s="257" t="s">
        <v>542</v>
      </c>
      <c r="B13" s="13">
        <v>4241412983</v>
      </c>
    </row>
    <row r="14" spans="1:2">
      <c r="A14" s="257" t="s">
        <v>391</v>
      </c>
      <c r="B14" s="13">
        <v>154373887</v>
      </c>
    </row>
    <row r="15" spans="1:2">
      <c r="A15" s="256" t="s">
        <v>546</v>
      </c>
      <c r="B15" s="13">
        <v>343643598</v>
      </c>
    </row>
    <row r="16" spans="1:2">
      <c r="A16" s="257" t="s">
        <v>544</v>
      </c>
      <c r="B16" s="13">
        <v>599054</v>
      </c>
    </row>
    <row r="17" spans="1:13">
      <c r="A17" s="257" t="s">
        <v>542</v>
      </c>
      <c r="B17" s="13">
        <v>343044544</v>
      </c>
    </row>
    <row r="18" spans="1:13">
      <c r="A18" s="256" t="s">
        <v>547</v>
      </c>
      <c r="B18" s="13">
        <v>1126298034</v>
      </c>
    </row>
    <row r="19" spans="1:13">
      <c r="A19" s="257" t="s">
        <v>542</v>
      </c>
      <c r="B19" s="13">
        <v>1126298034</v>
      </c>
    </row>
    <row r="20" spans="1:13">
      <c r="A20" s="256" t="s">
        <v>526</v>
      </c>
      <c r="B20" s="13">
        <v>59109743</v>
      </c>
    </row>
    <row r="21" spans="1:13">
      <c r="A21" s="257" t="s">
        <v>542</v>
      </c>
      <c r="B21" s="13">
        <v>59109743</v>
      </c>
    </row>
    <row r="22" spans="1:13">
      <c r="A22" s="256" t="s">
        <v>732</v>
      </c>
      <c r="B22" s="13">
        <v>547269101</v>
      </c>
      <c r="C22" s="2"/>
    </row>
    <row r="23" spans="1:13">
      <c r="A23" s="257" t="s">
        <v>542</v>
      </c>
      <c r="B23" s="13">
        <v>547269101</v>
      </c>
    </row>
    <row r="24" spans="1:13">
      <c r="A24" s="256" t="s">
        <v>735</v>
      </c>
      <c r="B24" s="13">
        <v>116006257</v>
      </c>
    </row>
    <row r="25" spans="1:13">
      <c r="A25" s="257" t="s">
        <v>542</v>
      </c>
      <c r="B25" s="13">
        <v>116006257</v>
      </c>
    </row>
    <row r="26" spans="1:13">
      <c r="A26" s="256" t="s">
        <v>548</v>
      </c>
      <c r="B26" s="13">
        <v>12910469675</v>
      </c>
    </row>
    <row r="29" spans="1:13">
      <c r="A29" s="255" t="s">
        <v>539</v>
      </c>
      <c r="B29" t="s">
        <v>736</v>
      </c>
      <c r="C29" t="s">
        <v>737</v>
      </c>
      <c r="D29" t="s">
        <v>738</v>
      </c>
      <c r="E29" t="s">
        <v>550</v>
      </c>
      <c r="F29" t="s">
        <v>551</v>
      </c>
      <c r="G29" t="s">
        <v>552</v>
      </c>
      <c r="H29" t="s">
        <v>553</v>
      </c>
      <c r="I29" t="s">
        <v>554</v>
      </c>
      <c r="J29" t="s">
        <v>555</v>
      </c>
      <c r="K29" t="s">
        <v>556</v>
      </c>
      <c r="L29" t="s">
        <v>557</v>
      </c>
      <c r="M29" t="s">
        <v>540</v>
      </c>
    </row>
    <row r="30" spans="1:13">
      <c r="A30" s="256" t="s">
        <v>544</v>
      </c>
      <c r="B30" s="13">
        <v>51038109</v>
      </c>
      <c r="C30" s="13">
        <v>76376626</v>
      </c>
      <c r="D30" s="13">
        <v>79132451</v>
      </c>
      <c r="E30" s="13">
        <v>76512173</v>
      </c>
      <c r="F30" s="13">
        <v>71845839</v>
      </c>
      <c r="G30" s="13">
        <v>68077618</v>
      </c>
      <c r="H30" s="13">
        <v>72894895.060000002</v>
      </c>
      <c r="I30" s="13">
        <v>68822600</v>
      </c>
      <c r="J30" s="13">
        <v>73450500</v>
      </c>
      <c r="K30" s="13">
        <v>68330496</v>
      </c>
      <c r="L30" s="13">
        <v>39758714</v>
      </c>
      <c r="M30" s="13">
        <v>42434768</v>
      </c>
    </row>
    <row r="31" spans="1:13">
      <c r="A31" s="257" t="s">
        <v>544</v>
      </c>
      <c r="B31" s="13">
        <v>51038109</v>
      </c>
      <c r="C31" s="13">
        <v>76376626</v>
      </c>
      <c r="D31" s="13">
        <v>79132451</v>
      </c>
      <c r="E31" s="13">
        <v>76512173</v>
      </c>
      <c r="F31" s="13">
        <v>71845839</v>
      </c>
      <c r="G31" s="13">
        <v>68077618</v>
      </c>
      <c r="H31" s="13">
        <v>72894895.060000002</v>
      </c>
      <c r="I31" s="13">
        <v>68822600</v>
      </c>
      <c r="J31" s="13">
        <v>73450500</v>
      </c>
      <c r="K31" s="13">
        <v>68330496</v>
      </c>
      <c r="L31" s="13">
        <v>39758714</v>
      </c>
      <c r="M31" s="13">
        <v>42434768</v>
      </c>
    </row>
    <row r="32" spans="1:13">
      <c r="A32" s="256" t="s">
        <v>545</v>
      </c>
      <c r="B32" s="13"/>
      <c r="C32" s="13"/>
      <c r="D32" s="13"/>
      <c r="E32" s="13"/>
      <c r="F32" s="13">
        <v>14007</v>
      </c>
      <c r="G32" s="13">
        <v>7274281183</v>
      </c>
      <c r="H32" s="13">
        <v>708782514</v>
      </c>
      <c r="I32" s="13">
        <v>873132036</v>
      </c>
      <c r="J32" s="13">
        <v>981513185</v>
      </c>
      <c r="K32" s="13">
        <v>1246271540</v>
      </c>
      <c r="L32" s="13">
        <v>3578577321</v>
      </c>
      <c r="M32" s="13">
        <v>1858260858</v>
      </c>
    </row>
    <row r="33" spans="1:13">
      <c r="A33" s="257" t="s">
        <v>545</v>
      </c>
      <c r="B33" s="13"/>
      <c r="C33" s="13"/>
      <c r="D33" s="13"/>
      <c r="E33" s="13"/>
      <c r="F33" s="13">
        <v>14007</v>
      </c>
      <c r="G33" s="13">
        <v>7274281183</v>
      </c>
      <c r="H33" s="13">
        <v>708782514</v>
      </c>
      <c r="I33" s="13">
        <v>873132036</v>
      </c>
      <c r="J33" s="13">
        <v>981513185</v>
      </c>
      <c r="K33" s="13">
        <v>1246271540</v>
      </c>
      <c r="L33" s="13">
        <v>3578577321</v>
      </c>
      <c r="M33" s="13">
        <v>1858260858</v>
      </c>
    </row>
    <row r="34" spans="1:13">
      <c r="A34" s="256" t="s">
        <v>542</v>
      </c>
      <c r="B34" s="13">
        <v>4859521709</v>
      </c>
      <c r="C34" s="13">
        <v>8374385121</v>
      </c>
      <c r="D34" s="13">
        <v>8101955028</v>
      </c>
      <c r="E34" s="13">
        <v>11923365888</v>
      </c>
      <c r="F34" s="13">
        <v>8782500457</v>
      </c>
      <c r="G34" s="13">
        <v>8792140317</v>
      </c>
      <c r="H34" s="13">
        <v>9124856637.4619884</v>
      </c>
      <c r="I34" s="13">
        <v>9873012773.75</v>
      </c>
      <c r="J34" s="13">
        <v>12413823883</v>
      </c>
      <c r="K34" s="13">
        <v>9113546558</v>
      </c>
      <c r="L34" s="13">
        <v>8622960212</v>
      </c>
      <c r="M34" s="13">
        <v>10775650656</v>
      </c>
    </row>
    <row r="35" spans="1:13">
      <c r="A35" s="257" t="s">
        <v>574</v>
      </c>
      <c r="B35" s="13"/>
      <c r="C35" s="13"/>
      <c r="D35" s="13"/>
      <c r="E35" s="13"/>
      <c r="F35" s="13">
        <v>4644</v>
      </c>
      <c r="G35" s="13">
        <v>6003</v>
      </c>
      <c r="H35" s="13">
        <v>9917.1098519999905</v>
      </c>
      <c r="I35" s="13">
        <v>53909</v>
      </c>
      <c r="J35" s="13">
        <v>186029</v>
      </c>
      <c r="K35" s="13">
        <v>268711</v>
      </c>
      <c r="L35" s="13">
        <v>129914</v>
      </c>
      <c r="M35" s="13">
        <v>823883</v>
      </c>
    </row>
    <row r="36" spans="1:13">
      <c r="A36" s="257" t="s">
        <v>560</v>
      </c>
      <c r="B36" s="13"/>
      <c r="C36" s="13"/>
      <c r="D36" s="13"/>
      <c r="E36" s="13"/>
      <c r="F36" s="13"/>
      <c r="G36" s="13"/>
      <c r="H36" s="13"/>
      <c r="I36" s="13"/>
      <c r="J36" s="13"/>
      <c r="K36" s="13">
        <v>149904</v>
      </c>
      <c r="L36" s="13">
        <v>0</v>
      </c>
      <c r="M36" s="13">
        <v>0</v>
      </c>
    </row>
    <row r="37" spans="1:13">
      <c r="A37" s="257" t="s">
        <v>573</v>
      </c>
      <c r="B37" s="13">
        <v>847662</v>
      </c>
      <c r="C37" s="13">
        <v>831954</v>
      </c>
      <c r="D37" s="13">
        <v>1030238</v>
      </c>
      <c r="E37" s="13">
        <v>1378863</v>
      </c>
      <c r="F37" s="13">
        <v>1790717</v>
      </c>
      <c r="G37" s="13">
        <v>1770163</v>
      </c>
      <c r="H37" s="13">
        <v>1832858.550348304</v>
      </c>
      <c r="I37" s="13">
        <v>1731820</v>
      </c>
      <c r="J37" s="13">
        <v>2238136</v>
      </c>
      <c r="K37" s="13">
        <v>2290139</v>
      </c>
      <c r="L37" s="13">
        <v>1858983</v>
      </c>
      <c r="M37" s="13">
        <v>2505427</v>
      </c>
    </row>
    <row r="38" spans="1:13">
      <c r="A38" s="257" t="s">
        <v>583</v>
      </c>
      <c r="B38" s="13"/>
      <c r="C38" s="13"/>
      <c r="D38" s="13"/>
      <c r="E38" s="13"/>
      <c r="F38" s="13"/>
      <c r="G38" s="13"/>
      <c r="H38" s="13"/>
      <c r="I38" s="13"/>
      <c r="J38" s="13">
        <v>13387</v>
      </c>
      <c r="K38" s="13">
        <v>4422</v>
      </c>
      <c r="L38" s="13">
        <v>6985</v>
      </c>
      <c r="M38" s="13">
        <v>8083</v>
      </c>
    </row>
    <row r="39" spans="1:13">
      <c r="A39" s="257" t="s">
        <v>562</v>
      </c>
      <c r="B39" s="13">
        <v>4617164</v>
      </c>
      <c r="C39" s="13">
        <v>3751157</v>
      </c>
      <c r="D39" s="13">
        <v>4614580</v>
      </c>
      <c r="E39" s="13">
        <v>4680739</v>
      </c>
      <c r="F39" s="13">
        <v>4769599</v>
      </c>
      <c r="G39" s="13">
        <v>4503085</v>
      </c>
      <c r="H39" s="13">
        <v>4681702.9897238901</v>
      </c>
      <c r="I39" s="13">
        <v>3056075</v>
      </c>
      <c r="J39" s="13">
        <v>4894166</v>
      </c>
      <c r="K39" s="13">
        <v>4845201</v>
      </c>
      <c r="L39" s="13">
        <v>146371</v>
      </c>
      <c r="M39" s="13">
        <v>3490397</v>
      </c>
    </row>
    <row r="40" spans="1:13">
      <c r="A40" s="257" t="s">
        <v>571</v>
      </c>
      <c r="B40" s="13">
        <v>0</v>
      </c>
      <c r="C40" s="13">
        <v>0</v>
      </c>
      <c r="D40" s="13">
        <v>7987883</v>
      </c>
      <c r="E40" s="13">
        <v>0</v>
      </c>
      <c r="F40" s="13">
        <v>0</v>
      </c>
      <c r="G40" s="13">
        <v>0</v>
      </c>
      <c r="H40" s="13">
        <v>0</v>
      </c>
      <c r="I40" s="13">
        <v>0</v>
      </c>
      <c r="J40" s="13">
        <v>0</v>
      </c>
      <c r="K40" s="13">
        <v>0</v>
      </c>
      <c r="L40" s="13">
        <v>0</v>
      </c>
      <c r="M40" s="13">
        <v>0</v>
      </c>
    </row>
    <row r="41" spans="1:13">
      <c r="A41" s="257" t="s">
        <v>572</v>
      </c>
      <c r="B41" s="13">
        <v>0</v>
      </c>
      <c r="C41" s="13">
        <v>5</v>
      </c>
      <c r="D41" s="13">
        <v>5</v>
      </c>
      <c r="E41" s="13">
        <v>6</v>
      </c>
      <c r="F41" s="13">
        <v>6</v>
      </c>
      <c r="G41" s="13">
        <v>54</v>
      </c>
      <c r="H41" s="13">
        <v>1370.9384</v>
      </c>
      <c r="I41" s="13">
        <v>738</v>
      </c>
      <c r="J41" s="13">
        <v>247</v>
      </c>
      <c r="K41" s="13">
        <v>211</v>
      </c>
      <c r="L41" s="13">
        <v>246</v>
      </c>
      <c r="M41" s="13">
        <v>232</v>
      </c>
    </row>
    <row r="42" spans="1:13">
      <c r="A42" s="257" t="s">
        <v>542</v>
      </c>
      <c r="B42" s="13">
        <v>2835777766</v>
      </c>
      <c r="C42" s="13">
        <v>5518968068</v>
      </c>
      <c r="D42" s="13">
        <v>5248795558</v>
      </c>
      <c r="E42" s="13">
        <v>8929736489</v>
      </c>
      <c r="F42" s="13">
        <v>5873437065</v>
      </c>
      <c r="G42" s="13">
        <v>5886019140</v>
      </c>
      <c r="H42" s="13">
        <v>5987810477.0545492</v>
      </c>
      <c r="I42" s="13">
        <v>6733154391</v>
      </c>
      <c r="J42" s="13">
        <v>9017495476</v>
      </c>
      <c r="K42" s="13">
        <v>5818565835</v>
      </c>
      <c r="L42" s="13">
        <v>5883667990</v>
      </c>
      <c r="M42" s="13">
        <v>7351033957</v>
      </c>
    </row>
    <row r="43" spans="1:13">
      <c r="A43" s="257" t="s">
        <v>581</v>
      </c>
      <c r="B43" s="13"/>
      <c r="C43" s="13"/>
      <c r="D43" s="13"/>
      <c r="E43" s="13"/>
      <c r="F43" s="13"/>
      <c r="G43" s="13">
        <v>0</v>
      </c>
      <c r="H43" s="13">
        <v>12032</v>
      </c>
      <c r="I43" s="13">
        <v>184044</v>
      </c>
      <c r="J43" s="13">
        <v>223311</v>
      </c>
      <c r="K43" s="13">
        <v>246622</v>
      </c>
      <c r="L43" s="13">
        <v>1620872</v>
      </c>
      <c r="M43" s="13">
        <v>4849806</v>
      </c>
    </row>
    <row r="44" spans="1:13">
      <c r="A44" s="257" t="s">
        <v>582</v>
      </c>
      <c r="B44" s="13"/>
      <c r="C44" s="13"/>
      <c r="D44" s="13"/>
      <c r="E44" s="13"/>
      <c r="F44" s="13"/>
      <c r="G44" s="13"/>
      <c r="H44" s="13"/>
      <c r="I44" s="13"/>
      <c r="J44" s="13">
        <v>7065</v>
      </c>
      <c r="K44" s="13">
        <v>18151</v>
      </c>
      <c r="L44" s="13">
        <v>20331</v>
      </c>
      <c r="M44" s="13">
        <v>22161</v>
      </c>
    </row>
    <row r="45" spans="1:13">
      <c r="A45" s="257" t="s">
        <v>586</v>
      </c>
      <c r="B45" s="13"/>
      <c r="C45" s="13"/>
      <c r="D45" s="13"/>
      <c r="E45" s="13"/>
      <c r="F45" s="13"/>
      <c r="G45" s="13"/>
      <c r="H45" s="13"/>
      <c r="I45" s="13"/>
      <c r="J45" s="13"/>
      <c r="K45" s="13"/>
      <c r="L45" s="13">
        <v>23171</v>
      </c>
      <c r="M45" s="13">
        <v>36913</v>
      </c>
    </row>
    <row r="46" spans="1:13">
      <c r="A46" s="257" t="s">
        <v>564</v>
      </c>
      <c r="B46" s="13">
        <v>7595237</v>
      </c>
      <c r="C46" s="13">
        <v>7654818</v>
      </c>
      <c r="D46" s="13">
        <v>6913775</v>
      </c>
      <c r="E46" s="13">
        <v>10378012</v>
      </c>
      <c r="F46" s="13">
        <v>16438773</v>
      </c>
      <c r="G46" s="13">
        <v>20227398</v>
      </c>
      <c r="H46" s="13">
        <v>21665822</v>
      </c>
      <c r="I46" s="13">
        <v>19223375</v>
      </c>
      <c r="J46" s="13">
        <v>23491836</v>
      </c>
      <c r="K46" s="13">
        <v>23596073</v>
      </c>
      <c r="L46" s="13">
        <v>21690710</v>
      </c>
      <c r="M46" s="13">
        <v>27133587</v>
      </c>
    </row>
    <row r="47" spans="1:13">
      <c r="A47" s="257" t="s">
        <v>566</v>
      </c>
      <c r="B47" s="13">
        <v>7943453</v>
      </c>
      <c r="C47" s="13">
        <v>3335034</v>
      </c>
      <c r="D47" s="13">
        <v>3265803</v>
      </c>
      <c r="E47" s="13">
        <v>3354486</v>
      </c>
      <c r="F47" s="13">
        <v>3340268</v>
      </c>
      <c r="G47" s="13">
        <v>3307884</v>
      </c>
      <c r="H47" s="13">
        <v>3427707</v>
      </c>
      <c r="I47" s="13">
        <v>3507599</v>
      </c>
      <c r="J47" s="13">
        <v>3449608</v>
      </c>
      <c r="K47" s="13">
        <v>3603187</v>
      </c>
      <c r="L47" s="13">
        <v>3771584</v>
      </c>
      <c r="M47" s="13">
        <v>4056006</v>
      </c>
    </row>
    <row r="48" spans="1:13">
      <c r="A48" s="257" t="s">
        <v>576</v>
      </c>
      <c r="B48" s="13"/>
      <c r="C48" s="13"/>
      <c r="D48" s="13"/>
      <c r="E48" s="13"/>
      <c r="F48" s="13"/>
      <c r="G48" s="13"/>
      <c r="H48" s="13"/>
      <c r="I48" s="13"/>
      <c r="J48" s="13"/>
      <c r="K48" s="13">
        <v>13362</v>
      </c>
      <c r="L48" s="13">
        <v>1435706</v>
      </c>
      <c r="M48" s="13">
        <v>4175979</v>
      </c>
    </row>
    <row r="49" spans="1:13">
      <c r="A49" s="257" t="s">
        <v>584</v>
      </c>
      <c r="B49" s="13"/>
      <c r="C49" s="13"/>
      <c r="D49" s="13"/>
      <c r="E49" s="13"/>
      <c r="F49" s="13"/>
      <c r="G49" s="13"/>
      <c r="H49" s="13"/>
      <c r="I49" s="13"/>
      <c r="J49" s="13"/>
      <c r="K49" s="13">
        <v>370274</v>
      </c>
      <c r="L49" s="13">
        <v>1789499</v>
      </c>
      <c r="M49" s="13">
        <v>1360790</v>
      </c>
    </row>
    <row r="50" spans="1:13">
      <c r="A50" s="257" t="s">
        <v>585</v>
      </c>
      <c r="B50" s="13"/>
      <c r="C50" s="13"/>
      <c r="D50" s="13"/>
      <c r="E50" s="13"/>
      <c r="F50" s="13"/>
      <c r="G50" s="13"/>
      <c r="H50" s="13"/>
      <c r="I50" s="13">
        <v>19309</v>
      </c>
      <c r="J50" s="13">
        <v>210145</v>
      </c>
      <c r="K50" s="13">
        <v>250984</v>
      </c>
      <c r="L50" s="13">
        <v>796456</v>
      </c>
      <c r="M50" s="13">
        <v>1161356</v>
      </c>
    </row>
    <row r="51" spans="1:13">
      <c r="A51" s="257" t="s">
        <v>578</v>
      </c>
      <c r="B51" s="13"/>
      <c r="C51" s="13"/>
      <c r="D51" s="13"/>
      <c r="E51" s="13"/>
      <c r="F51" s="13">
        <v>808</v>
      </c>
      <c r="G51" s="13">
        <v>14506</v>
      </c>
      <c r="H51" s="13">
        <v>16318</v>
      </c>
      <c r="I51" s="13">
        <v>12535</v>
      </c>
      <c r="J51" s="13">
        <v>13166</v>
      </c>
      <c r="K51" s="13">
        <v>13112</v>
      </c>
      <c r="L51" s="13">
        <v>11112</v>
      </c>
      <c r="M51" s="13">
        <v>13060</v>
      </c>
    </row>
    <row r="52" spans="1:13">
      <c r="A52" s="257" t="s">
        <v>565</v>
      </c>
      <c r="B52" s="13">
        <v>29785612</v>
      </c>
      <c r="C52" s="13">
        <v>18023639</v>
      </c>
      <c r="D52" s="13">
        <v>24304360</v>
      </c>
      <c r="E52" s="13">
        <v>31558871</v>
      </c>
      <c r="F52" s="13">
        <v>32141643</v>
      </c>
      <c r="G52" s="13">
        <v>40572449</v>
      </c>
      <c r="H52" s="13">
        <v>46471422.151691161</v>
      </c>
      <c r="I52" s="13">
        <v>33916708</v>
      </c>
      <c r="J52" s="13">
        <v>54902746</v>
      </c>
      <c r="K52" s="13">
        <v>59291320</v>
      </c>
      <c r="L52" s="13">
        <v>2493</v>
      </c>
      <c r="M52" s="13">
        <v>40179134</v>
      </c>
    </row>
    <row r="53" spans="1:13">
      <c r="A53" s="257" t="s">
        <v>567</v>
      </c>
      <c r="B53" s="13">
        <v>166388350</v>
      </c>
      <c r="C53" s="13">
        <v>157941611</v>
      </c>
      <c r="D53" s="13">
        <v>146060949</v>
      </c>
      <c r="E53" s="13">
        <v>151058066</v>
      </c>
      <c r="F53" s="13">
        <v>147805535</v>
      </c>
      <c r="G53" s="13">
        <v>136755797</v>
      </c>
      <c r="H53" s="13">
        <v>148686536.05519998</v>
      </c>
      <c r="I53" s="13">
        <v>149106806</v>
      </c>
      <c r="J53" s="13">
        <v>147568021</v>
      </c>
      <c r="K53" s="13">
        <v>133703152</v>
      </c>
      <c r="L53" s="13">
        <v>114052539</v>
      </c>
      <c r="M53" s="13">
        <v>129061819</v>
      </c>
    </row>
    <row r="54" spans="1:13">
      <c r="A54" s="257" t="s">
        <v>568</v>
      </c>
      <c r="B54" s="13">
        <v>1718618659</v>
      </c>
      <c r="C54" s="13">
        <v>2577899498</v>
      </c>
      <c r="D54" s="13">
        <v>2577406939</v>
      </c>
      <c r="E54" s="13">
        <v>2725470596</v>
      </c>
      <c r="F54" s="13">
        <v>2646114816</v>
      </c>
      <c r="G54" s="13">
        <v>2646577566</v>
      </c>
      <c r="H54" s="13">
        <v>2853782761.8115277</v>
      </c>
      <c r="I54" s="13">
        <v>2875788808.75</v>
      </c>
      <c r="J54" s="13">
        <v>3115138625</v>
      </c>
      <c r="K54" s="13">
        <v>3023196236</v>
      </c>
      <c r="L54" s="13">
        <v>2562048571</v>
      </c>
      <c r="M54" s="13">
        <v>3180483030</v>
      </c>
    </row>
    <row r="55" spans="1:13">
      <c r="A55" s="257" t="s">
        <v>569</v>
      </c>
      <c r="B55" s="13"/>
      <c r="C55" s="13"/>
      <c r="D55" s="13"/>
      <c r="E55" s="13"/>
      <c r="F55" s="13">
        <v>42</v>
      </c>
      <c r="G55" s="13">
        <v>23</v>
      </c>
      <c r="H55" s="13">
        <v>406.20200048818901</v>
      </c>
      <c r="I55" s="13">
        <v>8243</v>
      </c>
      <c r="J55" s="13">
        <v>11205</v>
      </c>
      <c r="K55" s="13">
        <v>4009</v>
      </c>
      <c r="L55" s="13">
        <v>0</v>
      </c>
      <c r="M55" s="13">
        <v>14680</v>
      </c>
    </row>
    <row r="56" spans="1:13">
      <c r="A56" s="257" t="s">
        <v>570</v>
      </c>
      <c r="B56" s="13">
        <v>85121592</v>
      </c>
      <c r="C56" s="13">
        <v>82501773</v>
      </c>
      <c r="D56" s="13">
        <v>77007814</v>
      </c>
      <c r="E56" s="13">
        <v>59390196</v>
      </c>
      <c r="F56" s="13">
        <v>50621161</v>
      </c>
      <c r="G56" s="13">
        <v>47395192</v>
      </c>
      <c r="H56" s="13">
        <v>51245023</v>
      </c>
      <c r="I56" s="13">
        <v>48741047</v>
      </c>
      <c r="J56" s="13">
        <v>43067663</v>
      </c>
      <c r="K56" s="13">
        <v>42252384</v>
      </c>
      <c r="L56" s="13">
        <v>29119948</v>
      </c>
      <c r="M56" s="13">
        <v>24349320</v>
      </c>
    </row>
    <row r="57" spans="1:13">
      <c r="A57" s="257" t="s">
        <v>575</v>
      </c>
      <c r="B57" s="13">
        <v>487422</v>
      </c>
      <c r="C57" s="13">
        <v>859734</v>
      </c>
      <c r="D57" s="13">
        <v>863859</v>
      </c>
      <c r="E57" s="13">
        <v>852610</v>
      </c>
      <c r="F57" s="13">
        <v>859209</v>
      </c>
      <c r="G57" s="13">
        <v>819580</v>
      </c>
      <c r="H57" s="13">
        <v>875797</v>
      </c>
      <c r="I57" s="13">
        <v>865537</v>
      </c>
      <c r="J57" s="13">
        <v>913051</v>
      </c>
      <c r="K57" s="13">
        <v>863269</v>
      </c>
      <c r="L57" s="13">
        <v>766731</v>
      </c>
      <c r="M57" s="13">
        <v>891036</v>
      </c>
    </row>
    <row r="58" spans="1:13">
      <c r="A58" s="257" t="s">
        <v>577</v>
      </c>
      <c r="B58" s="13">
        <v>2338792</v>
      </c>
      <c r="C58" s="13">
        <v>2617830</v>
      </c>
      <c r="D58" s="13">
        <v>3703265</v>
      </c>
      <c r="E58" s="13">
        <v>5506954</v>
      </c>
      <c r="F58" s="13">
        <v>5176171</v>
      </c>
      <c r="G58" s="13">
        <v>4171477</v>
      </c>
      <c r="H58" s="13">
        <v>4336485.5986965857</v>
      </c>
      <c r="I58" s="13">
        <v>3641829</v>
      </c>
      <c r="J58" s="13">
        <v>0</v>
      </c>
      <c r="K58" s="13">
        <v>0</v>
      </c>
      <c r="L58" s="13">
        <v>0</v>
      </c>
      <c r="M58" s="13">
        <v>0</v>
      </c>
    </row>
    <row r="59" spans="1:13">
      <c r="A59" s="256" t="s">
        <v>391</v>
      </c>
      <c r="B59" s="13">
        <v>18188591</v>
      </c>
      <c r="C59" s="13">
        <v>207739366</v>
      </c>
      <c r="D59" s="13">
        <v>207150725</v>
      </c>
      <c r="E59" s="13">
        <v>237452954</v>
      </c>
      <c r="F59" s="13">
        <v>182822172</v>
      </c>
      <c r="G59" s="13">
        <v>199077426</v>
      </c>
      <c r="H59" s="13">
        <v>185608265.17360002</v>
      </c>
      <c r="I59" s="13">
        <v>195563752</v>
      </c>
      <c r="J59" s="13">
        <v>203029290</v>
      </c>
      <c r="K59" s="13">
        <v>221748189</v>
      </c>
      <c r="L59" s="13">
        <v>222950439</v>
      </c>
      <c r="M59" s="13">
        <v>234123393</v>
      </c>
    </row>
    <row r="60" spans="1:13">
      <c r="A60" s="257" t="s">
        <v>391</v>
      </c>
      <c r="B60" s="13">
        <v>18188591</v>
      </c>
      <c r="C60" s="13">
        <v>207739366</v>
      </c>
      <c r="D60" s="13">
        <v>207150725</v>
      </c>
      <c r="E60" s="13">
        <v>237452954</v>
      </c>
      <c r="F60" s="13">
        <v>182822172</v>
      </c>
      <c r="G60" s="13">
        <v>199077426</v>
      </c>
      <c r="H60" s="13">
        <v>185608265.17360002</v>
      </c>
      <c r="I60" s="13">
        <v>195563752</v>
      </c>
      <c r="J60" s="13">
        <v>203029290</v>
      </c>
      <c r="K60" s="13">
        <v>221748189</v>
      </c>
      <c r="L60" s="13">
        <v>222950439</v>
      </c>
      <c r="M60" s="13">
        <v>234123393</v>
      </c>
    </row>
    <row r="61" spans="1:13">
      <c r="A61" s="256" t="s">
        <v>548</v>
      </c>
      <c r="B61" s="13">
        <v>4928748409</v>
      </c>
      <c r="C61" s="13">
        <v>8658501113</v>
      </c>
      <c r="D61" s="13">
        <v>8388238204</v>
      </c>
      <c r="E61" s="13">
        <v>12237331015</v>
      </c>
      <c r="F61" s="13">
        <v>9037182475</v>
      </c>
      <c r="G61" s="13">
        <v>16333576544</v>
      </c>
      <c r="H61" s="13">
        <v>10092142311.695587</v>
      </c>
      <c r="I61" s="13">
        <v>11010531161.75</v>
      </c>
      <c r="J61" s="13">
        <v>13671816858</v>
      </c>
      <c r="K61" s="13">
        <v>10649896783</v>
      </c>
      <c r="L61" s="13">
        <v>12464246686</v>
      </c>
      <c r="M61" s="13">
        <v>12910469675</v>
      </c>
    </row>
    <row r="64" spans="1:13">
      <c r="A64" s="255" t="s">
        <v>539</v>
      </c>
      <c r="B64" t="s">
        <v>736</v>
      </c>
      <c r="C64" t="s">
        <v>737</v>
      </c>
      <c r="D64" t="s">
        <v>738</v>
      </c>
      <c r="E64" t="s">
        <v>550</v>
      </c>
      <c r="F64" t="s">
        <v>551</v>
      </c>
      <c r="G64" t="s">
        <v>552</v>
      </c>
      <c r="H64" t="s">
        <v>553</v>
      </c>
      <c r="I64" t="s">
        <v>554</v>
      </c>
      <c r="J64" t="s">
        <v>555</v>
      </c>
      <c r="K64" t="s">
        <v>556</v>
      </c>
      <c r="L64" t="s">
        <v>557</v>
      </c>
      <c r="M64" t="s">
        <v>540</v>
      </c>
    </row>
    <row r="65" spans="1:13">
      <c r="A65" s="256" t="s">
        <v>541</v>
      </c>
      <c r="B65" s="13">
        <v>487090385</v>
      </c>
      <c r="C65" s="13">
        <v>767592030</v>
      </c>
      <c r="D65" s="13">
        <v>596421004</v>
      </c>
      <c r="E65" s="13">
        <v>974563484</v>
      </c>
      <c r="F65" s="13">
        <v>740535918</v>
      </c>
      <c r="G65" s="13">
        <v>949642261</v>
      </c>
      <c r="H65" s="13">
        <v>650926203</v>
      </c>
      <c r="I65" s="13">
        <v>916280001</v>
      </c>
      <c r="J65" s="13">
        <v>669160974</v>
      </c>
      <c r="K65" s="13">
        <v>894789092</v>
      </c>
      <c r="L65" s="13">
        <v>429920311</v>
      </c>
      <c r="M65" s="13">
        <v>504766397</v>
      </c>
    </row>
    <row r="66" spans="1:13">
      <c r="A66" s="257" t="s">
        <v>542</v>
      </c>
      <c r="B66" s="13">
        <v>487090385</v>
      </c>
      <c r="C66" s="13">
        <v>767592030</v>
      </c>
      <c r="D66" s="13">
        <v>596421004</v>
      </c>
      <c r="E66" s="13">
        <v>974563484</v>
      </c>
      <c r="F66" s="13">
        <v>740535918</v>
      </c>
      <c r="G66" s="13">
        <v>949642261</v>
      </c>
      <c r="H66" s="13">
        <v>650926203</v>
      </c>
      <c r="I66" s="13">
        <v>916280001</v>
      </c>
      <c r="J66" s="13">
        <v>669160974</v>
      </c>
      <c r="K66" s="13">
        <v>894789092</v>
      </c>
      <c r="L66" s="13">
        <v>429920311</v>
      </c>
      <c r="M66" s="13">
        <v>504766397</v>
      </c>
    </row>
    <row r="67" spans="1:13">
      <c r="A67" s="258" t="s">
        <v>542</v>
      </c>
      <c r="B67" s="13">
        <v>480068443</v>
      </c>
      <c r="C67" s="13">
        <v>761389808</v>
      </c>
      <c r="D67" s="13">
        <v>590260969</v>
      </c>
      <c r="E67" s="13">
        <v>968344851</v>
      </c>
      <c r="F67" s="13">
        <v>733951290</v>
      </c>
      <c r="G67" s="13">
        <v>944443949</v>
      </c>
      <c r="H67" s="13">
        <v>644277143</v>
      </c>
      <c r="I67" s="13">
        <v>909473492</v>
      </c>
      <c r="J67" s="13">
        <v>663356159</v>
      </c>
      <c r="K67" s="13">
        <v>888242646</v>
      </c>
      <c r="L67" s="13">
        <v>424453663</v>
      </c>
      <c r="M67" s="13">
        <v>499174858</v>
      </c>
    </row>
    <row r="68" spans="1:13">
      <c r="A68" s="258" t="s">
        <v>567</v>
      </c>
      <c r="B68" s="13">
        <v>7021942</v>
      </c>
      <c r="C68" s="13">
        <v>6202222</v>
      </c>
      <c r="D68" s="13">
        <v>6160035</v>
      </c>
      <c r="E68" s="13">
        <v>6218633</v>
      </c>
      <c r="F68" s="13">
        <v>6584628</v>
      </c>
      <c r="G68" s="13">
        <v>5198312</v>
      </c>
      <c r="H68" s="13">
        <v>6649060</v>
      </c>
      <c r="I68" s="13">
        <v>6806509</v>
      </c>
      <c r="J68" s="13">
        <v>5804815</v>
      </c>
      <c r="K68" s="13">
        <v>6546446</v>
      </c>
      <c r="L68" s="13">
        <v>5466648</v>
      </c>
      <c r="M68" s="13">
        <v>5591539</v>
      </c>
    </row>
    <row r="69" spans="1:13">
      <c r="A69" s="256" t="s">
        <v>543</v>
      </c>
      <c r="B69" s="13">
        <v>3006025542</v>
      </c>
      <c r="C69" s="13">
        <v>2940259556</v>
      </c>
      <c r="D69" s="13">
        <v>3044038748</v>
      </c>
      <c r="E69" s="13">
        <v>6294935396</v>
      </c>
      <c r="F69" s="13">
        <v>3260806399</v>
      </c>
      <c r="G69" s="13">
        <v>10558514935</v>
      </c>
      <c r="H69" s="13">
        <v>4385145295</v>
      </c>
      <c r="I69" s="13">
        <v>4773388052</v>
      </c>
      <c r="J69" s="13">
        <v>7098320553</v>
      </c>
      <c r="K69" s="13">
        <v>4490681671</v>
      </c>
      <c r="L69" s="13">
        <v>6662124053</v>
      </c>
      <c r="M69" s="13">
        <v>5793090939</v>
      </c>
    </row>
    <row r="70" spans="1:13">
      <c r="A70" s="257" t="s">
        <v>544</v>
      </c>
      <c r="B70" s="13">
        <v>50454436</v>
      </c>
      <c r="C70" s="13">
        <v>49483753</v>
      </c>
      <c r="D70" s="13">
        <v>53274378</v>
      </c>
      <c r="E70" s="13">
        <v>50399448</v>
      </c>
      <c r="F70" s="13">
        <v>46819477</v>
      </c>
      <c r="G70" s="13">
        <v>42868625</v>
      </c>
      <c r="H70" s="13">
        <v>46741008</v>
      </c>
      <c r="I70" s="13">
        <v>43309097</v>
      </c>
      <c r="J70" s="13">
        <v>46584615</v>
      </c>
      <c r="K70" s="13">
        <v>42134889</v>
      </c>
      <c r="L70" s="13">
        <v>14687809</v>
      </c>
      <c r="M70" s="13">
        <v>17336978</v>
      </c>
    </row>
    <row r="71" spans="1:13">
      <c r="A71" s="258" t="s">
        <v>544</v>
      </c>
      <c r="B71" s="13">
        <v>50454436</v>
      </c>
      <c r="C71" s="13">
        <v>49483753</v>
      </c>
      <c r="D71" s="13">
        <v>53274378</v>
      </c>
      <c r="E71" s="13">
        <v>50399448</v>
      </c>
      <c r="F71" s="13">
        <v>46819477</v>
      </c>
      <c r="G71" s="13">
        <v>42868625</v>
      </c>
      <c r="H71" s="13">
        <v>46741008</v>
      </c>
      <c r="I71" s="13">
        <v>43309097</v>
      </c>
      <c r="J71" s="13">
        <v>46584615</v>
      </c>
      <c r="K71" s="13">
        <v>42134889</v>
      </c>
      <c r="L71" s="13">
        <v>14687809</v>
      </c>
      <c r="M71" s="13">
        <v>17336978</v>
      </c>
    </row>
    <row r="72" spans="1:13">
      <c r="A72" s="257" t="s">
        <v>545</v>
      </c>
      <c r="B72" s="13"/>
      <c r="C72" s="13"/>
      <c r="D72" s="13"/>
      <c r="E72" s="13"/>
      <c r="F72" s="13">
        <v>14007</v>
      </c>
      <c r="G72" s="13">
        <v>7274281183</v>
      </c>
      <c r="H72" s="13">
        <v>708782514</v>
      </c>
      <c r="I72" s="13">
        <v>873132036</v>
      </c>
      <c r="J72" s="13">
        <v>981513185</v>
      </c>
      <c r="K72" s="13">
        <v>1246271540</v>
      </c>
      <c r="L72" s="13">
        <v>3578577321</v>
      </c>
      <c r="M72" s="13">
        <v>1858260858</v>
      </c>
    </row>
    <row r="73" spans="1:13">
      <c r="A73" s="258" t="s">
        <v>545</v>
      </c>
      <c r="B73" s="13"/>
      <c r="C73" s="13"/>
      <c r="D73" s="13"/>
      <c r="E73" s="13"/>
      <c r="F73" s="13">
        <v>14007</v>
      </c>
      <c r="G73" s="13">
        <v>7274281183</v>
      </c>
      <c r="H73" s="13">
        <v>708782514</v>
      </c>
      <c r="I73" s="13">
        <v>873132036</v>
      </c>
      <c r="J73" s="13">
        <v>981513185</v>
      </c>
      <c r="K73" s="13">
        <v>1246271540</v>
      </c>
      <c r="L73" s="13">
        <v>3578577321</v>
      </c>
      <c r="M73" s="13">
        <v>1858260858</v>
      </c>
    </row>
    <row r="74" spans="1:13">
      <c r="A74" s="257" t="s">
        <v>542</v>
      </c>
      <c r="B74" s="13">
        <v>2937382515</v>
      </c>
      <c r="C74" s="13">
        <v>2848447969</v>
      </c>
      <c r="D74" s="13">
        <v>2939415428</v>
      </c>
      <c r="E74" s="13">
        <v>6166619330</v>
      </c>
      <c r="F74" s="13">
        <v>3189164504</v>
      </c>
      <c r="G74" s="13">
        <v>3195510666</v>
      </c>
      <c r="H74" s="13">
        <v>3601643553</v>
      </c>
      <c r="I74" s="13">
        <v>3819128841</v>
      </c>
      <c r="J74" s="13">
        <v>6034541635</v>
      </c>
      <c r="K74" s="13">
        <v>3140263831</v>
      </c>
      <c r="L74" s="13">
        <v>2999851500</v>
      </c>
      <c r="M74" s="13">
        <v>3837743597</v>
      </c>
    </row>
    <row r="75" spans="1:13">
      <c r="A75" s="258" t="s">
        <v>573</v>
      </c>
      <c r="B75" s="13">
        <v>847662</v>
      </c>
      <c r="C75" s="13">
        <v>831954</v>
      </c>
      <c r="D75" s="13">
        <v>819863</v>
      </c>
      <c r="E75" s="13">
        <v>1055148</v>
      </c>
      <c r="F75" s="13">
        <v>1471063</v>
      </c>
      <c r="G75" s="13">
        <v>1465145</v>
      </c>
      <c r="H75" s="13">
        <v>1505713</v>
      </c>
      <c r="I75" s="13">
        <v>1520310</v>
      </c>
      <c r="J75" s="13">
        <v>1893141</v>
      </c>
      <c r="K75" s="13">
        <v>2089818</v>
      </c>
      <c r="L75" s="13">
        <v>1858983</v>
      </c>
      <c r="M75" s="13">
        <v>2478161</v>
      </c>
    </row>
    <row r="76" spans="1:13">
      <c r="A76" s="258" t="s">
        <v>583</v>
      </c>
      <c r="B76" s="13"/>
      <c r="C76" s="13"/>
      <c r="D76" s="13"/>
      <c r="E76" s="13"/>
      <c r="F76" s="13"/>
      <c r="G76" s="13"/>
      <c r="H76" s="13"/>
      <c r="I76" s="13"/>
      <c r="J76" s="13">
        <v>13387</v>
      </c>
      <c r="K76" s="13">
        <v>4422</v>
      </c>
      <c r="L76" s="13">
        <v>6985</v>
      </c>
      <c r="M76" s="13">
        <v>8083</v>
      </c>
    </row>
    <row r="77" spans="1:13">
      <c r="A77" s="258" t="s">
        <v>562</v>
      </c>
      <c r="B77" s="13"/>
      <c r="C77" s="13"/>
      <c r="D77" s="13"/>
      <c r="E77" s="13">
        <v>23164</v>
      </c>
      <c r="F77" s="13">
        <v>145340</v>
      </c>
      <c r="G77" s="13">
        <v>142739</v>
      </c>
      <c r="H77" s="13">
        <v>145778</v>
      </c>
      <c r="I77" s="13">
        <v>150607</v>
      </c>
      <c r="J77" s="13">
        <v>146609</v>
      </c>
      <c r="K77" s="13">
        <v>147869</v>
      </c>
      <c r="L77" s="13">
        <v>146182</v>
      </c>
      <c r="M77" s="13">
        <v>167787</v>
      </c>
    </row>
    <row r="78" spans="1:13">
      <c r="A78" s="258" t="s">
        <v>542</v>
      </c>
      <c r="B78" s="13">
        <v>1164600271</v>
      </c>
      <c r="C78" s="13">
        <v>1033920507</v>
      </c>
      <c r="D78" s="13">
        <v>1157612064</v>
      </c>
      <c r="E78" s="13">
        <v>4207544056</v>
      </c>
      <c r="F78" s="13">
        <v>1293279739</v>
      </c>
      <c r="G78" s="13">
        <v>1285894755</v>
      </c>
      <c r="H78" s="13">
        <v>1547557436</v>
      </c>
      <c r="I78" s="13">
        <v>1687286199</v>
      </c>
      <c r="J78" s="13">
        <v>3836070626</v>
      </c>
      <c r="K78" s="13">
        <v>996029964</v>
      </c>
      <c r="L78" s="13">
        <v>1298045483</v>
      </c>
      <c r="M78" s="13">
        <v>1710512563</v>
      </c>
    </row>
    <row r="79" spans="1:13">
      <c r="A79" s="258" t="s">
        <v>581</v>
      </c>
      <c r="B79" s="13"/>
      <c r="C79" s="13"/>
      <c r="D79" s="13"/>
      <c r="E79" s="13"/>
      <c r="F79" s="13"/>
      <c r="G79" s="13">
        <v>0</v>
      </c>
      <c r="H79" s="13">
        <v>12032</v>
      </c>
      <c r="I79" s="13">
        <v>184044</v>
      </c>
      <c r="J79" s="13">
        <v>223311</v>
      </c>
      <c r="K79" s="13">
        <v>245741</v>
      </c>
      <c r="L79" s="13">
        <v>1620872</v>
      </c>
      <c r="M79" s="13">
        <v>4849681</v>
      </c>
    </row>
    <row r="80" spans="1:13">
      <c r="A80" s="258" t="s">
        <v>586</v>
      </c>
      <c r="B80" s="13"/>
      <c r="C80" s="13"/>
      <c r="D80" s="13"/>
      <c r="E80" s="13"/>
      <c r="F80" s="13"/>
      <c r="G80" s="13"/>
      <c r="H80" s="13"/>
      <c r="I80" s="13"/>
      <c r="J80" s="13"/>
      <c r="K80" s="13"/>
      <c r="L80" s="13">
        <v>23171</v>
      </c>
      <c r="M80" s="13">
        <v>36913</v>
      </c>
    </row>
    <row r="81" spans="1:13">
      <c r="A81" s="258" t="s">
        <v>564</v>
      </c>
      <c r="B81" s="13">
        <v>7595237</v>
      </c>
      <c r="C81" s="13">
        <v>7654818</v>
      </c>
      <c r="D81" s="13">
        <v>6913775</v>
      </c>
      <c r="E81" s="13">
        <v>10378012</v>
      </c>
      <c r="F81" s="13">
        <v>16438773</v>
      </c>
      <c r="G81" s="13">
        <v>20227398</v>
      </c>
      <c r="H81" s="13">
        <v>21074628</v>
      </c>
      <c r="I81" s="13">
        <v>18572305</v>
      </c>
      <c r="J81" s="13">
        <v>22714023</v>
      </c>
      <c r="K81" s="13">
        <v>22790740</v>
      </c>
      <c r="L81" s="13">
        <v>20797881</v>
      </c>
      <c r="M81" s="13">
        <v>26212266</v>
      </c>
    </row>
    <row r="82" spans="1:13">
      <c r="A82" s="258" t="s">
        <v>566</v>
      </c>
      <c r="B82" s="13">
        <v>7943453</v>
      </c>
      <c r="C82" s="13">
        <v>3335034</v>
      </c>
      <c r="D82" s="13">
        <v>3265803</v>
      </c>
      <c r="E82" s="13">
        <v>3354486</v>
      </c>
      <c r="F82" s="13">
        <v>3340268</v>
      </c>
      <c r="G82" s="13">
        <v>3307884</v>
      </c>
      <c r="H82" s="13">
        <v>3427707</v>
      </c>
      <c r="I82" s="13">
        <v>3507599</v>
      </c>
      <c r="J82" s="13">
        <v>3449608</v>
      </c>
      <c r="K82" s="13">
        <v>3603187</v>
      </c>
      <c r="L82" s="13">
        <v>3771584</v>
      </c>
      <c r="M82" s="13">
        <v>4056006</v>
      </c>
    </row>
    <row r="83" spans="1:13">
      <c r="A83" s="258" t="s">
        <v>576</v>
      </c>
      <c r="B83" s="13"/>
      <c r="C83" s="13"/>
      <c r="D83" s="13"/>
      <c r="E83" s="13"/>
      <c r="F83" s="13"/>
      <c r="G83" s="13"/>
      <c r="H83" s="13"/>
      <c r="I83" s="13"/>
      <c r="J83" s="13"/>
      <c r="K83" s="13">
        <v>13362</v>
      </c>
      <c r="L83" s="13">
        <v>1435706</v>
      </c>
      <c r="M83" s="13">
        <v>4175979</v>
      </c>
    </row>
    <row r="84" spans="1:13">
      <c r="A84" s="258" t="s">
        <v>584</v>
      </c>
      <c r="B84" s="13"/>
      <c r="C84" s="13"/>
      <c r="D84" s="13"/>
      <c r="E84" s="13"/>
      <c r="F84" s="13"/>
      <c r="G84" s="13"/>
      <c r="H84" s="13"/>
      <c r="I84" s="13"/>
      <c r="J84" s="13"/>
      <c r="K84" s="13">
        <v>370274</v>
      </c>
      <c r="L84" s="13">
        <v>1789499</v>
      </c>
      <c r="M84" s="13">
        <v>1360790</v>
      </c>
    </row>
    <row r="85" spans="1:13">
      <c r="A85" s="258" t="s">
        <v>585</v>
      </c>
      <c r="B85" s="13"/>
      <c r="C85" s="13"/>
      <c r="D85" s="13"/>
      <c r="E85" s="13"/>
      <c r="F85" s="13"/>
      <c r="G85" s="13"/>
      <c r="H85" s="13"/>
      <c r="I85" s="13">
        <v>19309</v>
      </c>
      <c r="J85" s="13">
        <v>210145</v>
      </c>
      <c r="K85" s="13">
        <v>250984</v>
      </c>
      <c r="L85" s="13">
        <v>796456</v>
      </c>
      <c r="M85" s="13">
        <v>1161356</v>
      </c>
    </row>
    <row r="86" spans="1:13">
      <c r="A86" s="258" t="s">
        <v>578</v>
      </c>
      <c r="B86" s="13"/>
      <c r="C86" s="13"/>
      <c r="D86" s="13"/>
      <c r="E86" s="13"/>
      <c r="F86" s="13">
        <v>808</v>
      </c>
      <c r="G86" s="13">
        <v>14506</v>
      </c>
      <c r="H86" s="13">
        <v>16318</v>
      </c>
      <c r="I86" s="13">
        <v>12535</v>
      </c>
      <c r="J86" s="13">
        <v>13166</v>
      </c>
      <c r="K86" s="13">
        <v>13112</v>
      </c>
      <c r="L86" s="13">
        <v>11112</v>
      </c>
      <c r="M86" s="13">
        <v>13060</v>
      </c>
    </row>
    <row r="87" spans="1:13">
      <c r="A87" s="258" t="s">
        <v>567</v>
      </c>
      <c r="B87" s="13">
        <v>159255146</v>
      </c>
      <c r="C87" s="13">
        <v>150522441</v>
      </c>
      <c r="D87" s="13">
        <v>138681215</v>
      </c>
      <c r="E87" s="13">
        <v>143600031</v>
      </c>
      <c r="F87" s="13">
        <v>140024116</v>
      </c>
      <c r="G87" s="13">
        <v>130476342</v>
      </c>
      <c r="H87" s="13">
        <v>140904911</v>
      </c>
      <c r="I87" s="13">
        <v>141237920</v>
      </c>
      <c r="J87" s="13">
        <v>140700948</v>
      </c>
      <c r="K87" s="13">
        <v>126100421</v>
      </c>
      <c r="L87" s="13">
        <v>107580335</v>
      </c>
      <c r="M87" s="13">
        <v>122411710</v>
      </c>
    </row>
    <row r="88" spans="1:13">
      <c r="A88" s="258" t="s">
        <v>568</v>
      </c>
      <c r="B88" s="13">
        <v>1512376130</v>
      </c>
      <c r="C88" s="13">
        <v>1569306917</v>
      </c>
      <c r="D88" s="13">
        <v>1553104140</v>
      </c>
      <c r="E88" s="13">
        <v>1737570968</v>
      </c>
      <c r="F88" s="13">
        <v>1679739040</v>
      </c>
      <c r="G88" s="13">
        <v>1703069958</v>
      </c>
      <c r="H88" s="13">
        <v>1832148702</v>
      </c>
      <c r="I88" s="13">
        <v>1915032516</v>
      </c>
      <c r="J88" s="13">
        <v>1986639840</v>
      </c>
      <c r="K88" s="13">
        <v>1947140636</v>
      </c>
      <c r="L88" s="13">
        <v>1534759678</v>
      </c>
      <c r="M88" s="13">
        <v>1937266234</v>
      </c>
    </row>
    <row r="89" spans="1:13">
      <c r="A89" s="258" t="s">
        <v>570</v>
      </c>
      <c r="B89" s="13">
        <v>81940980</v>
      </c>
      <c r="C89" s="13">
        <v>79400785</v>
      </c>
      <c r="D89" s="13">
        <v>74453778</v>
      </c>
      <c r="E89" s="13">
        <v>56736532</v>
      </c>
      <c r="F89" s="13">
        <v>48690710</v>
      </c>
      <c r="G89" s="13">
        <v>45920929</v>
      </c>
      <c r="H89" s="13">
        <v>49638086</v>
      </c>
      <c r="I89" s="13">
        <v>47098152</v>
      </c>
      <c r="J89" s="13">
        <v>41553780</v>
      </c>
      <c r="K89" s="13">
        <v>40600032</v>
      </c>
      <c r="L89" s="13">
        <v>26440842</v>
      </c>
      <c r="M89" s="13">
        <v>22141972</v>
      </c>
    </row>
    <row r="90" spans="1:13">
      <c r="A90" s="258" t="s">
        <v>575</v>
      </c>
      <c r="B90" s="13">
        <v>487422</v>
      </c>
      <c r="C90" s="13">
        <v>859734</v>
      </c>
      <c r="D90" s="13">
        <v>863859</v>
      </c>
      <c r="E90" s="13">
        <v>852610</v>
      </c>
      <c r="F90" s="13">
        <v>859209</v>
      </c>
      <c r="G90" s="13">
        <v>819580</v>
      </c>
      <c r="H90" s="13">
        <v>875797</v>
      </c>
      <c r="I90" s="13">
        <v>865537</v>
      </c>
      <c r="J90" s="13">
        <v>913051</v>
      </c>
      <c r="K90" s="13">
        <v>863269</v>
      </c>
      <c r="L90" s="13">
        <v>766731</v>
      </c>
      <c r="M90" s="13">
        <v>891036</v>
      </c>
    </row>
    <row r="91" spans="1:13">
      <c r="A91" s="258" t="s">
        <v>577</v>
      </c>
      <c r="B91" s="13">
        <v>2336214</v>
      </c>
      <c r="C91" s="13">
        <v>2615779</v>
      </c>
      <c r="D91" s="13">
        <v>3700931</v>
      </c>
      <c r="E91" s="13">
        <v>5504323</v>
      </c>
      <c r="F91" s="13">
        <v>5175438</v>
      </c>
      <c r="G91" s="13">
        <v>4171430</v>
      </c>
      <c r="H91" s="13">
        <v>4336445</v>
      </c>
      <c r="I91" s="13">
        <v>3641808</v>
      </c>
      <c r="J91" s="13">
        <v>0</v>
      </c>
      <c r="K91" s="13">
        <v>0</v>
      </c>
      <c r="L91" s="13">
        <v>0</v>
      </c>
      <c r="M91" s="13">
        <v>0</v>
      </c>
    </row>
    <row r="92" spans="1:13">
      <c r="A92" s="257" t="s">
        <v>391</v>
      </c>
      <c r="B92" s="13">
        <v>18188591</v>
      </c>
      <c r="C92" s="13">
        <v>42327834</v>
      </c>
      <c r="D92" s="13">
        <v>51348942</v>
      </c>
      <c r="E92" s="13">
        <v>77916618</v>
      </c>
      <c r="F92" s="13">
        <v>24808411</v>
      </c>
      <c r="G92" s="13">
        <v>45854461</v>
      </c>
      <c r="H92" s="13">
        <v>27978220</v>
      </c>
      <c r="I92" s="13">
        <v>37818078</v>
      </c>
      <c r="J92" s="13">
        <v>35681118</v>
      </c>
      <c r="K92" s="13">
        <v>62011411</v>
      </c>
      <c r="L92" s="13">
        <v>69007423</v>
      </c>
      <c r="M92" s="13">
        <v>79749506</v>
      </c>
    </row>
    <row r="93" spans="1:13">
      <c r="A93" s="258" t="s">
        <v>391</v>
      </c>
      <c r="B93" s="13">
        <v>18188591</v>
      </c>
      <c r="C93" s="13">
        <v>42327834</v>
      </c>
      <c r="D93" s="13">
        <v>51348942</v>
      </c>
      <c r="E93" s="13">
        <v>77916618</v>
      </c>
      <c r="F93" s="13">
        <v>24808411</v>
      </c>
      <c r="G93" s="13">
        <v>45854461</v>
      </c>
      <c r="H93" s="13">
        <v>27978220</v>
      </c>
      <c r="I93" s="13">
        <v>37818078</v>
      </c>
      <c r="J93" s="13">
        <v>35681118</v>
      </c>
      <c r="K93" s="13">
        <v>62011411</v>
      </c>
      <c r="L93" s="13">
        <v>69007423</v>
      </c>
      <c r="M93" s="13">
        <v>79749506</v>
      </c>
    </row>
    <row r="94" spans="1:13">
      <c r="A94" s="256" t="s">
        <v>369</v>
      </c>
      <c r="B94" s="13">
        <v>0</v>
      </c>
      <c r="C94" s="13">
        <v>4134046202</v>
      </c>
      <c r="D94" s="13">
        <v>3874487763</v>
      </c>
      <c r="E94" s="13">
        <v>4126725446</v>
      </c>
      <c r="F94" s="13">
        <v>4223983327</v>
      </c>
      <c r="G94" s="13">
        <v>4000590094</v>
      </c>
      <c r="H94" s="13">
        <v>4140910915.2744493</v>
      </c>
      <c r="I94" s="13">
        <v>3997417018</v>
      </c>
      <c r="J94" s="13">
        <v>4259775904</v>
      </c>
      <c r="K94" s="13">
        <v>4131949339</v>
      </c>
      <c r="L94" s="13">
        <v>4214899261</v>
      </c>
      <c r="M94" s="13">
        <v>4420285606</v>
      </c>
    </row>
    <row r="95" spans="1:13">
      <c r="A95" s="257" t="s">
        <v>544</v>
      </c>
      <c r="B95" s="13">
        <v>0</v>
      </c>
      <c r="C95" s="13">
        <v>26327618</v>
      </c>
      <c r="D95" s="13">
        <v>25284279</v>
      </c>
      <c r="E95" s="13">
        <v>25525204</v>
      </c>
      <c r="F95" s="13">
        <v>24444617</v>
      </c>
      <c r="G95" s="13">
        <v>24573297</v>
      </c>
      <c r="H95" s="13">
        <v>25564274.059999999</v>
      </c>
      <c r="I95" s="13">
        <v>24886365</v>
      </c>
      <c r="J95" s="13">
        <v>26263143</v>
      </c>
      <c r="K95" s="13">
        <v>25596193</v>
      </c>
      <c r="L95" s="13">
        <v>24438009</v>
      </c>
      <c r="M95" s="13">
        <v>24498736</v>
      </c>
    </row>
    <row r="96" spans="1:13">
      <c r="A96" s="258" t="s">
        <v>544</v>
      </c>
      <c r="B96" s="13">
        <v>0</v>
      </c>
      <c r="C96" s="13">
        <v>26327618</v>
      </c>
      <c r="D96" s="13">
        <v>25284279</v>
      </c>
      <c r="E96" s="13">
        <v>25525204</v>
      </c>
      <c r="F96" s="13">
        <v>24444617</v>
      </c>
      <c r="G96" s="13">
        <v>24573297</v>
      </c>
      <c r="H96" s="13">
        <v>25564274.059999999</v>
      </c>
      <c r="I96" s="13">
        <v>24886365</v>
      </c>
      <c r="J96" s="13">
        <v>26263143</v>
      </c>
      <c r="K96" s="13">
        <v>25596193</v>
      </c>
      <c r="L96" s="13">
        <v>24438009</v>
      </c>
      <c r="M96" s="13">
        <v>24498736</v>
      </c>
    </row>
    <row r="97" spans="1:16">
      <c r="A97" s="257" t="s">
        <v>542</v>
      </c>
      <c r="B97" s="13">
        <v>0</v>
      </c>
      <c r="C97" s="13">
        <v>3942307052</v>
      </c>
      <c r="D97" s="13">
        <v>3693401701</v>
      </c>
      <c r="E97" s="13">
        <v>3941663906</v>
      </c>
      <c r="F97" s="13">
        <v>4041524949</v>
      </c>
      <c r="G97" s="13">
        <v>3822793832</v>
      </c>
      <c r="H97" s="13">
        <v>3957716596.0408487</v>
      </c>
      <c r="I97" s="13">
        <v>3814784979</v>
      </c>
      <c r="J97" s="13">
        <v>4066164589</v>
      </c>
      <c r="K97" s="13">
        <v>3946616368</v>
      </c>
      <c r="L97" s="13">
        <v>4036518236</v>
      </c>
      <c r="M97" s="13">
        <v>4241412983</v>
      </c>
    </row>
    <row r="98" spans="1:16">
      <c r="A98" s="258" t="s">
        <v>572</v>
      </c>
      <c r="B98" s="13">
        <v>0</v>
      </c>
      <c r="C98" s="13">
        <v>5</v>
      </c>
      <c r="D98" s="13">
        <v>5</v>
      </c>
      <c r="E98" s="13">
        <v>6</v>
      </c>
      <c r="F98" s="13">
        <v>6</v>
      </c>
      <c r="G98" s="13">
        <v>54</v>
      </c>
      <c r="H98" s="13">
        <v>1370.9384</v>
      </c>
      <c r="I98" s="13">
        <v>738</v>
      </c>
      <c r="J98" s="13">
        <v>247</v>
      </c>
      <c r="K98" s="13">
        <v>211</v>
      </c>
      <c r="L98" s="13">
        <v>246</v>
      </c>
      <c r="M98" s="13">
        <v>232</v>
      </c>
    </row>
    <row r="99" spans="1:16">
      <c r="A99" s="258" t="s">
        <v>542</v>
      </c>
      <c r="B99" s="13">
        <v>0</v>
      </c>
      <c r="C99" s="13">
        <v>3146909888</v>
      </c>
      <c r="D99" s="13">
        <v>2957988391</v>
      </c>
      <c r="E99" s="13">
        <v>3168680649</v>
      </c>
      <c r="F99" s="13">
        <v>3275684818</v>
      </c>
      <c r="G99" s="13">
        <v>3075780316</v>
      </c>
      <c r="H99" s="13">
        <v>3161348727.3400002</v>
      </c>
      <c r="I99" s="13">
        <v>3078119958</v>
      </c>
      <c r="J99" s="13">
        <v>3161903858</v>
      </c>
      <c r="K99" s="13">
        <v>3126338935</v>
      </c>
      <c r="L99" s="13">
        <v>3280059979</v>
      </c>
      <c r="M99" s="13">
        <v>3348614673</v>
      </c>
    </row>
    <row r="100" spans="1:16">
      <c r="A100" s="258" t="s">
        <v>582</v>
      </c>
      <c r="B100" s="13"/>
      <c r="C100" s="13"/>
      <c r="D100" s="13"/>
      <c r="E100" s="13"/>
      <c r="F100" s="13"/>
      <c r="G100" s="13"/>
      <c r="H100" s="13"/>
      <c r="I100" s="13"/>
      <c r="J100" s="13">
        <v>7065</v>
      </c>
      <c r="K100" s="13">
        <v>18151</v>
      </c>
      <c r="L100" s="13">
        <v>20331</v>
      </c>
      <c r="M100" s="13">
        <v>22161</v>
      </c>
    </row>
    <row r="101" spans="1:16">
      <c r="A101" s="258" t="s">
        <v>567</v>
      </c>
      <c r="B101" s="13">
        <v>0</v>
      </c>
      <c r="C101" s="13">
        <v>1110099</v>
      </c>
      <c r="D101" s="13">
        <v>1081917</v>
      </c>
      <c r="E101" s="13">
        <v>1098924</v>
      </c>
      <c r="F101" s="13">
        <v>1089382</v>
      </c>
      <c r="G101" s="13">
        <v>1065483</v>
      </c>
      <c r="H101" s="13">
        <v>1125954.0552000001</v>
      </c>
      <c r="I101" s="13">
        <v>1055573</v>
      </c>
      <c r="J101" s="13">
        <v>1055593</v>
      </c>
      <c r="K101" s="13">
        <v>1049657</v>
      </c>
      <c r="L101" s="13">
        <v>998939</v>
      </c>
      <c r="M101" s="13">
        <v>1051540</v>
      </c>
    </row>
    <row r="102" spans="1:16">
      <c r="A102" s="258" t="s">
        <v>568</v>
      </c>
      <c r="B102" s="13">
        <v>0</v>
      </c>
      <c r="C102" s="13">
        <v>794287060</v>
      </c>
      <c r="D102" s="13">
        <v>734331388</v>
      </c>
      <c r="E102" s="13">
        <v>771884326</v>
      </c>
      <c r="F102" s="13">
        <v>764750743</v>
      </c>
      <c r="G102" s="13">
        <v>745947979</v>
      </c>
      <c r="H102" s="13">
        <v>795240543.70724869</v>
      </c>
      <c r="I102" s="13">
        <v>735608710</v>
      </c>
      <c r="J102" s="13">
        <v>903197826</v>
      </c>
      <c r="K102" s="13">
        <v>819209414</v>
      </c>
      <c r="L102" s="13">
        <v>755438741</v>
      </c>
      <c r="M102" s="13">
        <v>891724377</v>
      </c>
    </row>
    <row r="103" spans="1:16">
      <c r="A103" s="258" t="s">
        <v>570</v>
      </c>
      <c r="B103" s="13">
        <v>0</v>
      </c>
      <c r="C103" s="13">
        <v>0</v>
      </c>
      <c r="D103" s="13">
        <v>0</v>
      </c>
      <c r="E103" s="13">
        <v>1</v>
      </c>
      <c r="F103" s="13"/>
      <c r="G103" s="13">
        <v>0</v>
      </c>
      <c r="H103" s="13"/>
      <c r="I103" s="13">
        <v>0</v>
      </c>
      <c r="J103" s="13">
        <v>0</v>
      </c>
      <c r="K103" s="13">
        <v>0</v>
      </c>
      <c r="L103" s="13">
        <v>0</v>
      </c>
      <c r="M103" s="13">
        <v>0</v>
      </c>
    </row>
    <row r="104" spans="1:16">
      <c r="A104" s="257" t="s">
        <v>391</v>
      </c>
      <c r="B104" s="13">
        <v>0</v>
      </c>
      <c r="C104" s="13">
        <v>165411532</v>
      </c>
      <c r="D104" s="13">
        <v>155801783</v>
      </c>
      <c r="E104" s="13">
        <v>159536336</v>
      </c>
      <c r="F104" s="13">
        <v>158013761</v>
      </c>
      <c r="G104" s="13">
        <v>153222965</v>
      </c>
      <c r="H104" s="13">
        <v>157630045.17360002</v>
      </c>
      <c r="I104" s="13">
        <v>157745674</v>
      </c>
      <c r="J104" s="13">
        <v>167348172</v>
      </c>
      <c r="K104" s="13">
        <v>159736778</v>
      </c>
      <c r="L104" s="13">
        <v>153943016</v>
      </c>
      <c r="M104" s="13">
        <v>154373887</v>
      </c>
    </row>
    <row r="105" spans="1:16">
      <c r="A105" s="258" t="s">
        <v>391</v>
      </c>
      <c r="B105" s="13">
        <v>0</v>
      </c>
      <c r="C105" s="13">
        <v>165411532</v>
      </c>
      <c r="D105" s="13">
        <v>155801783</v>
      </c>
      <c r="E105" s="13">
        <v>159536336</v>
      </c>
      <c r="F105" s="13">
        <v>158013761</v>
      </c>
      <c r="G105" s="13">
        <v>153222965</v>
      </c>
      <c r="H105" s="13">
        <v>157630045.17360002</v>
      </c>
      <c r="I105" s="13">
        <v>157745674</v>
      </c>
      <c r="J105" s="13">
        <v>167348172</v>
      </c>
      <c r="K105" s="13">
        <v>159736778</v>
      </c>
      <c r="L105" s="13">
        <v>153943016</v>
      </c>
      <c r="M105" s="13">
        <v>154373887</v>
      </c>
    </row>
    <row r="106" spans="1:16">
      <c r="A106" s="256" t="s">
        <v>546</v>
      </c>
      <c r="B106" s="13">
        <v>261440022</v>
      </c>
      <c r="C106" s="13">
        <v>239043078</v>
      </c>
      <c r="D106" s="13">
        <v>308321263</v>
      </c>
      <c r="E106" s="13">
        <v>231039867</v>
      </c>
      <c r="F106" s="13">
        <v>216672179</v>
      </c>
      <c r="G106" s="13">
        <v>217718863</v>
      </c>
      <c r="H106" s="13">
        <v>242606106</v>
      </c>
      <c r="I106" s="13">
        <v>247624872</v>
      </c>
      <c r="J106" s="13">
        <v>289113984</v>
      </c>
      <c r="K106" s="13">
        <v>284855685</v>
      </c>
      <c r="L106" s="13">
        <v>280443151</v>
      </c>
      <c r="M106" s="13">
        <v>343643598</v>
      </c>
      <c r="O106" s="260"/>
      <c r="P106" s="260"/>
    </row>
    <row r="107" spans="1:16">
      <c r="A107" s="257" t="s">
        <v>544</v>
      </c>
      <c r="B107" s="13">
        <v>583673</v>
      </c>
      <c r="C107" s="13">
        <v>565255</v>
      </c>
      <c r="D107" s="13">
        <v>573794</v>
      </c>
      <c r="E107" s="13">
        <v>587521</v>
      </c>
      <c r="F107" s="13">
        <v>581745</v>
      </c>
      <c r="G107" s="13">
        <v>635696</v>
      </c>
      <c r="H107" s="13">
        <v>589613</v>
      </c>
      <c r="I107" s="13">
        <v>627138</v>
      </c>
      <c r="J107" s="13">
        <v>602742</v>
      </c>
      <c r="K107" s="13">
        <v>599414</v>
      </c>
      <c r="L107" s="13">
        <v>632896</v>
      </c>
      <c r="M107" s="13">
        <v>599054</v>
      </c>
    </row>
    <row r="108" spans="1:16">
      <c r="A108" s="258" t="s">
        <v>544</v>
      </c>
      <c r="B108" s="13">
        <v>583673</v>
      </c>
      <c r="C108" s="13">
        <v>565255</v>
      </c>
      <c r="D108" s="13">
        <v>573794</v>
      </c>
      <c r="E108" s="13">
        <v>587521</v>
      </c>
      <c r="F108" s="13">
        <v>581745</v>
      </c>
      <c r="G108" s="13">
        <v>635696</v>
      </c>
      <c r="H108" s="13">
        <v>589613</v>
      </c>
      <c r="I108" s="13">
        <v>627138</v>
      </c>
      <c r="J108" s="13">
        <v>602742</v>
      </c>
      <c r="K108" s="13">
        <v>599414</v>
      </c>
      <c r="L108" s="13">
        <v>632896</v>
      </c>
      <c r="M108" s="13">
        <v>599054</v>
      </c>
    </row>
    <row r="109" spans="1:16">
      <c r="A109" s="257" t="s">
        <v>542</v>
      </c>
      <c r="B109" s="13">
        <v>260856349</v>
      </c>
      <c r="C109" s="13">
        <v>238477823</v>
      </c>
      <c r="D109" s="13">
        <v>307747469</v>
      </c>
      <c r="E109" s="13">
        <v>230452346</v>
      </c>
      <c r="F109" s="13">
        <v>216090434</v>
      </c>
      <c r="G109" s="13">
        <v>217083167</v>
      </c>
      <c r="H109" s="13">
        <v>242016493</v>
      </c>
      <c r="I109" s="13">
        <v>246997734</v>
      </c>
      <c r="J109" s="13">
        <v>288511242</v>
      </c>
      <c r="K109" s="13">
        <v>284256271</v>
      </c>
      <c r="L109" s="13">
        <v>279810255</v>
      </c>
      <c r="M109" s="13">
        <v>343044544</v>
      </c>
    </row>
    <row r="110" spans="1:16">
      <c r="A110" s="258" t="s">
        <v>542</v>
      </c>
      <c r="B110" s="13">
        <v>125012667</v>
      </c>
      <c r="C110" s="13">
        <v>103926995</v>
      </c>
      <c r="D110" s="13">
        <v>97483312</v>
      </c>
      <c r="E110" s="13">
        <v>93093113</v>
      </c>
      <c r="F110" s="13">
        <v>92176982</v>
      </c>
      <c r="G110" s="13">
        <v>98037212</v>
      </c>
      <c r="H110" s="13">
        <v>105744448</v>
      </c>
      <c r="I110" s="13">
        <v>116879209</v>
      </c>
      <c r="J110" s="13">
        <v>165409830</v>
      </c>
      <c r="K110" s="13">
        <v>138627807</v>
      </c>
      <c r="L110" s="13">
        <v>131221621</v>
      </c>
      <c r="M110" s="13">
        <v>167286392</v>
      </c>
    </row>
    <row r="111" spans="1:16">
      <c r="A111" s="258" t="s">
        <v>564</v>
      </c>
      <c r="B111" s="13"/>
      <c r="C111" s="13"/>
      <c r="D111" s="13"/>
      <c r="E111" s="13"/>
      <c r="F111" s="13"/>
      <c r="G111" s="13"/>
      <c r="H111" s="13">
        <v>591194</v>
      </c>
      <c r="I111" s="13">
        <v>651070</v>
      </c>
      <c r="J111" s="13">
        <v>777813</v>
      </c>
      <c r="K111" s="13">
        <v>805333</v>
      </c>
      <c r="L111" s="13">
        <v>892829</v>
      </c>
      <c r="M111" s="13">
        <v>921321</v>
      </c>
    </row>
    <row r="112" spans="1:16">
      <c r="A112" s="258" t="s">
        <v>567</v>
      </c>
      <c r="B112" s="13">
        <v>111262</v>
      </c>
      <c r="C112" s="13">
        <v>106849</v>
      </c>
      <c r="D112" s="13">
        <v>137782</v>
      </c>
      <c r="E112" s="13">
        <v>140478</v>
      </c>
      <c r="F112" s="13">
        <v>107409</v>
      </c>
      <c r="G112" s="13">
        <v>15660</v>
      </c>
      <c r="H112" s="13">
        <v>6611</v>
      </c>
      <c r="I112" s="13">
        <v>6804</v>
      </c>
      <c r="J112" s="13">
        <v>6665</v>
      </c>
      <c r="K112" s="13">
        <v>6628</v>
      </c>
      <c r="L112" s="13">
        <v>6617</v>
      </c>
      <c r="M112" s="13">
        <v>7030</v>
      </c>
    </row>
    <row r="113" spans="1:13">
      <c r="A113" s="258" t="s">
        <v>568</v>
      </c>
      <c r="B113" s="13">
        <v>132551808</v>
      </c>
      <c r="C113" s="13">
        <v>131342991</v>
      </c>
      <c r="D113" s="13">
        <v>207572339</v>
      </c>
      <c r="E113" s="13">
        <v>134565092</v>
      </c>
      <c r="F113" s="13">
        <v>121875592</v>
      </c>
      <c r="G113" s="13">
        <v>117556032</v>
      </c>
      <c r="H113" s="13">
        <v>134067303</v>
      </c>
      <c r="I113" s="13">
        <v>127817756</v>
      </c>
      <c r="J113" s="13">
        <v>120803051</v>
      </c>
      <c r="K113" s="13">
        <v>143164151</v>
      </c>
      <c r="L113" s="13">
        <v>145010082</v>
      </c>
      <c r="M113" s="13">
        <v>172622453</v>
      </c>
    </row>
    <row r="114" spans="1:13">
      <c r="A114" s="258" t="s">
        <v>570</v>
      </c>
      <c r="B114" s="13">
        <v>3180612</v>
      </c>
      <c r="C114" s="13">
        <v>3100988</v>
      </c>
      <c r="D114" s="13">
        <v>2554036</v>
      </c>
      <c r="E114" s="13">
        <v>2653663</v>
      </c>
      <c r="F114" s="13">
        <v>1930451</v>
      </c>
      <c r="G114" s="13">
        <v>1474263</v>
      </c>
      <c r="H114" s="13">
        <v>1606937</v>
      </c>
      <c r="I114" s="13">
        <v>1642895</v>
      </c>
      <c r="J114" s="13">
        <v>1513883</v>
      </c>
      <c r="K114" s="13">
        <v>1652352</v>
      </c>
      <c r="L114" s="13">
        <v>2679106</v>
      </c>
      <c r="M114" s="13">
        <v>2207348</v>
      </c>
    </row>
    <row r="115" spans="1:13">
      <c r="A115" s="256" t="s">
        <v>547</v>
      </c>
      <c r="B115" s="13">
        <v>674517878</v>
      </c>
      <c r="C115" s="13">
        <v>52358323</v>
      </c>
      <c r="D115" s="13">
        <v>67592162</v>
      </c>
      <c r="E115" s="13">
        <v>54180851</v>
      </c>
      <c r="F115" s="13">
        <v>58787177</v>
      </c>
      <c r="G115" s="13">
        <v>79184537</v>
      </c>
      <c r="H115" s="13">
        <v>112416614.37114131</v>
      </c>
      <c r="I115" s="13">
        <v>449695943</v>
      </c>
      <c r="J115" s="13">
        <v>318857559</v>
      </c>
      <c r="K115" s="13">
        <v>193370171</v>
      </c>
      <c r="L115" s="13">
        <v>262708856</v>
      </c>
      <c r="M115" s="13">
        <v>1126298034</v>
      </c>
    </row>
    <row r="116" spans="1:13">
      <c r="A116" s="257" t="s">
        <v>542</v>
      </c>
      <c r="B116" s="13">
        <v>674517878</v>
      </c>
      <c r="C116" s="13">
        <v>52358323</v>
      </c>
      <c r="D116" s="13">
        <v>67592162</v>
      </c>
      <c r="E116" s="13">
        <v>54180851</v>
      </c>
      <c r="F116" s="13">
        <v>58787177</v>
      </c>
      <c r="G116" s="13">
        <v>79184537</v>
      </c>
      <c r="H116" s="13">
        <v>112416614.37114131</v>
      </c>
      <c r="I116" s="13">
        <v>449695943</v>
      </c>
      <c r="J116" s="13">
        <v>318857559</v>
      </c>
      <c r="K116" s="13">
        <v>193370171</v>
      </c>
      <c r="L116" s="13">
        <v>262708856</v>
      </c>
      <c r="M116" s="13">
        <v>1126298034</v>
      </c>
    </row>
    <row r="117" spans="1:13">
      <c r="A117" s="258" t="s">
        <v>574</v>
      </c>
      <c r="B117" s="13"/>
      <c r="C117" s="13"/>
      <c r="D117" s="13"/>
      <c r="E117" s="13"/>
      <c r="F117" s="13">
        <v>4644</v>
      </c>
      <c r="G117" s="13">
        <v>6003</v>
      </c>
      <c r="H117" s="13">
        <v>9917.1098519999905</v>
      </c>
      <c r="I117" s="13">
        <v>53909</v>
      </c>
      <c r="J117" s="13">
        <v>186029</v>
      </c>
      <c r="K117" s="13">
        <v>268711</v>
      </c>
      <c r="L117" s="13">
        <v>129914</v>
      </c>
      <c r="M117" s="13">
        <v>823883</v>
      </c>
    </row>
    <row r="118" spans="1:13">
      <c r="A118" s="258" t="s">
        <v>560</v>
      </c>
      <c r="B118" s="13"/>
      <c r="C118" s="13"/>
      <c r="D118" s="13"/>
      <c r="E118" s="13"/>
      <c r="F118" s="13"/>
      <c r="G118" s="13"/>
      <c r="H118" s="13"/>
      <c r="I118" s="13"/>
      <c r="J118" s="13"/>
      <c r="K118" s="13">
        <v>149904</v>
      </c>
      <c r="L118" s="13">
        <v>0</v>
      </c>
      <c r="M118" s="13">
        <v>0</v>
      </c>
    </row>
    <row r="119" spans="1:13">
      <c r="A119" s="258" t="s">
        <v>573</v>
      </c>
      <c r="B119" s="13"/>
      <c r="C119" s="13">
        <v>0</v>
      </c>
      <c r="D119" s="13">
        <v>210375</v>
      </c>
      <c r="E119" s="13">
        <v>323715</v>
      </c>
      <c r="F119" s="13">
        <v>319654</v>
      </c>
      <c r="G119" s="13">
        <v>305018</v>
      </c>
      <c r="H119" s="13">
        <v>327145.55034830398</v>
      </c>
      <c r="I119" s="13">
        <v>211510</v>
      </c>
      <c r="J119" s="13">
        <v>344995</v>
      </c>
      <c r="K119" s="13">
        <v>200321</v>
      </c>
      <c r="L119" s="13">
        <v>0</v>
      </c>
      <c r="M119" s="13">
        <v>27266</v>
      </c>
    </row>
    <row r="120" spans="1:13">
      <c r="A120" s="258" t="s">
        <v>562</v>
      </c>
      <c r="B120" s="13">
        <v>4617164</v>
      </c>
      <c r="C120" s="13">
        <v>3751157</v>
      </c>
      <c r="D120" s="13">
        <v>4614580</v>
      </c>
      <c r="E120" s="13">
        <v>4657575</v>
      </c>
      <c r="F120" s="13">
        <v>4624259</v>
      </c>
      <c r="G120" s="13">
        <v>4360346</v>
      </c>
      <c r="H120" s="13">
        <v>4535924.9897238901</v>
      </c>
      <c r="I120" s="13">
        <v>2905468</v>
      </c>
      <c r="J120" s="13">
        <v>4747557</v>
      </c>
      <c r="K120" s="13">
        <v>4697332</v>
      </c>
      <c r="L120" s="13">
        <v>189</v>
      </c>
      <c r="M120" s="13">
        <v>3322610</v>
      </c>
    </row>
    <row r="121" spans="1:13">
      <c r="A121" s="258" t="s">
        <v>542</v>
      </c>
      <c r="B121" s="13">
        <v>638887126</v>
      </c>
      <c r="C121" s="13">
        <v>29376567</v>
      </c>
      <c r="D121" s="13">
        <v>34676260</v>
      </c>
      <c r="E121" s="13">
        <v>12910351</v>
      </c>
      <c r="F121" s="13">
        <v>17609247</v>
      </c>
      <c r="G121" s="13">
        <v>28453083</v>
      </c>
      <c r="H121" s="13">
        <v>56354195.714549541</v>
      </c>
      <c r="I121" s="13">
        <v>402442937</v>
      </c>
      <c r="J121" s="13">
        <v>244119781</v>
      </c>
      <c r="K121" s="13">
        <v>110970321</v>
      </c>
      <c r="L121" s="13">
        <v>227456331</v>
      </c>
      <c r="M121" s="13">
        <v>1038612814</v>
      </c>
    </row>
    <row r="122" spans="1:13">
      <c r="A122" s="258" t="s">
        <v>581</v>
      </c>
      <c r="B122" s="13"/>
      <c r="C122" s="13"/>
      <c r="D122" s="13"/>
      <c r="E122" s="13"/>
      <c r="F122" s="13"/>
      <c r="G122" s="13"/>
      <c r="H122" s="13"/>
      <c r="I122" s="13"/>
      <c r="J122" s="13"/>
      <c r="K122" s="13">
        <v>881</v>
      </c>
      <c r="L122" s="13">
        <v>0</v>
      </c>
      <c r="M122" s="13">
        <v>125</v>
      </c>
    </row>
    <row r="123" spans="1:13">
      <c r="A123" s="258" t="s">
        <v>565</v>
      </c>
      <c r="B123" s="13">
        <v>29785612</v>
      </c>
      <c r="C123" s="13">
        <v>18023639</v>
      </c>
      <c r="D123" s="13">
        <v>24304360</v>
      </c>
      <c r="E123" s="13">
        <v>31558871</v>
      </c>
      <c r="F123" s="13">
        <v>32141643</v>
      </c>
      <c r="G123" s="13">
        <v>40572449</v>
      </c>
      <c r="H123" s="13">
        <v>46471422.151691161</v>
      </c>
      <c r="I123" s="13">
        <v>33916708</v>
      </c>
      <c r="J123" s="13">
        <v>54902746</v>
      </c>
      <c r="K123" s="13">
        <v>59291320</v>
      </c>
      <c r="L123" s="13">
        <v>2493</v>
      </c>
      <c r="M123" s="13">
        <v>40179134</v>
      </c>
    </row>
    <row r="124" spans="1:13">
      <c r="A124" s="258" t="s">
        <v>568</v>
      </c>
      <c r="B124" s="13">
        <v>1225398</v>
      </c>
      <c r="C124" s="13">
        <v>1204909</v>
      </c>
      <c r="D124" s="13">
        <v>3784253</v>
      </c>
      <c r="E124" s="13">
        <v>4727708</v>
      </c>
      <c r="F124" s="13">
        <v>4086955</v>
      </c>
      <c r="G124" s="13">
        <v>5487568</v>
      </c>
      <c r="H124" s="13">
        <v>4717562.0542793488</v>
      </c>
      <c r="I124" s="13">
        <v>10157147</v>
      </c>
      <c r="J124" s="13">
        <v>14545246</v>
      </c>
      <c r="K124" s="13">
        <v>17787372</v>
      </c>
      <c r="L124" s="13">
        <v>35119929</v>
      </c>
      <c r="M124" s="13">
        <v>43317522</v>
      </c>
    </row>
    <row r="125" spans="1:13">
      <c r="A125" s="258" t="s">
        <v>569</v>
      </c>
      <c r="B125" s="13"/>
      <c r="C125" s="13"/>
      <c r="D125" s="13"/>
      <c r="E125" s="13"/>
      <c r="F125" s="13">
        <v>42</v>
      </c>
      <c r="G125" s="13">
        <v>23</v>
      </c>
      <c r="H125" s="13">
        <v>406.20200048818901</v>
      </c>
      <c r="I125" s="13">
        <v>8243</v>
      </c>
      <c r="J125" s="13">
        <v>11205</v>
      </c>
      <c r="K125" s="13">
        <v>4009</v>
      </c>
      <c r="L125" s="13">
        <v>0</v>
      </c>
      <c r="M125" s="13">
        <v>14680</v>
      </c>
    </row>
    <row r="126" spans="1:13">
      <c r="A126" s="258" t="s">
        <v>577</v>
      </c>
      <c r="B126" s="13">
        <v>2578</v>
      </c>
      <c r="C126" s="13">
        <v>2051</v>
      </c>
      <c r="D126" s="13">
        <v>2334</v>
      </c>
      <c r="E126" s="13">
        <v>2631</v>
      </c>
      <c r="F126" s="13">
        <v>733</v>
      </c>
      <c r="G126" s="13">
        <v>47</v>
      </c>
      <c r="H126" s="13">
        <v>40.5986965857821</v>
      </c>
      <c r="I126" s="13">
        <v>21</v>
      </c>
      <c r="J126" s="13">
        <v>0</v>
      </c>
      <c r="K126" s="13">
        <v>0</v>
      </c>
      <c r="L126" s="13">
        <v>0</v>
      </c>
      <c r="M126" s="13">
        <v>0</v>
      </c>
    </row>
    <row r="127" spans="1:13">
      <c r="A127" s="256" t="s">
        <v>526</v>
      </c>
      <c r="B127" s="13">
        <v>6111369</v>
      </c>
      <c r="C127" s="13">
        <v>7494680</v>
      </c>
      <c r="D127" s="13">
        <v>20286426</v>
      </c>
      <c r="E127" s="13">
        <v>22034872</v>
      </c>
      <c r="F127" s="13">
        <v>22923218</v>
      </c>
      <c r="G127" s="13">
        <v>30784589</v>
      </c>
      <c r="H127" s="13">
        <v>47010952</v>
      </c>
      <c r="I127" s="13">
        <v>59204334</v>
      </c>
      <c r="J127" s="13">
        <v>454188112</v>
      </c>
      <c r="K127" s="13">
        <v>57039828</v>
      </c>
      <c r="L127" s="13">
        <v>57762345</v>
      </c>
      <c r="M127" s="13">
        <v>59109743</v>
      </c>
    </row>
    <row r="128" spans="1:13">
      <c r="A128" s="257" t="s">
        <v>542</v>
      </c>
      <c r="B128" s="13">
        <v>6111369</v>
      </c>
      <c r="C128" s="13">
        <v>7494680</v>
      </c>
      <c r="D128" s="13">
        <v>20286426</v>
      </c>
      <c r="E128" s="13">
        <v>22034872</v>
      </c>
      <c r="F128" s="13">
        <v>22923218</v>
      </c>
      <c r="G128" s="13">
        <v>30784589</v>
      </c>
      <c r="H128" s="13">
        <v>47010952</v>
      </c>
      <c r="I128" s="13">
        <v>59204334</v>
      </c>
      <c r="J128" s="13">
        <v>454188112</v>
      </c>
      <c r="K128" s="13">
        <v>57039828</v>
      </c>
      <c r="L128" s="13">
        <v>57762345</v>
      </c>
      <c r="M128" s="13">
        <v>59109743</v>
      </c>
    </row>
    <row r="129" spans="1:13">
      <c r="A129" s="258" t="s">
        <v>542</v>
      </c>
      <c r="B129" s="13">
        <v>6111369</v>
      </c>
      <c r="C129" s="13">
        <v>7494680</v>
      </c>
      <c r="D129" s="13">
        <v>20286426</v>
      </c>
      <c r="E129" s="13">
        <v>22034872</v>
      </c>
      <c r="F129" s="13">
        <v>22923218</v>
      </c>
      <c r="G129" s="13">
        <v>30784589</v>
      </c>
      <c r="H129" s="13">
        <v>47010952</v>
      </c>
      <c r="I129" s="13">
        <v>59204334</v>
      </c>
      <c r="J129" s="13">
        <v>454188112</v>
      </c>
      <c r="K129" s="13">
        <v>57039828</v>
      </c>
      <c r="L129" s="13">
        <v>57762345</v>
      </c>
      <c r="M129" s="13">
        <v>59109743</v>
      </c>
    </row>
    <row r="130" spans="1:13">
      <c r="A130" s="256" t="s">
        <v>732</v>
      </c>
      <c r="B130" s="13">
        <v>429398276</v>
      </c>
      <c r="C130" s="13">
        <v>443473152</v>
      </c>
      <c r="D130" s="13">
        <v>405592629</v>
      </c>
      <c r="E130" s="13">
        <v>465489756</v>
      </c>
      <c r="F130" s="13">
        <v>444720094</v>
      </c>
      <c r="G130" s="13">
        <v>428739518</v>
      </c>
      <c r="H130" s="13">
        <v>431234457</v>
      </c>
      <c r="I130" s="13">
        <v>486026742</v>
      </c>
      <c r="J130" s="13">
        <v>498737722</v>
      </c>
      <c r="K130" s="13">
        <v>508054288</v>
      </c>
      <c r="L130" s="13">
        <v>469289205</v>
      </c>
      <c r="M130" s="13">
        <v>547269101</v>
      </c>
    </row>
    <row r="131" spans="1:13">
      <c r="A131" s="257" t="s">
        <v>542</v>
      </c>
      <c r="B131" s="13">
        <v>429398276</v>
      </c>
      <c r="C131" s="13">
        <v>443473152</v>
      </c>
      <c r="D131" s="13">
        <v>405592629</v>
      </c>
      <c r="E131" s="13">
        <v>465489756</v>
      </c>
      <c r="F131" s="13">
        <v>444720094</v>
      </c>
      <c r="G131" s="13">
        <v>428739518</v>
      </c>
      <c r="H131" s="13">
        <v>431234457</v>
      </c>
      <c r="I131" s="13">
        <v>486026742</v>
      </c>
      <c r="J131" s="13">
        <v>498737722</v>
      </c>
      <c r="K131" s="13">
        <v>508054288</v>
      </c>
      <c r="L131" s="13">
        <v>469289205</v>
      </c>
      <c r="M131" s="13">
        <v>547269101</v>
      </c>
    </row>
    <row r="132" spans="1:13">
      <c r="A132" s="258" t="s">
        <v>571</v>
      </c>
      <c r="B132" s="13">
        <v>0</v>
      </c>
      <c r="C132" s="13">
        <v>0</v>
      </c>
      <c r="D132" s="13">
        <v>7987883</v>
      </c>
      <c r="E132" s="13">
        <v>0</v>
      </c>
      <c r="F132" s="13">
        <v>0</v>
      </c>
      <c r="G132" s="13">
        <v>0</v>
      </c>
      <c r="H132" s="13">
        <v>0</v>
      </c>
      <c r="I132" s="13">
        <v>0</v>
      </c>
      <c r="J132" s="13">
        <v>0</v>
      </c>
      <c r="K132" s="13">
        <v>0</v>
      </c>
      <c r="L132" s="13">
        <v>0</v>
      </c>
      <c r="M132" s="13">
        <v>0</v>
      </c>
    </row>
    <row r="133" spans="1:13">
      <c r="A133" s="258" t="s">
        <v>542</v>
      </c>
      <c r="B133" s="13">
        <v>421097890</v>
      </c>
      <c r="C133" s="13">
        <v>435949623</v>
      </c>
      <c r="D133" s="13">
        <v>390488136</v>
      </c>
      <c r="E133" s="13">
        <v>457128597</v>
      </c>
      <c r="F133" s="13">
        <v>437811771</v>
      </c>
      <c r="G133" s="13">
        <v>422625236</v>
      </c>
      <c r="H133" s="13">
        <v>425517575</v>
      </c>
      <c r="I133" s="13">
        <v>479748262</v>
      </c>
      <c r="J133" s="13">
        <v>492447110</v>
      </c>
      <c r="K133" s="13">
        <v>501316334</v>
      </c>
      <c r="L133" s="13">
        <v>464668568</v>
      </c>
      <c r="M133" s="13">
        <v>527722914</v>
      </c>
    </row>
    <row r="134" spans="1:13">
      <c r="A134" s="258" t="s">
        <v>568</v>
      </c>
      <c r="B134" s="13">
        <v>8300386</v>
      </c>
      <c r="C134" s="13">
        <v>7523529</v>
      </c>
      <c r="D134" s="13">
        <v>7116610</v>
      </c>
      <c r="E134" s="13">
        <v>8361159</v>
      </c>
      <c r="F134" s="13">
        <v>6908323</v>
      </c>
      <c r="G134" s="13">
        <v>6114282</v>
      </c>
      <c r="H134" s="13">
        <v>5716882</v>
      </c>
      <c r="I134" s="13">
        <v>6278480</v>
      </c>
      <c r="J134" s="13">
        <v>6290612</v>
      </c>
      <c r="K134" s="13">
        <v>6737954</v>
      </c>
      <c r="L134" s="13">
        <v>4620637</v>
      </c>
      <c r="M134" s="13">
        <v>19546187</v>
      </c>
    </row>
    <row r="135" spans="1:13">
      <c r="A135" s="256" t="s">
        <v>735</v>
      </c>
      <c r="B135" s="13">
        <v>64164937</v>
      </c>
      <c r="C135" s="13">
        <v>74234092</v>
      </c>
      <c r="D135" s="13">
        <v>71498209</v>
      </c>
      <c r="E135" s="13">
        <v>68361343</v>
      </c>
      <c r="F135" s="13">
        <v>68754163</v>
      </c>
      <c r="G135" s="13">
        <v>68401747</v>
      </c>
      <c r="H135" s="13">
        <v>81891769.049999997</v>
      </c>
      <c r="I135" s="13">
        <v>80894199.75</v>
      </c>
      <c r="J135" s="13">
        <v>83662050</v>
      </c>
      <c r="K135" s="13">
        <v>89156709</v>
      </c>
      <c r="L135" s="13">
        <v>87099504</v>
      </c>
      <c r="M135" s="13">
        <v>116006257</v>
      </c>
    </row>
    <row r="136" spans="1:13">
      <c r="A136" s="257" t="s">
        <v>542</v>
      </c>
      <c r="B136" s="13">
        <v>64164937</v>
      </c>
      <c r="C136" s="13">
        <v>74234092</v>
      </c>
      <c r="D136" s="13">
        <v>71498209</v>
      </c>
      <c r="E136" s="13">
        <v>68361343</v>
      </c>
      <c r="F136" s="13">
        <v>68754163</v>
      </c>
      <c r="G136" s="13">
        <v>68401747</v>
      </c>
      <c r="H136" s="13">
        <v>81891769.049999997</v>
      </c>
      <c r="I136" s="13">
        <v>80894199.75</v>
      </c>
      <c r="J136" s="13">
        <v>83662050</v>
      </c>
      <c r="K136" s="13">
        <v>89156709</v>
      </c>
      <c r="L136" s="13">
        <v>87099504</v>
      </c>
      <c r="M136" s="13">
        <v>116006257</v>
      </c>
    </row>
    <row r="137" spans="1:13">
      <c r="A137" s="258" t="s">
        <v>568</v>
      </c>
      <c r="B137" s="13">
        <v>64164937</v>
      </c>
      <c r="C137" s="13">
        <v>74234092</v>
      </c>
      <c r="D137" s="13">
        <v>71498209</v>
      </c>
      <c r="E137" s="13">
        <v>68361343</v>
      </c>
      <c r="F137" s="13">
        <v>68754163</v>
      </c>
      <c r="G137" s="13">
        <v>68401747</v>
      </c>
      <c r="H137" s="13">
        <v>81891769.049999997</v>
      </c>
      <c r="I137" s="13">
        <v>80894199.75</v>
      </c>
      <c r="J137" s="13">
        <v>83662050</v>
      </c>
      <c r="K137" s="13">
        <v>89156709</v>
      </c>
      <c r="L137" s="13">
        <v>87099504</v>
      </c>
      <c r="M137" s="13">
        <v>116006257</v>
      </c>
    </row>
    <row r="138" spans="1:13">
      <c r="A138" s="256" t="s">
        <v>548</v>
      </c>
      <c r="B138" s="13">
        <v>4928748409</v>
      </c>
      <c r="C138" s="13">
        <v>8658501113</v>
      </c>
      <c r="D138" s="13">
        <v>8388238204</v>
      </c>
      <c r="E138" s="13">
        <v>12237331015</v>
      </c>
      <c r="F138" s="13">
        <v>9037182475</v>
      </c>
      <c r="G138" s="13">
        <v>16333576544</v>
      </c>
      <c r="H138" s="13">
        <v>10092142311.695587</v>
      </c>
      <c r="I138" s="13">
        <v>11010531161.75</v>
      </c>
      <c r="J138" s="13">
        <v>13671816858</v>
      </c>
      <c r="K138" s="13">
        <v>10649896783</v>
      </c>
      <c r="L138" s="13">
        <v>12464246686</v>
      </c>
      <c r="M138" s="13">
        <v>12910469675</v>
      </c>
    </row>
    <row r="141" spans="1:13">
      <c r="A141" s="255" t="s">
        <v>539</v>
      </c>
      <c r="B141" t="s">
        <v>736</v>
      </c>
      <c r="C141" t="s">
        <v>737</v>
      </c>
      <c r="D141" t="s">
        <v>738</v>
      </c>
      <c r="E141" t="s">
        <v>550</v>
      </c>
      <c r="F141" t="s">
        <v>551</v>
      </c>
      <c r="G141" t="s">
        <v>552</v>
      </c>
      <c r="H141" t="s">
        <v>553</v>
      </c>
      <c r="I141" t="s">
        <v>554</v>
      </c>
      <c r="J141" t="s">
        <v>555</v>
      </c>
      <c r="K141" t="s">
        <v>556</v>
      </c>
      <c r="L141" t="s">
        <v>557</v>
      </c>
      <c r="M141" t="s">
        <v>540</v>
      </c>
    </row>
    <row r="142" spans="1:13">
      <c r="A142" s="256" t="s">
        <v>541</v>
      </c>
      <c r="B142">
        <v>487090385</v>
      </c>
      <c r="C142">
        <v>767592030</v>
      </c>
      <c r="D142">
        <v>596421004</v>
      </c>
      <c r="E142">
        <v>974563484</v>
      </c>
      <c r="F142">
        <v>740535918</v>
      </c>
      <c r="G142">
        <v>949642261</v>
      </c>
      <c r="H142">
        <v>650926203</v>
      </c>
      <c r="I142">
        <v>916280001</v>
      </c>
      <c r="J142">
        <v>669160974</v>
      </c>
      <c r="K142">
        <v>894789092</v>
      </c>
      <c r="L142">
        <v>429920311</v>
      </c>
      <c r="M142" s="13">
        <v>504766397</v>
      </c>
    </row>
    <row r="143" spans="1:13">
      <c r="A143" s="257" t="s">
        <v>542</v>
      </c>
      <c r="B143">
        <v>487090385</v>
      </c>
      <c r="C143">
        <v>767592030</v>
      </c>
      <c r="D143">
        <v>596421004</v>
      </c>
      <c r="E143">
        <v>974563484</v>
      </c>
      <c r="F143">
        <v>740535918</v>
      </c>
      <c r="G143">
        <v>949642261</v>
      </c>
      <c r="H143">
        <v>650926203</v>
      </c>
      <c r="I143">
        <v>916280001</v>
      </c>
      <c r="J143">
        <v>669160974</v>
      </c>
      <c r="K143">
        <v>894789092</v>
      </c>
      <c r="L143">
        <v>429920311</v>
      </c>
      <c r="M143" s="13">
        <v>504766397</v>
      </c>
    </row>
    <row r="144" spans="1:13">
      <c r="A144" s="258" t="s">
        <v>542</v>
      </c>
      <c r="B144">
        <v>480068443</v>
      </c>
      <c r="C144">
        <v>761389808</v>
      </c>
      <c r="D144">
        <v>590260969</v>
      </c>
      <c r="E144">
        <v>968344851</v>
      </c>
      <c r="F144">
        <v>733951290</v>
      </c>
      <c r="G144">
        <v>944443949</v>
      </c>
      <c r="H144">
        <v>644277143</v>
      </c>
      <c r="I144">
        <v>909473492</v>
      </c>
      <c r="J144">
        <v>663356159</v>
      </c>
      <c r="K144">
        <v>888242646</v>
      </c>
      <c r="L144">
        <v>424453663</v>
      </c>
      <c r="M144" s="13">
        <v>499174858</v>
      </c>
    </row>
    <row r="145" spans="1:13">
      <c r="A145" s="259" t="s">
        <v>591</v>
      </c>
      <c r="B145">
        <v>435851161</v>
      </c>
      <c r="C145">
        <v>717155429</v>
      </c>
      <c r="D145">
        <v>534113519</v>
      </c>
      <c r="E145">
        <v>921689465</v>
      </c>
      <c r="F145">
        <v>689008671</v>
      </c>
      <c r="G145">
        <v>899905653</v>
      </c>
      <c r="H145">
        <v>599777963</v>
      </c>
      <c r="I145">
        <v>865196956</v>
      </c>
      <c r="J145">
        <v>616285601</v>
      </c>
      <c r="K145">
        <v>844093018</v>
      </c>
      <c r="L145">
        <v>380658986</v>
      </c>
      <c r="M145" s="13">
        <v>455079709</v>
      </c>
    </row>
    <row r="146" spans="1:13">
      <c r="A146" s="259" t="s">
        <v>594</v>
      </c>
      <c r="B146">
        <v>1481654</v>
      </c>
      <c r="C146">
        <v>1485849</v>
      </c>
      <c r="D146">
        <v>1439358</v>
      </c>
      <c r="E146">
        <v>1637229</v>
      </c>
      <c r="F146">
        <v>1394062</v>
      </c>
      <c r="G146">
        <v>1300651</v>
      </c>
      <c r="H146">
        <v>1293148</v>
      </c>
      <c r="I146">
        <v>1354057</v>
      </c>
      <c r="J146">
        <v>1437475</v>
      </c>
      <c r="K146">
        <v>1357700</v>
      </c>
      <c r="L146">
        <v>1187780</v>
      </c>
      <c r="M146" s="13">
        <v>1497566</v>
      </c>
    </row>
    <row r="147" spans="1:13">
      <c r="A147" s="259" t="s">
        <v>598</v>
      </c>
      <c r="B147">
        <v>176245</v>
      </c>
      <c r="C147">
        <v>191794</v>
      </c>
      <c r="D147">
        <v>12151797</v>
      </c>
      <c r="E147">
        <v>1647138</v>
      </c>
      <c r="F147">
        <v>998557</v>
      </c>
      <c r="G147">
        <v>687485</v>
      </c>
      <c r="H147">
        <v>656031</v>
      </c>
      <c r="I147">
        <v>372478</v>
      </c>
      <c r="J147">
        <v>371022</v>
      </c>
      <c r="K147">
        <v>241926</v>
      </c>
      <c r="L147">
        <v>56897</v>
      </c>
      <c r="M147" s="13">
        <v>47583</v>
      </c>
    </row>
    <row r="148" spans="1:13">
      <c r="A148" s="259" t="s">
        <v>596</v>
      </c>
      <c r="B148">
        <v>16500000</v>
      </c>
      <c r="C148">
        <v>16500000</v>
      </c>
      <c r="D148">
        <v>16500000</v>
      </c>
      <c r="E148">
        <v>17302333</v>
      </c>
      <c r="F148">
        <v>16500000</v>
      </c>
      <c r="G148">
        <v>16500000</v>
      </c>
      <c r="H148">
        <v>16500000</v>
      </c>
      <c r="I148">
        <v>16500000</v>
      </c>
      <c r="J148">
        <v>19189620</v>
      </c>
      <c r="K148">
        <v>16500000</v>
      </c>
      <c r="L148">
        <v>16500000</v>
      </c>
      <c r="M148" s="13">
        <v>16500000</v>
      </c>
    </row>
    <row r="149" spans="1:13">
      <c r="A149" s="259" t="s">
        <v>370</v>
      </c>
      <c r="B149">
        <v>26059383</v>
      </c>
      <c r="C149">
        <v>26056736</v>
      </c>
      <c r="D149">
        <v>26056295</v>
      </c>
      <c r="E149">
        <v>26068686</v>
      </c>
      <c r="F149">
        <v>26050000</v>
      </c>
      <c r="G149">
        <v>26050160</v>
      </c>
      <c r="H149">
        <v>26050001</v>
      </c>
      <c r="I149">
        <v>26050001</v>
      </c>
      <c r="J149">
        <v>26072441</v>
      </c>
      <c r="K149">
        <v>26050002</v>
      </c>
      <c r="L149">
        <v>26050000</v>
      </c>
      <c r="M149" s="13">
        <v>26050000</v>
      </c>
    </row>
    <row r="150" spans="1:13">
      <c r="A150" s="258" t="s">
        <v>567</v>
      </c>
      <c r="B150">
        <v>7021942</v>
      </c>
      <c r="C150">
        <v>6202222</v>
      </c>
      <c r="D150">
        <v>6160035</v>
      </c>
      <c r="E150">
        <v>6218633</v>
      </c>
      <c r="F150">
        <v>6584628</v>
      </c>
      <c r="G150">
        <v>5198312</v>
      </c>
      <c r="H150">
        <v>6649060</v>
      </c>
      <c r="I150">
        <v>6806509</v>
      </c>
      <c r="J150">
        <v>5804815</v>
      </c>
      <c r="K150">
        <v>6546446</v>
      </c>
      <c r="L150">
        <v>5466648</v>
      </c>
      <c r="M150" s="13">
        <v>5591539</v>
      </c>
    </row>
    <row r="151" spans="1:13">
      <c r="A151" s="259" t="s">
        <v>600</v>
      </c>
      <c r="B151">
        <v>7021942</v>
      </c>
      <c r="C151">
        <v>6202222</v>
      </c>
      <c r="D151">
        <v>6160035</v>
      </c>
      <c r="E151">
        <v>6218633</v>
      </c>
      <c r="F151">
        <v>6584628</v>
      </c>
      <c r="G151">
        <v>5198312</v>
      </c>
      <c r="H151">
        <v>6649060</v>
      </c>
      <c r="I151">
        <v>6806509</v>
      </c>
      <c r="J151">
        <v>5804815</v>
      </c>
      <c r="K151">
        <v>6546446</v>
      </c>
      <c r="L151">
        <v>5466648</v>
      </c>
      <c r="M151" s="13">
        <v>5591539</v>
      </c>
    </row>
    <row r="152" spans="1:13">
      <c r="A152" s="256" t="s">
        <v>543</v>
      </c>
      <c r="B152">
        <v>3083949228</v>
      </c>
      <c r="C152">
        <v>3008087268</v>
      </c>
      <c r="D152">
        <v>3109460752</v>
      </c>
      <c r="E152">
        <v>6576792272</v>
      </c>
      <c r="F152">
        <v>3672685388</v>
      </c>
      <c r="G152">
        <v>10807061437</v>
      </c>
      <c r="H152">
        <v>4656168774</v>
      </c>
      <c r="I152">
        <v>5054810905</v>
      </c>
      <c r="J152">
        <v>7383906732</v>
      </c>
      <c r="K152">
        <v>4803215968</v>
      </c>
      <c r="L152">
        <v>6917841218</v>
      </c>
      <c r="M152" s="13">
        <v>6089634020</v>
      </c>
    </row>
    <row r="153" spans="1:13">
      <c r="A153" s="257" t="s">
        <v>574</v>
      </c>
      <c r="B153">
        <v>15993657</v>
      </c>
      <c r="C153">
        <v>15163457</v>
      </c>
      <c r="D153">
        <v>13044213</v>
      </c>
      <c r="E153">
        <v>13690676</v>
      </c>
      <c r="F153">
        <v>13693197</v>
      </c>
      <c r="G153">
        <v>12313274</v>
      </c>
      <c r="H153">
        <v>12390937</v>
      </c>
      <c r="I153">
        <v>13217761</v>
      </c>
      <c r="J153">
        <v>14484035</v>
      </c>
      <c r="K153">
        <v>14873122</v>
      </c>
      <c r="L153">
        <v>12658742</v>
      </c>
      <c r="M153" s="13">
        <v>12528938</v>
      </c>
    </row>
    <row r="154" spans="1:13">
      <c r="A154" s="258" t="s">
        <v>574</v>
      </c>
      <c r="B154">
        <v>15993657</v>
      </c>
      <c r="C154">
        <v>15163457</v>
      </c>
      <c r="D154">
        <v>13044213</v>
      </c>
      <c r="E154">
        <v>13690676</v>
      </c>
      <c r="F154">
        <v>13693197</v>
      </c>
      <c r="G154">
        <v>12313274</v>
      </c>
      <c r="H154">
        <v>12390937</v>
      </c>
      <c r="I154">
        <v>13217761</v>
      </c>
      <c r="J154">
        <v>14484035</v>
      </c>
      <c r="K154">
        <v>14873122</v>
      </c>
      <c r="L154">
        <v>12658742</v>
      </c>
      <c r="M154" s="13">
        <v>12528938</v>
      </c>
    </row>
    <row r="155" spans="1:13">
      <c r="A155" s="259">
        <v>0</v>
      </c>
      <c r="B155">
        <v>15993657</v>
      </c>
      <c r="C155">
        <v>15163457</v>
      </c>
      <c r="D155">
        <v>13044213</v>
      </c>
      <c r="E155">
        <v>13690676</v>
      </c>
      <c r="F155">
        <v>13693197</v>
      </c>
      <c r="G155">
        <v>12313274</v>
      </c>
      <c r="H155">
        <v>12390937</v>
      </c>
      <c r="I155">
        <v>13217761</v>
      </c>
      <c r="J155">
        <v>14484035</v>
      </c>
      <c r="K155">
        <v>14873122</v>
      </c>
      <c r="L155">
        <v>12658742</v>
      </c>
      <c r="M155" s="13">
        <v>12528938</v>
      </c>
    </row>
    <row r="156" spans="1:13">
      <c r="A156" s="257" t="s">
        <v>544</v>
      </c>
      <c r="B156">
        <v>50454436</v>
      </c>
      <c r="C156">
        <v>49483753</v>
      </c>
      <c r="D156">
        <v>53274378</v>
      </c>
      <c r="E156">
        <v>50399448</v>
      </c>
      <c r="F156">
        <v>46819477</v>
      </c>
      <c r="G156">
        <v>42868625</v>
      </c>
      <c r="H156">
        <v>46741008</v>
      </c>
      <c r="I156">
        <v>43309097</v>
      </c>
      <c r="J156">
        <v>46584615</v>
      </c>
      <c r="K156">
        <v>42134889</v>
      </c>
      <c r="L156">
        <v>14687809</v>
      </c>
      <c r="M156" s="13">
        <v>17336978</v>
      </c>
    </row>
    <row r="157" spans="1:13">
      <c r="A157" s="258" t="s">
        <v>544</v>
      </c>
      <c r="B157">
        <v>50454436</v>
      </c>
      <c r="C157">
        <v>49483753</v>
      </c>
      <c r="D157">
        <v>53274378</v>
      </c>
      <c r="E157">
        <v>50399448</v>
      </c>
      <c r="F157">
        <v>46819477</v>
      </c>
      <c r="G157">
        <v>42868625</v>
      </c>
      <c r="H157">
        <v>46741008</v>
      </c>
      <c r="I157">
        <v>43309097</v>
      </c>
      <c r="J157">
        <v>46584615</v>
      </c>
      <c r="K157">
        <v>42134889</v>
      </c>
      <c r="L157">
        <v>14687809</v>
      </c>
      <c r="M157" s="13">
        <v>17336978</v>
      </c>
    </row>
    <row r="158" spans="1:13">
      <c r="A158" s="259" t="s">
        <v>598</v>
      </c>
      <c r="B158">
        <v>42965040</v>
      </c>
      <c r="C158">
        <v>42095789</v>
      </c>
      <c r="D158">
        <v>45747688</v>
      </c>
      <c r="E158">
        <v>42442625</v>
      </c>
      <c r="F158">
        <v>38897801</v>
      </c>
      <c r="G158">
        <v>34960534</v>
      </c>
      <c r="H158">
        <v>37665835</v>
      </c>
      <c r="I158">
        <v>34825214</v>
      </c>
      <c r="J158">
        <v>37528129</v>
      </c>
      <c r="K158">
        <v>33286868</v>
      </c>
      <c r="L158">
        <v>6640088</v>
      </c>
      <c r="M158" s="13">
        <v>7603373</v>
      </c>
    </row>
    <row r="159" spans="1:13">
      <c r="A159" s="259" t="s">
        <v>370</v>
      </c>
      <c r="E159">
        <v>10092</v>
      </c>
      <c r="F159">
        <v>12163</v>
      </c>
      <c r="G159">
        <v>8375</v>
      </c>
      <c r="H159">
        <v>9106</v>
      </c>
      <c r="I159">
        <v>9704</v>
      </c>
      <c r="J159">
        <v>8690</v>
      </c>
      <c r="K159">
        <v>10663</v>
      </c>
      <c r="L159">
        <v>9125</v>
      </c>
      <c r="M159" s="13">
        <v>7852</v>
      </c>
    </row>
    <row r="160" spans="1:13">
      <c r="A160" s="259" t="s">
        <v>602</v>
      </c>
      <c r="B160">
        <v>7489396</v>
      </c>
      <c r="C160">
        <v>7387964</v>
      </c>
      <c r="D160">
        <v>7526690</v>
      </c>
      <c r="E160">
        <v>7946731</v>
      </c>
      <c r="F160">
        <v>7909513</v>
      </c>
      <c r="G160">
        <v>7892075</v>
      </c>
      <c r="H160">
        <v>9062462</v>
      </c>
      <c r="I160">
        <v>8462105</v>
      </c>
      <c r="J160">
        <v>9036142</v>
      </c>
      <c r="K160">
        <v>8823325</v>
      </c>
      <c r="L160">
        <v>8026468</v>
      </c>
      <c r="M160" s="13">
        <v>9715044</v>
      </c>
    </row>
    <row r="161" spans="1:13">
      <c r="A161" s="259" t="s">
        <v>607</v>
      </c>
      <c r="G161">
        <v>7641</v>
      </c>
      <c r="H161">
        <v>3605</v>
      </c>
      <c r="I161">
        <v>12074</v>
      </c>
      <c r="J161">
        <v>11654</v>
      </c>
      <c r="K161">
        <v>14033</v>
      </c>
      <c r="L161">
        <v>12128</v>
      </c>
      <c r="M161" s="13">
        <v>10709</v>
      </c>
    </row>
    <row r="162" spans="1:13">
      <c r="A162" s="257" t="s">
        <v>545</v>
      </c>
      <c r="F162">
        <v>14007</v>
      </c>
      <c r="G162">
        <v>7274281183</v>
      </c>
      <c r="H162">
        <v>708782514</v>
      </c>
      <c r="I162">
        <v>873132036</v>
      </c>
      <c r="J162">
        <v>981513185</v>
      </c>
      <c r="K162">
        <v>1246271540</v>
      </c>
      <c r="L162">
        <v>3578577321</v>
      </c>
      <c r="M162" s="13">
        <v>1858260858</v>
      </c>
    </row>
    <row r="163" spans="1:13">
      <c r="A163" s="258" t="s">
        <v>545</v>
      </c>
      <c r="F163">
        <v>14007</v>
      </c>
      <c r="G163">
        <v>7274281183</v>
      </c>
      <c r="H163">
        <v>708782514</v>
      </c>
      <c r="I163">
        <v>873132036</v>
      </c>
      <c r="J163">
        <v>981513185</v>
      </c>
      <c r="K163">
        <v>1246271540</v>
      </c>
      <c r="L163">
        <v>3578577321</v>
      </c>
      <c r="M163" s="13">
        <v>1858260858</v>
      </c>
    </row>
    <row r="164" spans="1:13">
      <c r="A164" s="259" t="s">
        <v>689</v>
      </c>
      <c r="F164">
        <v>14007</v>
      </c>
      <c r="G164">
        <v>7274281183</v>
      </c>
      <c r="H164">
        <v>708782514</v>
      </c>
      <c r="I164">
        <v>873132036</v>
      </c>
      <c r="J164">
        <v>981513185</v>
      </c>
      <c r="K164">
        <v>1246271540</v>
      </c>
      <c r="L164">
        <v>3578577321</v>
      </c>
      <c r="M164" s="13">
        <v>1858260858</v>
      </c>
    </row>
    <row r="165" spans="1:13">
      <c r="A165" s="257" t="s">
        <v>739</v>
      </c>
      <c r="B165">
        <v>4147447</v>
      </c>
      <c r="C165">
        <v>3759400</v>
      </c>
      <c r="D165">
        <v>3567763</v>
      </c>
      <c r="E165">
        <v>4179431</v>
      </c>
      <c r="F165">
        <v>3722615</v>
      </c>
      <c r="G165">
        <v>3550240</v>
      </c>
      <c r="H165">
        <v>4344408</v>
      </c>
      <c r="I165">
        <v>4345105</v>
      </c>
      <c r="J165">
        <v>4291826</v>
      </c>
      <c r="K165">
        <v>4028347</v>
      </c>
      <c r="L165">
        <v>3632109</v>
      </c>
      <c r="M165" s="13">
        <v>4099688</v>
      </c>
    </row>
    <row r="166" spans="1:13">
      <c r="A166" s="258" t="s">
        <v>739</v>
      </c>
      <c r="B166">
        <v>4147447</v>
      </c>
      <c r="C166">
        <v>3759400</v>
      </c>
      <c r="D166">
        <v>3567763</v>
      </c>
      <c r="E166">
        <v>4179431</v>
      </c>
      <c r="F166">
        <v>3722615</v>
      </c>
      <c r="G166">
        <v>3550240</v>
      </c>
      <c r="H166">
        <v>4344408</v>
      </c>
      <c r="I166">
        <v>4345105</v>
      </c>
      <c r="J166">
        <v>4291826</v>
      </c>
      <c r="K166">
        <v>4028347</v>
      </c>
      <c r="L166">
        <v>3632109</v>
      </c>
      <c r="M166" s="13">
        <v>4099688</v>
      </c>
    </row>
    <row r="167" spans="1:13">
      <c r="A167" s="259">
        <v>0</v>
      </c>
      <c r="K167">
        <v>72457</v>
      </c>
      <c r="L167">
        <v>95581</v>
      </c>
      <c r="M167" s="13">
        <v>95520</v>
      </c>
    </row>
    <row r="168" spans="1:13">
      <c r="A168" s="259" t="s">
        <v>740</v>
      </c>
      <c r="B168">
        <v>93683</v>
      </c>
      <c r="C168">
        <v>83727</v>
      </c>
      <c r="D168">
        <v>87910</v>
      </c>
      <c r="E168">
        <v>81718</v>
      </c>
      <c r="F168">
        <v>88431</v>
      </c>
      <c r="G168">
        <v>89268</v>
      </c>
      <c r="H168">
        <v>89355</v>
      </c>
      <c r="I168">
        <v>96054</v>
      </c>
      <c r="J168">
        <v>87995</v>
      </c>
      <c r="K168">
        <v>84221</v>
      </c>
      <c r="L168">
        <v>76625</v>
      </c>
      <c r="M168" s="13">
        <v>107386</v>
      </c>
    </row>
    <row r="169" spans="1:13">
      <c r="A169" s="259" t="s">
        <v>741</v>
      </c>
      <c r="B169">
        <v>1650339</v>
      </c>
      <c r="C169">
        <v>1568594</v>
      </c>
      <c r="D169">
        <v>1449646</v>
      </c>
      <c r="E169">
        <v>1606994</v>
      </c>
      <c r="F169">
        <v>1539701</v>
      </c>
      <c r="G169">
        <v>1404477</v>
      </c>
      <c r="H169">
        <v>1613721</v>
      </c>
      <c r="I169">
        <v>1610654</v>
      </c>
      <c r="J169">
        <v>1589427</v>
      </c>
      <c r="K169">
        <v>1488166</v>
      </c>
      <c r="L169">
        <v>1366984</v>
      </c>
      <c r="M169" s="13">
        <v>1478086</v>
      </c>
    </row>
    <row r="170" spans="1:13">
      <c r="A170" s="259" t="s">
        <v>742</v>
      </c>
      <c r="B170">
        <v>1134222</v>
      </c>
      <c r="C170">
        <v>991576</v>
      </c>
      <c r="D170">
        <v>954507</v>
      </c>
      <c r="E170">
        <v>1187771</v>
      </c>
      <c r="F170">
        <v>989785</v>
      </c>
      <c r="G170">
        <v>971495</v>
      </c>
      <c r="H170">
        <v>1265010</v>
      </c>
      <c r="I170">
        <v>1261521</v>
      </c>
      <c r="J170">
        <v>1246848</v>
      </c>
      <c r="K170">
        <v>1135164</v>
      </c>
      <c r="L170">
        <v>988449</v>
      </c>
      <c r="M170" s="13">
        <v>1151781</v>
      </c>
    </row>
    <row r="171" spans="1:13">
      <c r="A171" s="259" t="s">
        <v>743</v>
      </c>
      <c r="B171">
        <v>1269203</v>
      </c>
      <c r="C171">
        <v>1115503</v>
      </c>
      <c r="D171">
        <v>1075700</v>
      </c>
      <c r="E171">
        <v>1302948</v>
      </c>
      <c r="F171">
        <v>1104698</v>
      </c>
      <c r="G171">
        <v>1085000</v>
      </c>
      <c r="H171">
        <v>1376322</v>
      </c>
      <c r="I171">
        <v>1376876</v>
      </c>
      <c r="J171">
        <v>1367556</v>
      </c>
      <c r="K171">
        <v>1248339</v>
      </c>
      <c r="L171">
        <v>1104470</v>
      </c>
      <c r="M171" s="13">
        <v>1266915</v>
      </c>
    </row>
    <row r="172" spans="1:13">
      <c r="A172" s="257" t="s">
        <v>560</v>
      </c>
      <c r="B172">
        <v>221788</v>
      </c>
      <c r="C172">
        <v>228682</v>
      </c>
      <c r="D172">
        <v>238939</v>
      </c>
      <c r="E172">
        <v>240330</v>
      </c>
      <c r="F172">
        <v>257164</v>
      </c>
      <c r="G172">
        <v>251725</v>
      </c>
      <c r="H172">
        <v>235979</v>
      </c>
      <c r="I172">
        <v>231018</v>
      </c>
      <c r="J172">
        <v>257523</v>
      </c>
      <c r="K172">
        <v>247124</v>
      </c>
      <c r="L172">
        <v>216112</v>
      </c>
      <c r="M172" s="13">
        <v>247557</v>
      </c>
    </row>
    <row r="173" spans="1:13">
      <c r="A173" s="258" t="s">
        <v>560</v>
      </c>
      <c r="B173">
        <v>221788</v>
      </c>
      <c r="C173">
        <v>228682</v>
      </c>
      <c r="D173">
        <v>238939</v>
      </c>
      <c r="E173">
        <v>240330</v>
      </c>
      <c r="F173">
        <v>257164</v>
      </c>
      <c r="G173">
        <v>251725</v>
      </c>
      <c r="H173">
        <v>235979</v>
      </c>
      <c r="I173">
        <v>231018</v>
      </c>
      <c r="J173">
        <v>257523</v>
      </c>
      <c r="K173">
        <v>247124</v>
      </c>
      <c r="L173">
        <v>216112</v>
      </c>
      <c r="M173" s="13">
        <v>247557</v>
      </c>
    </row>
    <row r="174" spans="1:13">
      <c r="A174" s="259">
        <v>0</v>
      </c>
      <c r="B174">
        <v>221788</v>
      </c>
      <c r="C174">
        <v>228682</v>
      </c>
      <c r="D174">
        <v>238939</v>
      </c>
      <c r="E174">
        <v>240330</v>
      </c>
      <c r="F174">
        <v>257164</v>
      </c>
      <c r="G174">
        <v>251725</v>
      </c>
      <c r="H174">
        <v>235979</v>
      </c>
      <c r="I174">
        <v>231018</v>
      </c>
      <c r="J174">
        <v>257523</v>
      </c>
      <c r="K174">
        <v>247124</v>
      </c>
      <c r="L174">
        <v>216112</v>
      </c>
      <c r="M174" s="13">
        <v>247557</v>
      </c>
    </row>
    <row r="175" spans="1:13">
      <c r="A175" s="257" t="s">
        <v>542</v>
      </c>
      <c r="B175">
        <v>2937382515</v>
      </c>
      <c r="C175">
        <v>2848447969</v>
      </c>
      <c r="D175">
        <v>2939415428</v>
      </c>
      <c r="E175">
        <v>6166619330</v>
      </c>
      <c r="F175">
        <v>3189164504</v>
      </c>
      <c r="G175">
        <v>3195510666</v>
      </c>
      <c r="H175">
        <v>3601643553</v>
      </c>
      <c r="I175">
        <v>3819128841</v>
      </c>
      <c r="J175">
        <v>6034541635</v>
      </c>
      <c r="K175">
        <v>3140263831</v>
      </c>
      <c r="L175">
        <v>2999851500</v>
      </c>
      <c r="M175" s="13">
        <v>3837743597</v>
      </c>
    </row>
    <row r="176" spans="1:13">
      <c r="A176" s="258" t="s">
        <v>573</v>
      </c>
      <c r="B176">
        <v>847662</v>
      </c>
      <c r="C176">
        <v>831954</v>
      </c>
      <c r="D176">
        <v>819863</v>
      </c>
      <c r="E176">
        <v>1055148</v>
      </c>
      <c r="F176">
        <v>1471063</v>
      </c>
      <c r="G176">
        <v>1465145</v>
      </c>
      <c r="H176">
        <v>1505713</v>
      </c>
      <c r="I176">
        <v>1520310</v>
      </c>
      <c r="J176">
        <v>1893141</v>
      </c>
      <c r="K176">
        <v>2089818</v>
      </c>
      <c r="L176">
        <v>1858983</v>
      </c>
      <c r="M176" s="13">
        <v>2478161</v>
      </c>
    </row>
    <row r="177" spans="1:13">
      <c r="A177" s="259" t="s">
        <v>621</v>
      </c>
      <c r="B177">
        <v>847662</v>
      </c>
      <c r="C177">
        <v>831954</v>
      </c>
      <c r="D177">
        <v>819863</v>
      </c>
      <c r="E177">
        <v>1055148</v>
      </c>
      <c r="F177">
        <v>1457941</v>
      </c>
      <c r="G177">
        <v>1458274</v>
      </c>
      <c r="H177">
        <v>1496773</v>
      </c>
      <c r="I177">
        <v>1510606</v>
      </c>
      <c r="J177">
        <v>1884390</v>
      </c>
      <c r="K177">
        <v>2078934</v>
      </c>
      <c r="L177">
        <v>1849540</v>
      </c>
      <c r="M177" s="13">
        <v>2470019</v>
      </c>
    </row>
    <row r="178" spans="1:13">
      <c r="A178" s="259" t="s">
        <v>370</v>
      </c>
      <c r="F178">
        <v>13122</v>
      </c>
      <c r="G178">
        <v>6871</v>
      </c>
      <c r="H178">
        <v>8940</v>
      </c>
      <c r="I178">
        <v>9704</v>
      </c>
      <c r="J178">
        <v>8751</v>
      </c>
      <c r="K178">
        <v>10884</v>
      </c>
      <c r="L178">
        <v>9443</v>
      </c>
      <c r="M178" s="13">
        <v>8142</v>
      </c>
    </row>
    <row r="179" spans="1:13">
      <c r="A179" s="258" t="s">
        <v>583</v>
      </c>
      <c r="J179">
        <v>13387</v>
      </c>
      <c r="K179">
        <v>4422</v>
      </c>
      <c r="L179">
        <v>6985</v>
      </c>
      <c r="M179" s="13">
        <v>8083</v>
      </c>
    </row>
    <row r="180" spans="1:13">
      <c r="A180" s="259" t="s">
        <v>370</v>
      </c>
      <c r="J180">
        <v>13387</v>
      </c>
      <c r="K180">
        <v>4422</v>
      </c>
      <c r="L180">
        <v>6985</v>
      </c>
      <c r="M180" s="13">
        <v>8083</v>
      </c>
    </row>
    <row r="181" spans="1:13">
      <c r="A181" s="258" t="s">
        <v>562</v>
      </c>
      <c r="E181">
        <v>23164</v>
      </c>
      <c r="F181">
        <v>145340</v>
      </c>
      <c r="G181">
        <v>142739</v>
      </c>
      <c r="H181">
        <v>145778</v>
      </c>
      <c r="I181">
        <v>150607</v>
      </c>
      <c r="J181">
        <v>146609</v>
      </c>
      <c r="K181">
        <v>147869</v>
      </c>
      <c r="L181">
        <v>146182</v>
      </c>
      <c r="M181" s="13">
        <v>167787</v>
      </c>
    </row>
    <row r="182" spans="1:13">
      <c r="A182" s="259" t="s">
        <v>370</v>
      </c>
      <c r="E182">
        <v>23164</v>
      </c>
      <c r="F182">
        <v>145340</v>
      </c>
      <c r="G182">
        <v>142739</v>
      </c>
      <c r="H182">
        <v>145778</v>
      </c>
      <c r="I182">
        <v>150607</v>
      </c>
      <c r="J182">
        <v>146609</v>
      </c>
      <c r="K182">
        <v>147869</v>
      </c>
      <c r="L182">
        <v>146182</v>
      </c>
      <c r="M182" s="13">
        <v>167787</v>
      </c>
    </row>
    <row r="183" spans="1:13">
      <c r="A183" s="258" t="s">
        <v>542</v>
      </c>
      <c r="B183">
        <v>1164600271</v>
      </c>
      <c r="C183">
        <v>1033920507</v>
      </c>
      <c r="D183">
        <v>1157612064</v>
      </c>
      <c r="E183">
        <v>4207544056</v>
      </c>
      <c r="F183">
        <v>1293279739</v>
      </c>
      <c r="G183">
        <v>1285894755</v>
      </c>
      <c r="H183">
        <v>1547557436</v>
      </c>
      <c r="I183">
        <v>1687286199</v>
      </c>
      <c r="J183">
        <v>3836070626</v>
      </c>
      <c r="K183">
        <v>996029964</v>
      </c>
      <c r="L183">
        <v>1298045483</v>
      </c>
      <c r="M183" s="13">
        <v>1710512563</v>
      </c>
    </row>
    <row r="184" spans="1:13">
      <c r="A184" s="259" t="s">
        <v>591</v>
      </c>
      <c r="B184">
        <v>27950153</v>
      </c>
      <c r="C184">
        <v>27632277</v>
      </c>
      <c r="D184">
        <v>26815230</v>
      </c>
      <c r="E184">
        <v>273365756</v>
      </c>
      <c r="F184">
        <v>17665499</v>
      </c>
      <c r="G184">
        <v>23157265</v>
      </c>
      <c r="H184">
        <v>122776263</v>
      </c>
      <c r="I184">
        <v>216917194</v>
      </c>
      <c r="J184">
        <v>213312950</v>
      </c>
      <c r="K184">
        <v>195571926</v>
      </c>
      <c r="L184">
        <v>215206883</v>
      </c>
      <c r="M184" s="13">
        <v>360298926</v>
      </c>
    </row>
    <row r="185" spans="1:13">
      <c r="A185" s="259" t="s">
        <v>624</v>
      </c>
      <c r="B185">
        <v>10545812</v>
      </c>
      <c r="C185">
        <v>10423391</v>
      </c>
      <c r="D185">
        <v>9764556</v>
      </c>
      <c r="E185">
        <v>10328787</v>
      </c>
      <c r="F185">
        <v>10327030</v>
      </c>
      <c r="G185">
        <v>10369678</v>
      </c>
      <c r="H185">
        <v>10827077</v>
      </c>
      <c r="I185">
        <v>8600317</v>
      </c>
      <c r="J185">
        <v>8758181</v>
      </c>
      <c r="K185">
        <v>8411288</v>
      </c>
      <c r="L185">
        <v>7355445</v>
      </c>
      <c r="M185" s="13">
        <v>8749873</v>
      </c>
    </row>
    <row r="186" spans="1:13">
      <c r="A186" s="259" t="s">
        <v>594</v>
      </c>
      <c r="B186">
        <v>87729914</v>
      </c>
      <c r="C186">
        <v>75992843</v>
      </c>
      <c r="D186">
        <v>74904063</v>
      </c>
      <c r="E186">
        <v>87546871</v>
      </c>
      <c r="F186">
        <v>88616759</v>
      </c>
      <c r="G186">
        <v>84809287</v>
      </c>
      <c r="H186">
        <v>89030297</v>
      </c>
      <c r="I186">
        <v>87819957</v>
      </c>
      <c r="J186">
        <v>95352886</v>
      </c>
      <c r="K186">
        <v>92702400</v>
      </c>
      <c r="L186">
        <v>79287393</v>
      </c>
      <c r="M186" s="13">
        <v>101346064</v>
      </c>
    </row>
    <row r="187" spans="1:13">
      <c r="A187" s="259" t="s">
        <v>629</v>
      </c>
      <c r="E187">
        <v>3400715</v>
      </c>
      <c r="F187">
        <v>3856463</v>
      </c>
      <c r="G187">
        <v>3767342</v>
      </c>
      <c r="H187">
        <v>4126647</v>
      </c>
      <c r="I187">
        <v>4181143</v>
      </c>
      <c r="J187">
        <v>5487556</v>
      </c>
      <c r="K187">
        <v>5222312</v>
      </c>
      <c r="L187">
        <v>3594228</v>
      </c>
      <c r="M187" s="13">
        <v>4158481</v>
      </c>
    </row>
    <row r="188" spans="1:13">
      <c r="A188" s="259" t="s">
        <v>698</v>
      </c>
      <c r="L188">
        <v>0</v>
      </c>
      <c r="M188" s="13">
        <v>14921</v>
      </c>
    </row>
    <row r="189" spans="1:13">
      <c r="A189" s="259" t="s">
        <v>598</v>
      </c>
      <c r="B189">
        <v>66490022</v>
      </c>
      <c r="C189">
        <v>81399377</v>
      </c>
      <c r="D189">
        <v>176005600</v>
      </c>
      <c r="E189">
        <v>162358430</v>
      </c>
      <c r="F189">
        <v>149656850</v>
      </c>
      <c r="G189">
        <v>139855055</v>
      </c>
      <c r="H189">
        <v>125237057</v>
      </c>
      <c r="I189">
        <v>125494773</v>
      </c>
      <c r="J189">
        <v>133346808</v>
      </c>
      <c r="K189">
        <v>100285637</v>
      </c>
      <c r="L189">
        <v>15779168</v>
      </c>
      <c r="M189" s="13">
        <v>17935171</v>
      </c>
    </row>
    <row r="190" spans="1:13">
      <c r="A190" s="259" t="s">
        <v>635</v>
      </c>
      <c r="B190">
        <v>28490244</v>
      </c>
      <c r="C190">
        <v>21062169</v>
      </c>
      <c r="D190">
        <v>18248643</v>
      </c>
      <c r="E190">
        <v>21359689</v>
      </c>
      <c r="F190">
        <v>31380007</v>
      </c>
      <c r="G190">
        <v>26349467</v>
      </c>
      <c r="H190">
        <v>54057983</v>
      </c>
      <c r="I190">
        <v>57059752</v>
      </c>
      <c r="J190">
        <v>64381268</v>
      </c>
      <c r="K190">
        <v>55167978</v>
      </c>
      <c r="L190">
        <v>52860376</v>
      </c>
      <c r="M190" s="13">
        <v>36623736</v>
      </c>
    </row>
    <row r="191" spans="1:13">
      <c r="A191" s="259" t="s">
        <v>652</v>
      </c>
      <c r="B191">
        <v>13591124</v>
      </c>
      <c r="C191">
        <v>12718349</v>
      </c>
      <c r="D191">
        <v>9018727</v>
      </c>
      <c r="E191">
        <v>4575704</v>
      </c>
      <c r="F191">
        <v>4625992</v>
      </c>
      <c r="G191">
        <v>4588542</v>
      </c>
      <c r="H191">
        <v>2241491</v>
      </c>
      <c r="J191">
        <v>0</v>
      </c>
      <c r="K191">
        <v>0</v>
      </c>
      <c r="L191">
        <v>0</v>
      </c>
      <c r="M191" s="13">
        <v>0</v>
      </c>
    </row>
    <row r="192" spans="1:13">
      <c r="A192" s="259" t="s">
        <v>650</v>
      </c>
      <c r="C192">
        <v>125166</v>
      </c>
      <c r="D192">
        <v>1430075</v>
      </c>
      <c r="E192">
        <v>2525521</v>
      </c>
      <c r="F192">
        <v>111563</v>
      </c>
      <c r="G192">
        <v>109511</v>
      </c>
      <c r="H192">
        <v>112268</v>
      </c>
      <c r="I192">
        <v>113131</v>
      </c>
      <c r="J192">
        <v>363946</v>
      </c>
      <c r="K192">
        <v>283435</v>
      </c>
      <c r="L192">
        <v>255859</v>
      </c>
      <c r="M192" s="13">
        <v>293837</v>
      </c>
    </row>
    <row r="193" spans="1:13">
      <c r="A193" s="259" t="s">
        <v>596</v>
      </c>
      <c r="B193">
        <v>251251691</v>
      </c>
      <c r="C193">
        <v>209943505</v>
      </c>
      <c r="D193">
        <v>188775031</v>
      </c>
      <c r="E193">
        <v>209713983</v>
      </c>
      <c r="F193">
        <v>217900002</v>
      </c>
      <c r="G193">
        <v>223594437</v>
      </c>
      <c r="H193">
        <v>236169805</v>
      </c>
      <c r="I193">
        <v>243877035</v>
      </c>
      <c r="J193">
        <v>263737456</v>
      </c>
      <c r="K193">
        <v>252959233</v>
      </c>
      <c r="L193">
        <v>216207557</v>
      </c>
      <c r="M193" s="13">
        <v>246161250</v>
      </c>
    </row>
    <row r="194" spans="1:13">
      <c r="A194" s="259" t="s">
        <v>621</v>
      </c>
      <c r="B194">
        <v>63635429</v>
      </c>
      <c r="C194">
        <v>50987408</v>
      </c>
      <c r="D194">
        <v>39253586</v>
      </c>
      <c r="E194">
        <v>37071403</v>
      </c>
      <c r="F194">
        <v>34322681</v>
      </c>
      <c r="G194">
        <v>30745757</v>
      </c>
      <c r="H194">
        <v>31785772</v>
      </c>
      <c r="I194">
        <v>45566996</v>
      </c>
      <c r="J194">
        <v>45201102</v>
      </c>
      <c r="K194">
        <v>32685966</v>
      </c>
      <c r="L194">
        <v>27050277</v>
      </c>
      <c r="M194" s="13">
        <v>26442918</v>
      </c>
    </row>
    <row r="195" spans="1:13">
      <c r="A195" s="259" t="s">
        <v>630</v>
      </c>
      <c r="L195">
        <v>646806</v>
      </c>
      <c r="M195" s="13">
        <v>3154968</v>
      </c>
    </row>
    <row r="196" spans="1:13">
      <c r="A196" s="259" t="s">
        <v>370</v>
      </c>
      <c r="B196">
        <v>550584537</v>
      </c>
      <c r="C196">
        <v>483340423</v>
      </c>
      <c r="D196">
        <v>552897585</v>
      </c>
      <c r="E196">
        <v>3332597665</v>
      </c>
      <c r="F196">
        <v>676255713</v>
      </c>
      <c r="G196">
        <v>677178508</v>
      </c>
      <c r="H196">
        <v>802540764</v>
      </c>
      <c r="I196">
        <v>822327494</v>
      </c>
      <c r="J196">
        <v>2918177265</v>
      </c>
      <c r="K196">
        <v>167242351</v>
      </c>
      <c r="L196">
        <v>604792347</v>
      </c>
      <c r="M196" s="13">
        <v>830227166</v>
      </c>
    </row>
    <row r="197" spans="1:13">
      <c r="A197" s="259" t="s">
        <v>653</v>
      </c>
      <c r="B197">
        <v>597463</v>
      </c>
      <c r="C197">
        <v>342858</v>
      </c>
      <c r="D197">
        <v>343282</v>
      </c>
      <c r="E197">
        <v>251313</v>
      </c>
      <c r="F197">
        <v>610024</v>
      </c>
      <c r="G197">
        <v>2430250</v>
      </c>
      <c r="H197">
        <v>369036</v>
      </c>
      <c r="I197">
        <v>347690</v>
      </c>
      <c r="J197">
        <v>454752</v>
      </c>
      <c r="K197">
        <v>406290</v>
      </c>
      <c r="L197">
        <v>280704</v>
      </c>
      <c r="M197" s="13">
        <v>310181</v>
      </c>
    </row>
    <row r="198" spans="1:13">
      <c r="A198" s="259" t="s">
        <v>611</v>
      </c>
      <c r="B198">
        <v>2110885</v>
      </c>
      <c r="C198">
        <v>2070050</v>
      </c>
      <c r="D198">
        <v>2045969</v>
      </c>
      <c r="E198">
        <v>2140690</v>
      </c>
      <c r="F198">
        <v>2173643</v>
      </c>
      <c r="G198">
        <v>2169225</v>
      </c>
      <c r="H198">
        <v>3011886</v>
      </c>
      <c r="I198">
        <v>2929026</v>
      </c>
      <c r="J198">
        <v>3075940</v>
      </c>
      <c r="K198">
        <v>3120163</v>
      </c>
      <c r="L198">
        <v>2968714</v>
      </c>
      <c r="M198" s="13">
        <v>3562304</v>
      </c>
    </row>
    <row r="199" spans="1:13">
      <c r="A199" s="259" t="s">
        <v>625</v>
      </c>
      <c r="B199">
        <v>55413240</v>
      </c>
      <c r="C199">
        <v>49256360</v>
      </c>
      <c r="D199">
        <v>43675150</v>
      </c>
      <c r="E199">
        <v>46859706</v>
      </c>
      <c r="F199">
        <v>46497275</v>
      </c>
      <c r="G199">
        <v>45448876</v>
      </c>
      <c r="H199">
        <v>49044060</v>
      </c>
      <c r="I199">
        <v>49543694</v>
      </c>
      <c r="J199">
        <v>65722669</v>
      </c>
      <c r="K199">
        <v>53926788</v>
      </c>
      <c r="L199">
        <v>46767403</v>
      </c>
      <c r="M199" s="13">
        <v>52744143</v>
      </c>
    </row>
    <row r="200" spans="1:13">
      <c r="A200" s="259" t="s">
        <v>622</v>
      </c>
      <c r="B200">
        <v>17954</v>
      </c>
      <c r="C200">
        <v>786948</v>
      </c>
      <c r="D200">
        <v>2251252</v>
      </c>
      <c r="E200">
        <v>2577413</v>
      </c>
      <c r="F200">
        <v>3259350</v>
      </c>
      <c r="G200">
        <v>5158343</v>
      </c>
      <c r="H200">
        <v>5861986</v>
      </c>
      <c r="I200">
        <v>10906142</v>
      </c>
      <c r="J200">
        <v>7016273</v>
      </c>
      <c r="K200">
        <v>16975345</v>
      </c>
      <c r="L200">
        <v>13908619</v>
      </c>
      <c r="M200" s="13">
        <v>510164</v>
      </c>
    </row>
    <row r="201" spans="1:13">
      <c r="A201" s="259" t="s">
        <v>600</v>
      </c>
      <c r="B201">
        <v>6044209</v>
      </c>
      <c r="C201">
        <v>5859217</v>
      </c>
      <c r="D201">
        <v>5689202</v>
      </c>
      <c r="E201">
        <v>5895626</v>
      </c>
      <c r="F201">
        <v>5930898</v>
      </c>
      <c r="G201">
        <v>5927748</v>
      </c>
      <c r="H201">
        <v>6203050</v>
      </c>
      <c r="I201">
        <v>6198761</v>
      </c>
      <c r="J201">
        <v>5919275</v>
      </c>
      <c r="K201">
        <v>5607735</v>
      </c>
      <c r="L201">
        <v>5310712</v>
      </c>
      <c r="M201" s="13">
        <v>6233031</v>
      </c>
    </row>
    <row r="202" spans="1:13">
      <c r="A202" s="259" t="s">
        <v>687</v>
      </c>
      <c r="L202">
        <v>0</v>
      </c>
      <c r="M202" s="13">
        <v>298601</v>
      </c>
    </row>
    <row r="203" spans="1:13">
      <c r="A203" s="259" t="s">
        <v>620</v>
      </c>
      <c r="B203">
        <v>147594</v>
      </c>
      <c r="C203">
        <v>1980166</v>
      </c>
      <c r="D203">
        <v>6494113</v>
      </c>
      <c r="E203">
        <v>4974784</v>
      </c>
      <c r="F203">
        <v>89990</v>
      </c>
      <c r="G203">
        <v>235464</v>
      </c>
      <c r="H203">
        <v>4161994</v>
      </c>
      <c r="I203">
        <v>5403094</v>
      </c>
      <c r="J203">
        <v>5762299</v>
      </c>
      <c r="K203">
        <v>5461117</v>
      </c>
      <c r="L203">
        <v>5772992</v>
      </c>
      <c r="M203" s="13">
        <v>11446828</v>
      </c>
    </row>
    <row r="204" spans="1:13">
      <c r="A204" s="258" t="s">
        <v>581</v>
      </c>
      <c r="G204">
        <v>0</v>
      </c>
      <c r="H204">
        <v>12032</v>
      </c>
      <c r="I204">
        <v>184044</v>
      </c>
      <c r="J204">
        <v>223311</v>
      </c>
      <c r="K204">
        <v>245741</v>
      </c>
      <c r="L204">
        <v>1620872</v>
      </c>
      <c r="M204" s="13">
        <v>4849681</v>
      </c>
    </row>
    <row r="205" spans="1:13">
      <c r="A205" s="259" t="s">
        <v>370</v>
      </c>
      <c r="G205">
        <v>0</v>
      </c>
      <c r="H205">
        <v>12032</v>
      </c>
      <c r="I205">
        <v>184044</v>
      </c>
      <c r="J205">
        <v>170022</v>
      </c>
      <c r="K205">
        <v>63508</v>
      </c>
      <c r="L205">
        <v>812360</v>
      </c>
      <c r="M205" s="13">
        <v>4510081</v>
      </c>
    </row>
    <row r="206" spans="1:13">
      <c r="A206" s="259" t="s">
        <v>687</v>
      </c>
      <c r="J206">
        <v>53289</v>
      </c>
      <c r="K206">
        <v>182233</v>
      </c>
      <c r="L206">
        <v>808512</v>
      </c>
      <c r="M206" s="13">
        <v>339600</v>
      </c>
    </row>
    <row r="207" spans="1:13">
      <c r="A207" s="258" t="s">
        <v>586</v>
      </c>
      <c r="L207">
        <v>23171</v>
      </c>
      <c r="M207" s="13">
        <v>36913</v>
      </c>
    </row>
    <row r="208" spans="1:13">
      <c r="A208" s="259" t="s">
        <v>370</v>
      </c>
      <c r="L208">
        <v>23171</v>
      </c>
      <c r="M208" s="13">
        <v>36913</v>
      </c>
    </row>
    <row r="209" spans="1:13">
      <c r="A209" s="258" t="s">
        <v>564</v>
      </c>
      <c r="B209">
        <v>7595237</v>
      </c>
      <c r="C209">
        <v>7654818</v>
      </c>
      <c r="D209">
        <v>6913775</v>
      </c>
      <c r="E209">
        <v>10378012</v>
      </c>
      <c r="F209">
        <v>16438773</v>
      </c>
      <c r="G209">
        <v>20227398</v>
      </c>
      <c r="H209">
        <v>21074628</v>
      </c>
      <c r="I209">
        <v>18572305</v>
      </c>
      <c r="J209">
        <v>22714023</v>
      </c>
      <c r="K209">
        <v>22790740</v>
      </c>
      <c r="L209">
        <v>20797881</v>
      </c>
      <c r="M209" s="13">
        <v>26212266</v>
      </c>
    </row>
    <row r="210" spans="1:13">
      <c r="A210" s="259" t="s">
        <v>660</v>
      </c>
      <c r="B210">
        <v>7595237</v>
      </c>
      <c r="C210">
        <v>7654818</v>
      </c>
      <c r="D210">
        <v>6913775</v>
      </c>
      <c r="E210">
        <v>10378012</v>
      </c>
      <c r="F210">
        <v>16438773</v>
      </c>
      <c r="G210">
        <v>20227398</v>
      </c>
      <c r="H210">
        <v>21074628</v>
      </c>
      <c r="I210">
        <v>18572305</v>
      </c>
      <c r="J210">
        <v>22714023</v>
      </c>
      <c r="K210">
        <v>22790740</v>
      </c>
      <c r="L210">
        <v>20797881</v>
      </c>
      <c r="M210" s="13">
        <v>26212266</v>
      </c>
    </row>
    <row r="211" spans="1:13">
      <c r="A211" s="258" t="s">
        <v>566</v>
      </c>
      <c r="B211">
        <v>7943453</v>
      </c>
      <c r="C211">
        <v>3335034</v>
      </c>
      <c r="D211">
        <v>3265803</v>
      </c>
      <c r="E211">
        <v>3354486</v>
      </c>
      <c r="F211">
        <v>3340268</v>
      </c>
      <c r="G211">
        <v>3307884</v>
      </c>
      <c r="H211">
        <v>3427707</v>
      </c>
      <c r="I211">
        <v>3507599</v>
      </c>
      <c r="J211">
        <v>3449608</v>
      </c>
      <c r="K211">
        <v>3603187</v>
      </c>
      <c r="L211">
        <v>3771584</v>
      </c>
      <c r="M211" s="13">
        <v>4056006</v>
      </c>
    </row>
    <row r="212" spans="1:13">
      <c r="A212" s="259" t="s">
        <v>663</v>
      </c>
      <c r="B212">
        <v>7943453</v>
      </c>
      <c r="C212">
        <v>3335034</v>
      </c>
      <c r="D212">
        <v>3265803</v>
      </c>
      <c r="E212">
        <v>3354486</v>
      </c>
      <c r="F212">
        <v>3340268</v>
      </c>
      <c r="G212">
        <v>3307884</v>
      </c>
      <c r="H212">
        <v>3427707</v>
      </c>
      <c r="I212">
        <v>3507599</v>
      </c>
      <c r="J212">
        <v>3449608</v>
      </c>
      <c r="K212">
        <v>3603187</v>
      </c>
      <c r="L212">
        <v>3771584</v>
      </c>
      <c r="M212" s="13">
        <v>4056006</v>
      </c>
    </row>
    <row r="213" spans="1:13">
      <c r="A213" s="258" t="s">
        <v>576</v>
      </c>
      <c r="K213">
        <v>13362</v>
      </c>
      <c r="L213">
        <v>1435706</v>
      </c>
      <c r="M213" s="13">
        <v>4175979</v>
      </c>
    </row>
    <row r="214" spans="1:13">
      <c r="A214" s="259" t="s">
        <v>370</v>
      </c>
      <c r="K214">
        <v>13362</v>
      </c>
      <c r="L214">
        <v>1435706</v>
      </c>
      <c r="M214" s="13">
        <v>4175979</v>
      </c>
    </row>
    <row r="215" spans="1:13">
      <c r="A215" s="258" t="s">
        <v>584</v>
      </c>
      <c r="K215">
        <v>370274</v>
      </c>
      <c r="L215">
        <v>1789499</v>
      </c>
      <c r="M215" s="13">
        <v>1360790</v>
      </c>
    </row>
    <row r="216" spans="1:13">
      <c r="A216" s="259" t="s">
        <v>370</v>
      </c>
      <c r="L216">
        <v>0</v>
      </c>
      <c r="M216" s="13">
        <v>12767</v>
      </c>
    </row>
    <row r="217" spans="1:13">
      <c r="A217" s="259" t="s">
        <v>692</v>
      </c>
      <c r="K217">
        <v>370274</v>
      </c>
      <c r="L217">
        <v>1789499</v>
      </c>
      <c r="M217" s="13">
        <v>1348023</v>
      </c>
    </row>
    <row r="218" spans="1:13">
      <c r="A218" s="258" t="s">
        <v>585</v>
      </c>
      <c r="I218">
        <v>19309</v>
      </c>
      <c r="J218">
        <v>210145</v>
      </c>
      <c r="K218">
        <v>250984</v>
      </c>
      <c r="L218">
        <v>796456</v>
      </c>
      <c r="M218" s="13">
        <v>1161356</v>
      </c>
    </row>
    <row r="219" spans="1:13">
      <c r="A219" s="259" t="s">
        <v>370</v>
      </c>
      <c r="I219">
        <v>19309</v>
      </c>
      <c r="J219">
        <v>210145</v>
      </c>
      <c r="K219">
        <v>250984</v>
      </c>
      <c r="L219">
        <v>796456</v>
      </c>
      <c r="M219" s="13">
        <v>1161356</v>
      </c>
    </row>
    <row r="220" spans="1:13">
      <c r="A220" s="258" t="s">
        <v>578</v>
      </c>
      <c r="F220">
        <v>808</v>
      </c>
      <c r="G220">
        <v>14506</v>
      </c>
      <c r="H220">
        <v>16318</v>
      </c>
      <c r="I220">
        <v>12535</v>
      </c>
      <c r="J220">
        <v>13166</v>
      </c>
      <c r="K220">
        <v>13112</v>
      </c>
      <c r="L220">
        <v>11112</v>
      </c>
      <c r="M220" s="13">
        <v>13060</v>
      </c>
    </row>
    <row r="221" spans="1:13">
      <c r="A221" s="259" t="s">
        <v>580</v>
      </c>
      <c r="F221">
        <v>808</v>
      </c>
      <c r="G221">
        <v>14506</v>
      </c>
      <c r="H221">
        <v>16318</v>
      </c>
      <c r="I221">
        <v>12535</v>
      </c>
      <c r="J221">
        <v>13166</v>
      </c>
      <c r="K221">
        <v>13112</v>
      </c>
      <c r="L221">
        <v>11112</v>
      </c>
      <c r="M221" s="13">
        <v>13060</v>
      </c>
    </row>
    <row r="222" spans="1:13">
      <c r="A222" s="258" t="s">
        <v>567</v>
      </c>
      <c r="B222">
        <v>159255146</v>
      </c>
      <c r="C222">
        <v>150522441</v>
      </c>
      <c r="D222">
        <v>138681215</v>
      </c>
      <c r="E222">
        <v>143600031</v>
      </c>
      <c r="F222">
        <v>140024116</v>
      </c>
      <c r="G222">
        <v>130476342</v>
      </c>
      <c r="H222">
        <v>140904911</v>
      </c>
      <c r="I222">
        <v>141237920</v>
      </c>
      <c r="J222">
        <v>140700948</v>
      </c>
      <c r="K222">
        <v>126100421</v>
      </c>
      <c r="L222">
        <v>107580335</v>
      </c>
      <c r="M222" s="13">
        <v>122411710</v>
      </c>
    </row>
    <row r="223" spans="1:13">
      <c r="A223" s="259" t="s">
        <v>600</v>
      </c>
      <c r="B223">
        <v>159255146</v>
      </c>
      <c r="C223">
        <v>150522441</v>
      </c>
      <c r="D223">
        <v>138681215</v>
      </c>
      <c r="E223">
        <v>143600031</v>
      </c>
      <c r="F223">
        <v>140024116</v>
      </c>
      <c r="G223">
        <v>130476342</v>
      </c>
      <c r="H223">
        <v>140904911</v>
      </c>
      <c r="I223">
        <v>141237920</v>
      </c>
      <c r="J223">
        <v>140700948</v>
      </c>
      <c r="K223">
        <v>126100421</v>
      </c>
      <c r="L223">
        <v>107580335</v>
      </c>
      <c r="M223" s="13">
        <v>122411710</v>
      </c>
    </row>
    <row r="224" spans="1:13">
      <c r="A224" s="258" t="s">
        <v>568</v>
      </c>
      <c r="B224">
        <v>1512376130</v>
      </c>
      <c r="C224">
        <v>1569306917</v>
      </c>
      <c r="D224">
        <v>1553104140</v>
      </c>
      <c r="E224">
        <v>1737570968</v>
      </c>
      <c r="F224">
        <v>1679739040</v>
      </c>
      <c r="G224">
        <v>1703069958</v>
      </c>
      <c r="H224">
        <v>1832148702</v>
      </c>
      <c r="I224">
        <v>1915032516</v>
      </c>
      <c r="J224">
        <v>1986639840</v>
      </c>
      <c r="K224">
        <v>1947140636</v>
      </c>
      <c r="L224">
        <v>1534759678</v>
      </c>
      <c r="M224" s="13">
        <v>1937266234</v>
      </c>
    </row>
    <row r="225" spans="1:13">
      <c r="A225" s="259" t="s">
        <v>670</v>
      </c>
      <c r="K225">
        <v>10391066</v>
      </c>
      <c r="L225">
        <v>28782929</v>
      </c>
      <c r="M225" s="13">
        <v>25601721</v>
      </c>
    </row>
    <row r="226" spans="1:13">
      <c r="A226" s="259" t="s">
        <v>624</v>
      </c>
      <c r="E226">
        <v>14139</v>
      </c>
      <c r="F226">
        <v>33528</v>
      </c>
      <c r="G226">
        <v>14781</v>
      </c>
      <c r="H226">
        <v>9880</v>
      </c>
      <c r="I226">
        <v>10606</v>
      </c>
      <c r="J226">
        <v>9597</v>
      </c>
      <c r="K226">
        <v>11566</v>
      </c>
      <c r="L226">
        <v>2186718</v>
      </c>
      <c r="M226" s="13">
        <v>84530</v>
      </c>
    </row>
    <row r="227" spans="1:13">
      <c r="A227" s="259" t="s">
        <v>594</v>
      </c>
      <c r="B227">
        <v>1459635783</v>
      </c>
      <c r="C227">
        <v>1490097567</v>
      </c>
      <c r="D227">
        <v>1466123386</v>
      </c>
      <c r="E227">
        <v>1637487216</v>
      </c>
      <c r="F227">
        <v>1522228735</v>
      </c>
      <c r="G227">
        <v>1534095176</v>
      </c>
      <c r="H227">
        <v>1666743306</v>
      </c>
      <c r="I227">
        <v>1744994882</v>
      </c>
      <c r="J227">
        <v>1796759491</v>
      </c>
      <c r="K227">
        <v>1763398716</v>
      </c>
      <c r="L227">
        <v>1362742782</v>
      </c>
      <c r="M227" s="13">
        <v>1749440533</v>
      </c>
    </row>
    <row r="228" spans="1:13">
      <c r="A228" s="259" t="s">
        <v>629</v>
      </c>
      <c r="B228">
        <v>16679635</v>
      </c>
      <c r="C228">
        <v>41209096</v>
      </c>
      <c r="D228">
        <v>48012730</v>
      </c>
      <c r="E228">
        <v>56039021</v>
      </c>
      <c r="F228">
        <v>62497301</v>
      </c>
      <c r="G228">
        <v>57731730</v>
      </c>
      <c r="H228">
        <v>64881103</v>
      </c>
      <c r="I228">
        <v>69375367</v>
      </c>
      <c r="J228">
        <v>90457439</v>
      </c>
      <c r="K228">
        <v>73428366</v>
      </c>
      <c r="L228">
        <v>68829027</v>
      </c>
      <c r="M228" s="13">
        <v>85657281</v>
      </c>
    </row>
    <row r="229" spans="1:13">
      <c r="A229" s="259" t="s">
        <v>676</v>
      </c>
      <c r="B229">
        <v>5451</v>
      </c>
      <c r="C229">
        <v>6193</v>
      </c>
      <c r="D229">
        <v>14057</v>
      </c>
      <c r="E229">
        <v>5893</v>
      </c>
      <c r="F229">
        <v>11055</v>
      </c>
      <c r="G229">
        <v>8537</v>
      </c>
      <c r="H229">
        <v>9001</v>
      </c>
      <c r="I229">
        <v>9888</v>
      </c>
      <c r="J229">
        <v>8685</v>
      </c>
      <c r="K229">
        <v>10668</v>
      </c>
      <c r="L229">
        <v>9183</v>
      </c>
      <c r="M229" s="13">
        <v>3764</v>
      </c>
    </row>
    <row r="230" spans="1:13">
      <c r="A230" s="259" t="s">
        <v>598</v>
      </c>
      <c r="B230">
        <v>1482540</v>
      </c>
      <c r="C230">
        <v>1671608</v>
      </c>
      <c r="D230">
        <v>1845569</v>
      </c>
      <c r="E230">
        <v>1915815</v>
      </c>
      <c r="F230">
        <v>1909640</v>
      </c>
      <c r="G230">
        <v>1842532</v>
      </c>
      <c r="H230">
        <v>2014054</v>
      </c>
      <c r="I230">
        <v>1980991</v>
      </c>
      <c r="J230">
        <v>2014224</v>
      </c>
      <c r="K230">
        <v>1331949</v>
      </c>
      <c r="L230">
        <v>0</v>
      </c>
      <c r="M230" s="13">
        <v>0</v>
      </c>
    </row>
    <row r="231" spans="1:13">
      <c r="A231" s="259" t="s">
        <v>370</v>
      </c>
      <c r="B231">
        <v>32925490</v>
      </c>
      <c r="C231">
        <v>34683987</v>
      </c>
      <c r="D231">
        <v>35507293</v>
      </c>
      <c r="E231">
        <v>40423205</v>
      </c>
      <c r="F231">
        <v>91360370</v>
      </c>
      <c r="G231">
        <v>107670964</v>
      </c>
      <c r="H231">
        <v>96653204</v>
      </c>
      <c r="I231">
        <v>96839045</v>
      </c>
      <c r="J231">
        <v>91596550</v>
      </c>
      <c r="K231">
        <v>88586828</v>
      </c>
      <c r="L231">
        <v>64815503</v>
      </c>
      <c r="M231" s="13">
        <v>65565406</v>
      </c>
    </row>
    <row r="232" spans="1:13">
      <c r="A232" s="259" t="s">
        <v>672</v>
      </c>
      <c r="B232">
        <v>34603</v>
      </c>
      <c r="C232">
        <v>35794</v>
      </c>
      <c r="D232">
        <v>43351</v>
      </c>
      <c r="E232">
        <v>43463</v>
      </c>
      <c r="F232">
        <v>59076</v>
      </c>
      <c r="G232">
        <v>63778</v>
      </c>
      <c r="H232">
        <v>25226</v>
      </c>
      <c r="I232">
        <v>24644</v>
      </c>
      <c r="J232">
        <v>28469</v>
      </c>
      <c r="K232">
        <v>44045</v>
      </c>
      <c r="L232">
        <v>44879</v>
      </c>
      <c r="M232" s="13">
        <v>45251</v>
      </c>
    </row>
    <row r="233" spans="1:13">
      <c r="A233" s="259" t="s">
        <v>669</v>
      </c>
      <c r="B233">
        <v>1612628</v>
      </c>
      <c r="C233">
        <v>1602672</v>
      </c>
      <c r="D233">
        <v>1557754</v>
      </c>
      <c r="E233">
        <v>1642216</v>
      </c>
      <c r="F233">
        <v>1639335</v>
      </c>
      <c r="G233">
        <v>1642460</v>
      </c>
      <c r="H233">
        <v>1812928</v>
      </c>
      <c r="I233">
        <v>1797093</v>
      </c>
      <c r="J233">
        <v>5765385</v>
      </c>
      <c r="K233">
        <v>9937432</v>
      </c>
      <c r="L233">
        <v>7348657</v>
      </c>
      <c r="M233" s="13">
        <v>10867748</v>
      </c>
    </row>
    <row r="234" spans="1:13">
      <c r="A234" s="258" t="s">
        <v>570</v>
      </c>
      <c r="B234">
        <v>81940980</v>
      </c>
      <c r="C234">
        <v>79400785</v>
      </c>
      <c r="D234">
        <v>74453778</v>
      </c>
      <c r="E234">
        <v>56736532</v>
      </c>
      <c r="F234">
        <v>48690710</v>
      </c>
      <c r="G234">
        <v>45920929</v>
      </c>
      <c r="H234">
        <v>49638086</v>
      </c>
      <c r="I234">
        <v>47098152</v>
      </c>
      <c r="J234">
        <v>41553780</v>
      </c>
      <c r="K234">
        <v>40600032</v>
      </c>
      <c r="L234">
        <v>26440842</v>
      </c>
      <c r="M234" s="13">
        <v>22141972</v>
      </c>
    </row>
    <row r="235" spans="1:13">
      <c r="A235" s="259" t="s">
        <v>679</v>
      </c>
      <c r="B235">
        <v>81940980</v>
      </c>
      <c r="C235">
        <v>79400785</v>
      </c>
      <c r="D235">
        <v>74453778</v>
      </c>
      <c r="E235">
        <v>56736532</v>
      </c>
      <c r="F235">
        <v>48690710</v>
      </c>
      <c r="G235">
        <v>45920929</v>
      </c>
      <c r="H235">
        <v>49638086</v>
      </c>
      <c r="I235">
        <v>47098152</v>
      </c>
      <c r="J235">
        <v>41553780</v>
      </c>
      <c r="K235">
        <v>40600032</v>
      </c>
      <c r="L235">
        <v>26440842</v>
      </c>
      <c r="M235" s="13">
        <v>22141972</v>
      </c>
    </row>
    <row r="236" spans="1:13">
      <c r="A236" s="258" t="s">
        <v>575</v>
      </c>
      <c r="B236">
        <v>487422</v>
      </c>
      <c r="C236">
        <v>859734</v>
      </c>
      <c r="D236">
        <v>863859</v>
      </c>
      <c r="E236">
        <v>852610</v>
      </c>
      <c r="F236">
        <v>859209</v>
      </c>
      <c r="G236">
        <v>819580</v>
      </c>
      <c r="H236">
        <v>875797</v>
      </c>
      <c r="I236">
        <v>865537</v>
      </c>
      <c r="J236">
        <v>913051</v>
      </c>
      <c r="K236">
        <v>863269</v>
      </c>
      <c r="L236">
        <v>766731</v>
      </c>
      <c r="M236" s="13">
        <v>891036</v>
      </c>
    </row>
    <row r="237" spans="1:13">
      <c r="A237" s="259" t="s">
        <v>370</v>
      </c>
      <c r="B237">
        <v>487422</v>
      </c>
      <c r="C237">
        <v>859734</v>
      </c>
      <c r="D237">
        <v>863859</v>
      </c>
      <c r="E237">
        <v>852610</v>
      </c>
      <c r="F237">
        <v>859209</v>
      </c>
      <c r="G237">
        <v>819580</v>
      </c>
      <c r="H237">
        <v>875797</v>
      </c>
      <c r="I237">
        <v>865537</v>
      </c>
      <c r="J237">
        <v>913051</v>
      </c>
      <c r="K237">
        <v>863269</v>
      </c>
      <c r="L237">
        <v>766731</v>
      </c>
      <c r="M237" s="13">
        <v>891036</v>
      </c>
    </row>
    <row r="238" spans="1:13">
      <c r="A238" s="258" t="s">
        <v>577</v>
      </c>
      <c r="B238">
        <v>2336214</v>
      </c>
      <c r="C238">
        <v>2615779</v>
      </c>
      <c r="D238">
        <v>3700931</v>
      </c>
      <c r="E238">
        <v>5504323</v>
      </c>
      <c r="F238">
        <v>5175438</v>
      </c>
      <c r="G238">
        <v>4171430</v>
      </c>
      <c r="H238">
        <v>4336445</v>
      </c>
      <c r="I238">
        <v>3641808</v>
      </c>
      <c r="J238">
        <v>0</v>
      </c>
      <c r="K238">
        <v>0</v>
      </c>
      <c r="L238">
        <v>0</v>
      </c>
      <c r="M238" s="13">
        <v>0</v>
      </c>
    </row>
    <row r="239" spans="1:13">
      <c r="A239" s="259" t="s">
        <v>370</v>
      </c>
      <c r="B239">
        <v>2336214</v>
      </c>
      <c r="C239">
        <v>2615779</v>
      </c>
      <c r="D239">
        <v>3700931</v>
      </c>
      <c r="E239">
        <v>5504323</v>
      </c>
      <c r="F239">
        <v>5175438</v>
      </c>
      <c r="G239">
        <v>4171430</v>
      </c>
      <c r="H239">
        <v>4336445</v>
      </c>
      <c r="I239">
        <v>3641808</v>
      </c>
      <c r="J239">
        <v>0</v>
      </c>
      <c r="K239">
        <v>0</v>
      </c>
      <c r="L239">
        <v>0</v>
      </c>
      <c r="M239" s="13">
        <v>0</v>
      </c>
    </row>
    <row r="240" spans="1:13">
      <c r="A240" s="257" t="s">
        <v>744</v>
      </c>
      <c r="E240">
        <v>209389328</v>
      </c>
      <c r="F240">
        <v>202750730</v>
      </c>
      <c r="G240">
        <v>181993752</v>
      </c>
      <c r="H240">
        <v>198822756</v>
      </c>
      <c r="I240">
        <v>210153965</v>
      </c>
      <c r="J240">
        <v>212777370</v>
      </c>
      <c r="K240">
        <v>240995519</v>
      </c>
      <c r="L240">
        <v>196762956</v>
      </c>
      <c r="M240" s="13">
        <v>227761628</v>
      </c>
    </row>
    <row r="241" spans="1:13">
      <c r="A241" s="258">
        <v>0</v>
      </c>
      <c r="J241">
        <v>11550</v>
      </c>
      <c r="K241">
        <v>177349</v>
      </c>
      <c r="L241">
        <v>1173912</v>
      </c>
      <c r="M241" s="13">
        <v>1639776</v>
      </c>
    </row>
    <row r="242" spans="1:13">
      <c r="A242" s="259">
        <v>0</v>
      </c>
      <c r="J242">
        <v>11550</v>
      </c>
      <c r="K242">
        <v>177349</v>
      </c>
      <c r="L242">
        <v>1173912</v>
      </c>
      <c r="M242" s="13">
        <v>1639776</v>
      </c>
    </row>
    <row r="243" spans="1:13">
      <c r="A243" s="258" t="s">
        <v>744</v>
      </c>
      <c r="E243">
        <v>209389328</v>
      </c>
      <c r="F243">
        <v>202750730</v>
      </c>
      <c r="G243">
        <v>181993752</v>
      </c>
      <c r="H243">
        <v>198822756</v>
      </c>
      <c r="I243">
        <v>210153965</v>
      </c>
      <c r="J243">
        <v>212765820</v>
      </c>
      <c r="K243">
        <v>240818170</v>
      </c>
      <c r="L243">
        <v>195589044</v>
      </c>
      <c r="M243" s="13">
        <v>226121852</v>
      </c>
    </row>
    <row r="244" spans="1:13">
      <c r="A244" s="259">
        <v>0</v>
      </c>
      <c r="E244">
        <v>209389328</v>
      </c>
      <c r="F244">
        <v>202750730</v>
      </c>
      <c r="G244">
        <v>181993752</v>
      </c>
      <c r="H244">
        <v>198822756</v>
      </c>
      <c r="I244">
        <v>210153965</v>
      </c>
      <c r="J244">
        <v>212765820</v>
      </c>
      <c r="K244">
        <v>240818170</v>
      </c>
      <c r="L244">
        <v>195589044</v>
      </c>
      <c r="M244" s="13">
        <v>226121852</v>
      </c>
    </row>
    <row r="245" spans="1:13">
      <c r="A245" s="257" t="s">
        <v>565</v>
      </c>
      <c r="B245">
        <v>32532108</v>
      </c>
      <c r="C245">
        <v>26757176</v>
      </c>
      <c r="D245">
        <v>23777080</v>
      </c>
      <c r="E245">
        <v>27057915</v>
      </c>
      <c r="F245">
        <v>163385113</v>
      </c>
      <c r="G245">
        <v>24869273</v>
      </c>
      <c r="H245">
        <v>26247055</v>
      </c>
      <c r="I245">
        <v>25691087</v>
      </c>
      <c r="J245">
        <v>25472723</v>
      </c>
      <c r="K245">
        <v>24658135</v>
      </c>
      <c r="L245">
        <v>19282649</v>
      </c>
      <c r="M245" s="13">
        <v>24461925</v>
      </c>
    </row>
    <row r="246" spans="1:13">
      <c r="A246" s="258" t="s">
        <v>565</v>
      </c>
      <c r="B246">
        <v>32532108</v>
      </c>
      <c r="C246">
        <v>26757176</v>
      </c>
      <c r="D246">
        <v>23777080</v>
      </c>
      <c r="E246">
        <v>27057915</v>
      </c>
      <c r="F246">
        <v>163385113</v>
      </c>
      <c r="G246">
        <v>24869273</v>
      </c>
      <c r="H246">
        <v>26247055</v>
      </c>
      <c r="I246">
        <v>25691087</v>
      </c>
      <c r="J246">
        <v>25472723</v>
      </c>
      <c r="K246">
        <v>24658135</v>
      </c>
      <c r="L246">
        <v>19282649</v>
      </c>
      <c r="M246" s="13">
        <v>24461925</v>
      </c>
    </row>
    <row r="247" spans="1:13">
      <c r="A247" s="259">
        <v>0</v>
      </c>
      <c r="B247">
        <v>5823</v>
      </c>
      <c r="C247">
        <v>6573</v>
      </c>
      <c r="D247">
        <v>14392</v>
      </c>
      <c r="E247">
        <v>6229</v>
      </c>
      <c r="F247">
        <v>27400</v>
      </c>
      <c r="G247">
        <v>20064</v>
      </c>
      <c r="H247">
        <v>10951</v>
      </c>
      <c r="I247">
        <v>10492</v>
      </c>
      <c r="J247">
        <v>9156</v>
      </c>
      <c r="K247">
        <v>11221</v>
      </c>
      <c r="L247">
        <v>9661</v>
      </c>
      <c r="M247" s="13">
        <v>8402</v>
      </c>
    </row>
    <row r="248" spans="1:13">
      <c r="A248" s="259" t="s">
        <v>370</v>
      </c>
      <c r="B248">
        <v>32526285</v>
      </c>
      <c r="C248">
        <v>26750603</v>
      </c>
      <c r="D248">
        <v>23762688</v>
      </c>
      <c r="E248">
        <v>27051686</v>
      </c>
      <c r="F248">
        <v>163357713</v>
      </c>
      <c r="G248">
        <v>24849209</v>
      </c>
      <c r="H248">
        <v>26236104</v>
      </c>
      <c r="I248">
        <v>25680595</v>
      </c>
      <c r="J248">
        <v>25463567</v>
      </c>
      <c r="K248">
        <v>24646914</v>
      </c>
      <c r="L248">
        <v>19272988</v>
      </c>
      <c r="M248" s="13">
        <v>24453523</v>
      </c>
    </row>
    <row r="249" spans="1:13">
      <c r="A249" s="257" t="s">
        <v>569</v>
      </c>
      <c r="B249">
        <v>2313894</v>
      </c>
      <c r="C249">
        <v>2631381</v>
      </c>
      <c r="D249">
        <v>3755918</v>
      </c>
      <c r="E249">
        <v>3283790</v>
      </c>
      <c r="F249">
        <v>3361723</v>
      </c>
      <c r="G249">
        <v>3316128</v>
      </c>
      <c r="H249">
        <v>4121836</v>
      </c>
      <c r="I249">
        <v>4631290</v>
      </c>
      <c r="J249">
        <v>4520208</v>
      </c>
      <c r="K249">
        <v>4127065</v>
      </c>
      <c r="L249">
        <v>3489944</v>
      </c>
      <c r="M249" s="13">
        <v>4321971</v>
      </c>
    </row>
    <row r="250" spans="1:13">
      <c r="A250" s="258" t="s">
        <v>569</v>
      </c>
      <c r="B250">
        <v>2313894</v>
      </c>
      <c r="C250">
        <v>2631381</v>
      </c>
      <c r="D250">
        <v>3755918</v>
      </c>
      <c r="E250">
        <v>3283790</v>
      </c>
      <c r="F250">
        <v>3361723</v>
      </c>
      <c r="G250">
        <v>3316128</v>
      </c>
      <c r="H250">
        <v>4121836</v>
      </c>
      <c r="I250">
        <v>4631290</v>
      </c>
      <c r="J250">
        <v>4520208</v>
      </c>
      <c r="K250">
        <v>4127065</v>
      </c>
      <c r="L250">
        <v>3489944</v>
      </c>
      <c r="M250" s="13">
        <v>4321971</v>
      </c>
    </row>
    <row r="251" spans="1:13">
      <c r="A251" s="259" t="s">
        <v>370</v>
      </c>
      <c r="B251">
        <v>2313894</v>
      </c>
      <c r="C251">
        <v>2631381</v>
      </c>
      <c r="D251">
        <v>3755918</v>
      </c>
      <c r="E251">
        <v>3283790</v>
      </c>
      <c r="F251">
        <v>3361723</v>
      </c>
      <c r="G251">
        <v>3316128</v>
      </c>
      <c r="H251">
        <v>4121836</v>
      </c>
      <c r="I251">
        <v>4631290</v>
      </c>
      <c r="J251">
        <v>4520208</v>
      </c>
      <c r="K251">
        <v>4127065</v>
      </c>
      <c r="L251">
        <v>3489944</v>
      </c>
      <c r="M251" s="13">
        <v>4321971</v>
      </c>
    </row>
    <row r="252" spans="1:13">
      <c r="A252" s="257" t="s">
        <v>391</v>
      </c>
      <c r="B252">
        <v>18188591</v>
      </c>
      <c r="C252">
        <v>42327834</v>
      </c>
      <c r="D252">
        <v>51348942</v>
      </c>
      <c r="E252">
        <v>77916618</v>
      </c>
      <c r="F252">
        <v>24808411</v>
      </c>
      <c r="G252">
        <v>45854461</v>
      </c>
      <c r="H252">
        <v>27978220</v>
      </c>
      <c r="I252">
        <v>37818078</v>
      </c>
      <c r="J252">
        <v>35681118</v>
      </c>
      <c r="K252">
        <v>62011411</v>
      </c>
      <c r="L252">
        <v>69007423</v>
      </c>
      <c r="M252" s="13">
        <v>79749506</v>
      </c>
    </row>
    <row r="253" spans="1:13">
      <c r="A253" s="258" t="s">
        <v>391</v>
      </c>
      <c r="B253">
        <v>18188591</v>
      </c>
      <c r="C253">
        <v>42327834</v>
      </c>
      <c r="D253">
        <v>51348942</v>
      </c>
      <c r="E253">
        <v>77916618</v>
      </c>
      <c r="F253">
        <v>24808411</v>
      </c>
      <c r="G253">
        <v>45854461</v>
      </c>
      <c r="H253">
        <v>27978220</v>
      </c>
      <c r="I253">
        <v>37818078</v>
      </c>
      <c r="J253">
        <v>35681118</v>
      </c>
      <c r="K253">
        <v>62011411</v>
      </c>
      <c r="L253">
        <v>69007423</v>
      </c>
      <c r="M253" s="13">
        <v>79749506</v>
      </c>
    </row>
    <row r="254" spans="1:13">
      <c r="A254" s="259" t="s">
        <v>635</v>
      </c>
      <c r="B254">
        <v>18182822</v>
      </c>
      <c r="C254">
        <v>42321299</v>
      </c>
      <c r="D254">
        <v>51092511</v>
      </c>
      <c r="E254">
        <v>77512653</v>
      </c>
      <c r="F254">
        <v>24651129</v>
      </c>
      <c r="G254">
        <v>45702040</v>
      </c>
      <c r="H254">
        <v>27821401</v>
      </c>
      <c r="I254">
        <v>37656489</v>
      </c>
      <c r="J254">
        <v>33595460</v>
      </c>
      <c r="K254">
        <v>59944182</v>
      </c>
      <c r="L254">
        <v>65784944</v>
      </c>
      <c r="M254" s="13">
        <v>75979652</v>
      </c>
    </row>
    <row r="255" spans="1:13">
      <c r="A255" s="259" t="s">
        <v>370</v>
      </c>
      <c r="B255">
        <v>5769</v>
      </c>
      <c r="C255">
        <v>6535</v>
      </c>
      <c r="D255">
        <v>256431</v>
      </c>
      <c r="E255">
        <v>403965</v>
      </c>
      <c r="F255">
        <v>157282</v>
      </c>
      <c r="G255">
        <v>152421</v>
      </c>
      <c r="H255">
        <v>156819</v>
      </c>
      <c r="I255">
        <v>161589</v>
      </c>
      <c r="J255">
        <v>2085658</v>
      </c>
      <c r="K255">
        <v>2067229</v>
      </c>
      <c r="L255">
        <v>3222479</v>
      </c>
      <c r="M255" s="13">
        <v>3769854</v>
      </c>
    </row>
    <row r="256" spans="1:13">
      <c r="A256" s="257" t="s">
        <v>745</v>
      </c>
      <c r="B256">
        <v>22714792</v>
      </c>
      <c r="C256">
        <v>19287616</v>
      </c>
      <c r="D256">
        <v>19281535</v>
      </c>
      <c r="E256">
        <v>22215736</v>
      </c>
      <c r="F256">
        <v>22914004</v>
      </c>
      <c r="G256">
        <v>20603406</v>
      </c>
      <c r="H256">
        <v>23110313</v>
      </c>
      <c r="I256">
        <v>21403799</v>
      </c>
      <c r="J256">
        <v>22010241</v>
      </c>
      <c r="K256">
        <v>21880059</v>
      </c>
      <c r="L256">
        <v>18048632</v>
      </c>
      <c r="M256" s="13">
        <v>20672284</v>
      </c>
    </row>
    <row r="257" spans="1:13">
      <c r="A257" s="258" t="s">
        <v>745</v>
      </c>
      <c r="B257">
        <v>22714792</v>
      </c>
      <c r="C257">
        <v>19287616</v>
      </c>
      <c r="D257">
        <v>19281535</v>
      </c>
      <c r="E257">
        <v>22215736</v>
      </c>
      <c r="F257">
        <v>22914004</v>
      </c>
      <c r="G257">
        <v>20603406</v>
      </c>
      <c r="H257">
        <v>23110313</v>
      </c>
      <c r="I257">
        <v>21403799</v>
      </c>
      <c r="J257">
        <v>22010241</v>
      </c>
      <c r="K257">
        <v>21880059</v>
      </c>
      <c r="L257">
        <v>18048632</v>
      </c>
      <c r="M257" s="13">
        <v>20672284</v>
      </c>
    </row>
    <row r="258" spans="1:13">
      <c r="A258" s="259">
        <v>0</v>
      </c>
      <c r="B258">
        <v>8460666</v>
      </c>
      <c r="C258">
        <v>7574120</v>
      </c>
      <c r="D258">
        <v>7465215</v>
      </c>
      <c r="E258">
        <v>8708950</v>
      </c>
      <c r="F258">
        <v>7902006</v>
      </c>
      <c r="G258">
        <v>7963110</v>
      </c>
      <c r="H258">
        <v>9764442</v>
      </c>
      <c r="I258">
        <v>10287726</v>
      </c>
      <c r="J258">
        <v>10387395</v>
      </c>
      <c r="K258">
        <v>11169511</v>
      </c>
      <c r="L258">
        <v>9646082</v>
      </c>
      <c r="M258" s="13">
        <v>11305653</v>
      </c>
    </row>
    <row r="259" spans="1:13">
      <c r="A259" s="259" t="s">
        <v>746</v>
      </c>
      <c r="F259">
        <v>59656</v>
      </c>
      <c r="G259">
        <v>193748</v>
      </c>
      <c r="H259">
        <v>248412</v>
      </c>
      <c r="I259">
        <v>248954</v>
      </c>
      <c r="J259">
        <v>244703</v>
      </c>
      <c r="K259">
        <v>183479</v>
      </c>
      <c r="L259">
        <v>0</v>
      </c>
      <c r="M259" s="13">
        <v>0</v>
      </c>
    </row>
    <row r="260" spans="1:13">
      <c r="A260" s="259" t="s">
        <v>747</v>
      </c>
      <c r="B260">
        <v>9730258</v>
      </c>
      <c r="C260">
        <v>9049275</v>
      </c>
      <c r="D260">
        <v>8776586</v>
      </c>
      <c r="E260">
        <v>10325290</v>
      </c>
      <c r="F260">
        <v>9887917</v>
      </c>
      <c r="G260">
        <v>9291345</v>
      </c>
      <c r="H260">
        <v>10548345</v>
      </c>
      <c r="I260">
        <v>10361783</v>
      </c>
      <c r="J260">
        <v>10420552</v>
      </c>
      <c r="K260">
        <v>9598463</v>
      </c>
      <c r="L260">
        <v>7570294</v>
      </c>
      <c r="M260" s="13">
        <v>8685209</v>
      </c>
    </row>
    <row r="261" spans="1:13">
      <c r="A261" s="259" t="s">
        <v>748</v>
      </c>
      <c r="B261">
        <v>4523868</v>
      </c>
      <c r="C261">
        <v>2664221</v>
      </c>
      <c r="D261">
        <v>3039734</v>
      </c>
      <c r="E261">
        <v>3181496</v>
      </c>
      <c r="F261">
        <v>5064425</v>
      </c>
      <c r="G261">
        <v>3155203</v>
      </c>
      <c r="H261">
        <v>2549114</v>
      </c>
      <c r="I261">
        <v>505336</v>
      </c>
      <c r="J261">
        <v>957591</v>
      </c>
      <c r="K261">
        <v>928606</v>
      </c>
      <c r="L261">
        <v>832256</v>
      </c>
      <c r="M261" s="13">
        <v>681422</v>
      </c>
    </row>
    <row r="262" spans="1:13">
      <c r="A262" s="257" t="s">
        <v>749</v>
      </c>
      <c r="D262">
        <v>1756556</v>
      </c>
      <c r="E262">
        <v>1799670</v>
      </c>
      <c r="F262">
        <v>1794443</v>
      </c>
      <c r="G262">
        <v>1648704</v>
      </c>
      <c r="H262">
        <v>1750195</v>
      </c>
      <c r="I262">
        <v>1748828</v>
      </c>
      <c r="J262">
        <v>1772253</v>
      </c>
      <c r="K262">
        <v>1724926</v>
      </c>
      <c r="L262">
        <v>1626021</v>
      </c>
      <c r="M262" s="13">
        <v>2449090</v>
      </c>
    </row>
    <row r="263" spans="1:13">
      <c r="A263" s="258" t="s">
        <v>749</v>
      </c>
      <c r="D263">
        <v>1756556</v>
      </c>
      <c r="E263">
        <v>1799670</v>
      </c>
      <c r="F263">
        <v>1794443</v>
      </c>
      <c r="G263">
        <v>1648704</v>
      </c>
      <c r="H263">
        <v>1750195</v>
      </c>
      <c r="I263">
        <v>1748828</v>
      </c>
      <c r="J263">
        <v>1772253</v>
      </c>
      <c r="K263">
        <v>1724926</v>
      </c>
      <c r="L263">
        <v>1626021</v>
      </c>
      <c r="M263" s="13">
        <v>2449090</v>
      </c>
    </row>
    <row r="264" spans="1:13">
      <c r="A264" s="259">
        <v>0</v>
      </c>
      <c r="D264">
        <v>1756556</v>
      </c>
      <c r="E264">
        <v>1799670</v>
      </c>
      <c r="F264">
        <v>1794443</v>
      </c>
      <c r="G264">
        <v>1648704</v>
      </c>
      <c r="H264">
        <v>1750195</v>
      </c>
      <c r="I264">
        <v>1748828</v>
      </c>
      <c r="J264">
        <v>1772253</v>
      </c>
      <c r="K264">
        <v>1724926</v>
      </c>
      <c r="L264">
        <v>1626021</v>
      </c>
      <c r="M264" s="13">
        <v>2449090</v>
      </c>
    </row>
    <row r="265" spans="1:13">
      <c r="A265" s="256" t="s">
        <v>369</v>
      </c>
      <c r="B265">
        <v>6462231304</v>
      </c>
      <c r="C265">
        <v>10918487027</v>
      </c>
      <c r="D265">
        <v>10200367445</v>
      </c>
      <c r="E265">
        <v>10905572539</v>
      </c>
      <c r="F265">
        <v>11179666911</v>
      </c>
      <c r="G265">
        <v>10598357389</v>
      </c>
      <c r="H265">
        <v>10707497848.543249</v>
      </c>
      <c r="I265">
        <v>10351960861</v>
      </c>
      <c r="J265">
        <v>11044801935</v>
      </c>
      <c r="K265">
        <v>10697081560</v>
      </c>
      <c r="L265">
        <v>10867464462</v>
      </c>
      <c r="M265" s="13">
        <v>11474833404</v>
      </c>
    </row>
    <row r="266" spans="1:13">
      <c r="A266" s="257" t="s">
        <v>544</v>
      </c>
      <c r="B266">
        <v>0</v>
      </c>
      <c r="C266">
        <v>26327618</v>
      </c>
      <c r="D266">
        <v>25284279</v>
      </c>
      <c r="E266">
        <v>25525204</v>
      </c>
      <c r="F266">
        <v>24444617</v>
      </c>
      <c r="G266">
        <v>24573297</v>
      </c>
      <c r="H266">
        <v>25564274.059999999</v>
      </c>
      <c r="I266">
        <v>24886365</v>
      </c>
      <c r="J266">
        <v>26263143</v>
      </c>
      <c r="K266">
        <v>25596193</v>
      </c>
      <c r="L266">
        <v>24438009</v>
      </c>
      <c r="M266" s="13">
        <v>24498736</v>
      </c>
    </row>
    <row r="267" spans="1:13">
      <c r="A267" s="258" t="s">
        <v>544</v>
      </c>
      <c r="B267">
        <v>0</v>
      </c>
      <c r="C267">
        <v>26327618</v>
      </c>
      <c r="D267">
        <v>25284279</v>
      </c>
      <c r="E267">
        <v>25525204</v>
      </c>
      <c r="F267">
        <v>24444617</v>
      </c>
      <c r="G267">
        <v>24573297</v>
      </c>
      <c r="H267">
        <v>25564274.059999999</v>
      </c>
      <c r="I267">
        <v>24886365</v>
      </c>
      <c r="J267">
        <v>26263143</v>
      </c>
      <c r="K267">
        <v>25596193</v>
      </c>
      <c r="L267">
        <v>24438009</v>
      </c>
      <c r="M267" s="13">
        <v>24498736</v>
      </c>
    </row>
    <row r="268" spans="1:13">
      <c r="A268" s="259" t="s">
        <v>602</v>
      </c>
      <c r="B268">
        <v>0</v>
      </c>
      <c r="C268">
        <v>26327618</v>
      </c>
      <c r="D268">
        <v>25284279</v>
      </c>
      <c r="E268">
        <v>25525204</v>
      </c>
      <c r="F268">
        <v>24444617</v>
      </c>
      <c r="G268">
        <v>24573297</v>
      </c>
      <c r="H268">
        <v>25564274.059999999</v>
      </c>
      <c r="I268">
        <v>24886365</v>
      </c>
      <c r="J268">
        <v>26263143</v>
      </c>
      <c r="K268">
        <v>25596193</v>
      </c>
      <c r="L268">
        <v>24438009</v>
      </c>
      <c r="M268" s="13">
        <v>24498736</v>
      </c>
    </row>
    <row r="269" spans="1:13">
      <c r="A269" s="257" t="s">
        <v>560</v>
      </c>
      <c r="B269">
        <v>164068</v>
      </c>
      <c r="C269">
        <v>100081</v>
      </c>
      <c r="D269">
        <v>100081</v>
      </c>
      <c r="E269">
        <v>100081</v>
      </c>
      <c r="F269">
        <v>120260</v>
      </c>
      <c r="G269">
        <v>150122</v>
      </c>
      <c r="H269">
        <v>186442.23</v>
      </c>
      <c r="I269">
        <v>225183</v>
      </c>
      <c r="J269">
        <v>250204</v>
      </c>
      <c r="K269">
        <v>250204</v>
      </c>
      <c r="L269">
        <v>250204</v>
      </c>
      <c r="M269" s="13">
        <v>0</v>
      </c>
    </row>
    <row r="270" spans="1:13">
      <c r="A270" s="258" t="s">
        <v>560</v>
      </c>
      <c r="B270">
        <v>164068</v>
      </c>
      <c r="C270">
        <v>100081</v>
      </c>
      <c r="D270">
        <v>100081</v>
      </c>
      <c r="E270">
        <v>100081</v>
      </c>
      <c r="F270">
        <v>120260</v>
      </c>
      <c r="G270">
        <v>150122</v>
      </c>
      <c r="H270">
        <v>186442.23</v>
      </c>
      <c r="I270">
        <v>225183</v>
      </c>
      <c r="J270">
        <v>250204</v>
      </c>
      <c r="K270">
        <v>250204</v>
      </c>
      <c r="L270">
        <v>250204</v>
      </c>
      <c r="M270" s="13">
        <v>0</v>
      </c>
    </row>
    <row r="271" spans="1:13">
      <c r="A271" s="259" t="s">
        <v>560</v>
      </c>
      <c r="B271">
        <v>164068</v>
      </c>
      <c r="C271">
        <v>100081</v>
      </c>
      <c r="D271">
        <v>100081</v>
      </c>
      <c r="E271">
        <v>100081</v>
      </c>
      <c r="F271">
        <v>120260</v>
      </c>
      <c r="G271">
        <v>150122</v>
      </c>
      <c r="H271">
        <v>186442.23</v>
      </c>
      <c r="I271">
        <v>225183</v>
      </c>
      <c r="J271">
        <v>250204</v>
      </c>
      <c r="K271">
        <v>250204</v>
      </c>
      <c r="L271">
        <v>250204</v>
      </c>
      <c r="M271" s="13">
        <v>0</v>
      </c>
    </row>
    <row r="272" spans="1:13">
      <c r="A272" s="259" t="s">
        <v>750</v>
      </c>
      <c r="B272">
        <v>0</v>
      </c>
      <c r="C272">
        <v>0</v>
      </c>
      <c r="J272">
        <v>0</v>
      </c>
      <c r="K272">
        <v>0</v>
      </c>
      <c r="L272">
        <v>0</v>
      </c>
      <c r="M272" s="13">
        <v>0</v>
      </c>
    </row>
    <row r="273" spans="1:13">
      <c r="A273" s="257" t="s">
        <v>572</v>
      </c>
      <c r="B273">
        <v>1640680</v>
      </c>
      <c r="C273">
        <v>1000815</v>
      </c>
      <c r="D273">
        <v>1000815</v>
      </c>
      <c r="E273">
        <v>1000815</v>
      </c>
      <c r="F273">
        <v>1000815</v>
      </c>
      <c r="G273">
        <v>1000815</v>
      </c>
      <c r="H273">
        <v>1000814.8</v>
      </c>
      <c r="I273">
        <v>1000815</v>
      </c>
      <c r="J273">
        <v>1000815</v>
      </c>
      <c r="K273">
        <v>1000815</v>
      </c>
      <c r="L273">
        <v>1000815</v>
      </c>
      <c r="M273" s="13">
        <v>0</v>
      </c>
    </row>
    <row r="274" spans="1:13">
      <c r="A274" s="258" t="s">
        <v>572</v>
      </c>
      <c r="B274">
        <v>1640680</v>
      </c>
      <c r="C274">
        <v>1000815</v>
      </c>
      <c r="D274">
        <v>1000815</v>
      </c>
      <c r="E274">
        <v>1000815</v>
      </c>
      <c r="F274">
        <v>1000815</v>
      </c>
      <c r="G274">
        <v>1000815</v>
      </c>
      <c r="H274">
        <v>1000814.8</v>
      </c>
      <c r="I274">
        <v>1000815</v>
      </c>
      <c r="J274">
        <v>1000815</v>
      </c>
      <c r="K274">
        <v>1000815</v>
      </c>
      <c r="L274">
        <v>1000815</v>
      </c>
      <c r="M274" s="13">
        <v>0</v>
      </c>
    </row>
    <row r="275" spans="1:13">
      <c r="A275" s="259" t="s">
        <v>629</v>
      </c>
      <c r="B275">
        <v>1640680</v>
      </c>
      <c r="C275">
        <v>1000815</v>
      </c>
      <c r="D275">
        <v>1000815</v>
      </c>
      <c r="E275">
        <v>1000815</v>
      </c>
      <c r="F275">
        <v>1000815</v>
      </c>
      <c r="G275">
        <v>1000815</v>
      </c>
      <c r="H275">
        <v>1000814.8</v>
      </c>
      <c r="I275">
        <v>1000815</v>
      </c>
      <c r="J275">
        <v>1000815</v>
      </c>
      <c r="K275">
        <v>1000815</v>
      </c>
      <c r="L275">
        <v>1000815</v>
      </c>
      <c r="M275" s="13">
        <v>0</v>
      </c>
    </row>
    <row r="276" spans="1:13">
      <c r="A276" s="257" t="s">
        <v>542</v>
      </c>
      <c r="B276">
        <v>0</v>
      </c>
      <c r="C276">
        <v>3942307052</v>
      </c>
      <c r="D276">
        <v>3693401701</v>
      </c>
      <c r="E276">
        <v>3941663906</v>
      </c>
      <c r="F276">
        <v>4041524949</v>
      </c>
      <c r="G276">
        <v>3822793832</v>
      </c>
      <c r="H276">
        <v>3957716596.0408487</v>
      </c>
      <c r="I276">
        <v>3814784979</v>
      </c>
      <c r="J276">
        <v>4066164589</v>
      </c>
      <c r="K276">
        <v>3946616368</v>
      </c>
      <c r="L276">
        <v>4036518236</v>
      </c>
      <c r="M276" s="13">
        <v>4241412983</v>
      </c>
    </row>
    <row r="277" spans="1:13">
      <c r="A277" s="258" t="s">
        <v>572</v>
      </c>
      <c r="B277">
        <v>0</v>
      </c>
      <c r="C277">
        <v>5</v>
      </c>
      <c r="D277">
        <v>5</v>
      </c>
      <c r="E277">
        <v>6</v>
      </c>
      <c r="F277">
        <v>6</v>
      </c>
      <c r="G277">
        <v>54</v>
      </c>
      <c r="H277">
        <v>1370.9384</v>
      </c>
      <c r="I277">
        <v>738</v>
      </c>
      <c r="J277">
        <v>247</v>
      </c>
      <c r="K277">
        <v>211</v>
      </c>
      <c r="L277">
        <v>246</v>
      </c>
      <c r="M277" s="13">
        <v>232</v>
      </c>
    </row>
    <row r="278" spans="1:13">
      <c r="A278" s="259" t="s">
        <v>370</v>
      </c>
      <c r="B278">
        <v>0</v>
      </c>
      <c r="C278">
        <v>5</v>
      </c>
      <c r="D278">
        <v>5</v>
      </c>
      <c r="E278">
        <v>6</v>
      </c>
      <c r="F278">
        <v>6</v>
      </c>
      <c r="G278">
        <v>54</v>
      </c>
      <c r="H278">
        <v>1370.9384</v>
      </c>
      <c r="I278">
        <v>738</v>
      </c>
      <c r="J278">
        <v>247</v>
      </c>
      <c r="K278">
        <v>211</v>
      </c>
      <c r="L278">
        <v>246</v>
      </c>
      <c r="M278" s="13">
        <v>232</v>
      </c>
    </row>
    <row r="279" spans="1:13">
      <c r="A279" s="258" t="s">
        <v>542</v>
      </c>
      <c r="B279">
        <v>0</v>
      </c>
      <c r="C279">
        <v>3146909888</v>
      </c>
      <c r="D279">
        <v>2957988391</v>
      </c>
      <c r="E279">
        <v>3168680649</v>
      </c>
      <c r="F279">
        <v>3275684818</v>
      </c>
      <c r="G279">
        <v>3075780316</v>
      </c>
      <c r="H279">
        <v>3161348727.3400002</v>
      </c>
      <c r="I279">
        <v>3078119958</v>
      </c>
      <c r="J279">
        <v>3161903858</v>
      </c>
      <c r="K279">
        <v>3126338935</v>
      </c>
      <c r="L279">
        <v>3280059979</v>
      </c>
      <c r="M279" s="13">
        <v>3348614673</v>
      </c>
    </row>
    <row r="280" spans="1:13">
      <c r="A280" s="259" t="s">
        <v>591</v>
      </c>
      <c r="B280">
        <v>0</v>
      </c>
      <c r="C280">
        <v>2915728802</v>
      </c>
      <c r="D280">
        <v>2681388098</v>
      </c>
      <c r="E280">
        <v>2892748713</v>
      </c>
      <c r="F280">
        <v>2966507502</v>
      </c>
      <c r="G280">
        <v>2801141487</v>
      </c>
      <c r="H280">
        <v>2882571373.9608002</v>
      </c>
      <c r="I280">
        <v>2753368545</v>
      </c>
      <c r="J280">
        <v>2840444006</v>
      </c>
      <c r="K280">
        <v>2800527682</v>
      </c>
      <c r="L280">
        <v>2701919132</v>
      </c>
      <c r="M280" s="13">
        <v>2802492664</v>
      </c>
    </row>
    <row r="281" spans="1:13">
      <c r="A281" s="259" t="s">
        <v>698</v>
      </c>
      <c r="J281">
        <v>0</v>
      </c>
      <c r="K281">
        <v>31079</v>
      </c>
      <c r="L281">
        <v>1127183</v>
      </c>
      <c r="M281" s="13">
        <v>0</v>
      </c>
    </row>
    <row r="282" spans="1:13">
      <c r="A282" s="259" t="s">
        <v>598</v>
      </c>
      <c r="B282">
        <v>0</v>
      </c>
      <c r="C282">
        <v>0</v>
      </c>
      <c r="D282">
        <v>0</v>
      </c>
      <c r="J282">
        <v>0</v>
      </c>
      <c r="K282">
        <v>0</v>
      </c>
      <c r="L282">
        <v>0</v>
      </c>
      <c r="M282" s="13">
        <v>0</v>
      </c>
    </row>
    <row r="283" spans="1:13">
      <c r="A283" s="259" t="s">
        <v>621</v>
      </c>
      <c r="B283">
        <v>0</v>
      </c>
      <c r="C283">
        <v>133315</v>
      </c>
      <c r="D283">
        <v>72209</v>
      </c>
      <c r="E283">
        <v>47250</v>
      </c>
      <c r="F283">
        <v>113360</v>
      </c>
      <c r="G283">
        <v>329738</v>
      </c>
      <c r="H283">
        <v>33624.468800000002</v>
      </c>
      <c r="I283">
        <v>27</v>
      </c>
      <c r="J283">
        <v>29</v>
      </c>
      <c r="K283">
        <v>65</v>
      </c>
      <c r="L283">
        <v>40905</v>
      </c>
      <c r="M283" s="13">
        <v>62216</v>
      </c>
    </row>
    <row r="284" spans="1:13">
      <c r="A284" s="259" t="s">
        <v>370</v>
      </c>
      <c r="B284">
        <v>0</v>
      </c>
      <c r="C284">
        <v>231047771</v>
      </c>
      <c r="D284">
        <v>276528084</v>
      </c>
      <c r="E284">
        <v>275884686</v>
      </c>
      <c r="F284">
        <v>309063956</v>
      </c>
      <c r="G284">
        <v>274309091</v>
      </c>
      <c r="H284">
        <v>278743728.91040003</v>
      </c>
      <c r="I284">
        <v>324751386</v>
      </c>
      <c r="J284">
        <v>321459823</v>
      </c>
      <c r="K284">
        <v>325780109</v>
      </c>
      <c r="L284">
        <v>576972759</v>
      </c>
      <c r="M284" s="13">
        <v>546059793</v>
      </c>
    </row>
    <row r="285" spans="1:13">
      <c r="A285" s="258" t="s">
        <v>582</v>
      </c>
      <c r="J285">
        <v>7065</v>
      </c>
      <c r="K285">
        <v>18151</v>
      </c>
      <c r="L285">
        <v>20331</v>
      </c>
      <c r="M285" s="13">
        <v>22161</v>
      </c>
    </row>
    <row r="286" spans="1:13">
      <c r="A286" s="259" t="s">
        <v>370</v>
      </c>
      <c r="J286">
        <v>7065</v>
      </c>
      <c r="K286">
        <v>18151</v>
      </c>
      <c r="L286">
        <v>20331</v>
      </c>
      <c r="M286" s="13">
        <v>22161</v>
      </c>
    </row>
    <row r="287" spans="1:13">
      <c r="A287" s="258" t="s">
        <v>567</v>
      </c>
      <c r="B287">
        <v>0</v>
      </c>
      <c r="C287">
        <v>1110099</v>
      </c>
      <c r="D287">
        <v>1081917</v>
      </c>
      <c r="E287">
        <v>1098924</v>
      </c>
      <c r="F287">
        <v>1089382</v>
      </c>
      <c r="G287">
        <v>1065483</v>
      </c>
      <c r="H287">
        <v>1125954.0552000001</v>
      </c>
      <c r="I287">
        <v>1055573</v>
      </c>
      <c r="J287">
        <v>1055593</v>
      </c>
      <c r="K287">
        <v>1049657</v>
      </c>
      <c r="L287">
        <v>998939</v>
      </c>
      <c r="M287" s="13">
        <v>1051540</v>
      </c>
    </row>
    <row r="288" spans="1:13">
      <c r="A288" s="259" t="s">
        <v>600</v>
      </c>
      <c r="B288">
        <v>0</v>
      </c>
      <c r="C288">
        <v>1110099</v>
      </c>
      <c r="D288">
        <v>1081917</v>
      </c>
      <c r="E288">
        <v>1098924</v>
      </c>
      <c r="F288">
        <v>1089382</v>
      </c>
      <c r="G288">
        <v>1065483</v>
      </c>
      <c r="H288">
        <v>1125954.0552000001</v>
      </c>
      <c r="I288">
        <v>1055573</v>
      </c>
      <c r="J288">
        <v>1055593</v>
      </c>
      <c r="K288">
        <v>1049657</v>
      </c>
      <c r="L288">
        <v>998939</v>
      </c>
      <c r="M288" s="13">
        <v>1051540</v>
      </c>
    </row>
    <row r="289" spans="1:13">
      <c r="A289" s="258" t="s">
        <v>568</v>
      </c>
      <c r="B289">
        <v>0</v>
      </c>
      <c r="C289">
        <v>794287060</v>
      </c>
      <c r="D289">
        <v>734331388</v>
      </c>
      <c r="E289">
        <v>771884326</v>
      </c>
      <c r="F289">
        <v>764750743</v>
      </c>
      <c r="G289">
        <v>745947979</v>
      </c>
      <c r="H289">
        <v>795240543.70724881</v>
      </c>
      <c r="I289">
        <v>735608710</v>
      </c>
      <c r="J289">
        <v>903197826</v>
      </c>
      <c r="K289">
        <v>819209414</v>
      </c>
      <c r="L289">
        <v>755438741</v>
      </c>
      <c r="M289" s="13">
        <v>891724377</v>
      </c>
    </row>
    <row r="290" spans="1:13">
      <c r="A290" s="259" t="s">
        <v>594</v>
      </c>
      <c r="B290">
        <v>0</v>
      </c>
      <c r="C290">
        <v>729363638</v>
      </c>
      <c r="D290">
        <v>701931309</v>
      </c>
      <c r="E290">
        <v>704868571</v>
      </c>
      <c r="F290">
        <v>671666664</v>
      </c>
      <c r="G290">
        <v>659092602</v>
      </c>
      <c r="H290">
        <v>696304190.55599999</v>
      </c>
      <c r="I290">
        <v>646523571</v>
      </c>
      <c r="J290">
        <v>706952746</v>
      </c>
      <c r="K290">
        <v>716090021</v>
      </c>
      <c r="L290">
        <v>654042361</v>
      </c>
      <c r="M290" s="13">
        <v>781701644</v>
      </c>
    </row>
    <row r="291" spans="1:13">
      <c r="A291" s="259" t="s">
        <v>629</v>
      </c>
      <c r="B291">
        <v>0</v>
      </c>
      <c r="C291">
        <v>64923422</v>
      </c>
      <c r="D291">
        <v>32400079</v>
      </c>
      <c r="E291">
        <v>67015755</v>
      </c>
      <c r="F291">
        <v>93084079</v>
      </c>
      <c r="G291">
        <v>86855377</v>
      </c>
      <c r="H291">
        <v>98894909.464000002</v>
      </c>
      <c r="I291">
        <v>86537325</v>
      </c>
      <c r="J291">
        <v>193495469</v>
      </c>
      <c r="K291">
        <v>100301273</v>
      </c>
      <c r="L291">
        <v>99110413</v>
      </c>
      <c r="M291" s="13">
        <v>107833504</v>
      </c>
    </row>
    <row r="292" spans="1:13">
      <c r="A292" s="259" t="s">
        <v>370</v>
      </c>
      <c r="B292">
        <v>0</v>
      </c>
      <c r="C292">
        <v>0</v>
      </c>
      <c r="D292">
        <v>0</v>
      </c>
      <c r="E292">
        <v>0</v>
      </c>
      <c r="F292">
        <v>0</v>
      </c>
      <c r="G292">
        <v>0</v>
      </c>
      <c r="H292">
        <v>41443.687248793998</v>
      </c>
      <c r="I292">
        <v>2547814</v>
      </c>
      <c r="J292">
        <v>2749611</v>
      </c>
      <c r="K292">
        <v>2818120</v>
      </c>
      <c r="L292">
        <v>2285967</v>
      </c>
      <c r="M292" s="13">
        <v>2189229</v>
      </c>
    </row>
    <row r="293" spans="1:13">
      <c r="A293" s="259" t="s">
        <v>660</v>
      </c>
      <c r="B293">
        <v>0</v>
      </c>
      <c r="C293">
        <v>0</v>
      </c>
      <c r="D293">
        <v>0</v>
      </c>
      <c r="J293">
        <v>0</v>
      </c>
      <c r="K293">
        <v>0</v>
      </c>
      <c r="L293">
        <v>0</v>
      </c>
      <c r="M293" s="13">
        <v>0</v>
      </c>
    </row>
    <row r="294" spans="1:13">
      <c r="A294" s="258" t="s">
        <v>570</v>
      </c>
      <c r="B294">
        <v>0</v>
      </c>
      <c r="C294">
        <v>0</v>
      </c>
      <c r="D294">
        <v>0</v>
      </c>
      <c r="E294">
        <v>1</v>
      </c>
      <c r="G294">
        <v>0</v>
      </c>
      <c r="I294">
        <v>0</v>
      </c>
      <c r="J294">
        <v>0</v>
      </c>
      <c r="K294">
        <v>0</v>
      </c>
      <c r="L294">
        <v>0</v>
      </c>
      <c r="M294" s="13">
        <v>0</v>
      </c>
    </row>
    <row r="295" spans="1:13">
      <c r="A295" s="259" t="s">
        <v>679</v>
      </c>
      <c r="B295">
        <v>0</v>
      </c>
      <c r="C295">
        <v>0</v>
      </c>
      <c r="D295">
        <v>0</v>
      </c>
      <c r="E295">
        <v>1</v>
      </c>
      <c r="G295">
        <v>0</v>
      </c>
      <c r="I295">
        <v>0</v>
      </c>
      <c r="J295">
        <v>0</v>
      </c>
      <c r="K295">
        <v>0</v>
      </c>
      <c r="L295">
        <v>0</v>
      </c>
      <c r="M295" s="13">
        <v>0</v>
      </c>
    </row>
    <row r="296" spans="1:13">
      <c r="A296" s="257" t="s">
        <v>576</v>
      </c>
      <c r="F296">
        <v>0</v>
      </c>
      <c r="G296">
        <v>9427554</v>
      </c>
      <c r="H296">
        <v>605447.25280000002</v>
      </c>
      <c r="I296">
        <v>18349095</v>
      </c>
      <c r="J296">
        <v>24970152</v>
      </c>
      <c r="K296">
        <v>26039966</v>
      </c>
      <c r="L296">
        <v>26065314</v>
      </c>
      <c r="M296" s="13">
        <v>29799779</v>
      </c>
    </row>
    <row r="297" spans="1:13">
      <c r="A297" s="258" t="s">
        <v>576</v>
      </c>
      <c r="F297">
        <v>0</v>
      </c>
      <c r="G297">
        <v>9427554</v>
      </c>
      <c r="H297">
        <v>605447.25280000002</v>
      </c>
      <c r="I297">
        <v>18349095</v>
      </c>
      <c r="J297">
        <v>24970152</v>
      </c>
      <c r="K297">
        <v>26039966</v>
      </c>
      <c r="L297">
        <v>26065314</v>
      </c>
      <c r="M297" s="13">
        <v>29799779</v>
      </c>
    </row>
    <row r="298" spans="1:13">
      <c r="A298" s="259" t="s">
        <v>576</v>
      </c>
      <c r="F298">
        <v>0</v>
      </c>
      <c r="G298">
        <v>9427554</v>
      </c>
      <c r="H298">
        <v>605447.25280000002</v>
      </c>
      <c r="I298">
        <v>18349095</v>
      </c>
      <c r="J298">
        <v>24970152</v>
      </c>
      <c r="K298">
        <v>26039966</v>
      </c>
      <c r="L298">
        <v>26065314</v>
      </c>
      <c r="M298" s="13">
        <v>29799779</v>
      </c>
    </row>
    <row r="299" spans="1:13">
      <c r="A299" s="257" t="s">
        <v>565</v>
      </c>
      <c r="B299">
        <v>1066442</v>
      </c>
      <c r="C299">
        <v>650530</v>
      </c>
      <c r="D299">
        <v>650530</v>
      </c>
      <c r="E299">
        <v>639230</v>
      </c>
      <c r="F299">
        <v>650530</v>
      </c>
      <c r="G299">
        <v>650530</v>
      </c>
      <c r="H299">
        <v>625509.25</v>
      </c>
      <c r="I299">
        <v>625509</v>
      </c>
      <c r="J299">
        <v>625509</v>
      </c>
      <c r="K299">
        <v>625509</v>
      </c>
      <c r="L299">
        <v>625509</v>
      </c>
      <c r="M299" s="13">
        <v>0</v>
      </c>
    </row>
    <row r="300" spans="1:13">
      <c r="A300" s="258" t="s">
        <v>565</v>
      </c>
      <c r="B300">
        <v>1066442</v>
      </c>
      <c r="C300">
        <v>650530</v>
      </c>
      <c r="D300">
        <v>650530</v>
      </c>
      <c r="E300">
        <v>639230</v>
      </c>
      <c r="F300">
        <v>650530</v>
      </c>
      <c r="G300">
        <v>650530</v>
      </c>
      <c r="H300">
        <v>625509.25</v>
      </c>
      <c r="I300">
        <v>625509</v>
      </c>
      <c r="J300">
        <v>625509</v>
      </c>
      <c r="K300">
        <v>625509</v>
      </c>
      <c r="L300">
        <v>625509</v>
      </c>
      <c r="M300" s="13">
        <v>0</v>
      </c>
    </row>
    <row r="301" spans="1:13">
      <c r="A301" s="259" t="s">
        <v>370</v>
      </c>
      <c r="B301">
        <v>1066442</v>
      </c>
      <c r="C301">
        <v>650530</v>
      </c>
      <c r="D301">
        <v>650530</v>
      </c>
      <c r="E301">
        <v>639230</v>
      </c>
      <c r="F301">
        <v>650530</v>
      </c>
      <c r="G301">
        <v>650530</v>
      </c>
      <c r="H301">
        <v>625509.25</v>
      </c>
      <c r="I301">
        <v>625509</v>
      </c>
      <c r="J301">
        <v>625509</v>
      </c>
      <c r="K301">
        <v>625509</v>
      </c>
      <c r="L301">
        <v>625509</v>
      </c>
      <c r="M301" s="13">
        <v>0</v>
      </c>
    </row>
    <row r="302" spans="1:13">
      <c r="A302" s="257" t="s">
        <v>751</v>
      </c>
      <c r="B302">
        <v>6459360114</v>
      </c>
      <c r="C302">
        <v>6782391080</v>
      </c>
      <c r="D302">
        <v>6323830205</v>
      </c>
      <c r="E302">
        <v>6776807075</v>
      </c>
      <c r="F302">
        <v>6953613953</v>
      </c>
      <c r="G302">
        <v>6586250004</v>
      </c>
      <c r="H302">
        <v>6563859012</v>
      </c>
      <c r="I302">
        <v>6334038934</v>
      </c>
      <c r="J302">
        <v>6757838110</v>
      </c>
      <c r="K302">
        <v>6536900400</v>
      </c>
      <c r="L302">
        <v>6624360985</v>
      </c>
      <c r="M302" s="13">
        <v>7024460406</v>
      </c>
    </row>
    <row r="303" spans="1:13">
      <c r="A303" s="258" t="s">
        <v>751</v>
      </c>
      <c r="B303">
        <v>6459360114</v>
      </c>
      <c r="C303">
        <v>6782391080</v>
      </c>
      <c r="D303">
        <v>6323830205</v>
      </c>
      <c r="E303">
        <v>6776807075</v>
      </c>
      <c r="F303">
        <v>6953613953</v>
      </c>
      <c r="G303">
        <v>6586250004</v>
      </c>
      <c r="H303">
        <v>6563859012</v>
      </c>
      <c r="I303">
        <v>6334038934</v>
      </c>
      <c r="J303">
        <v>6757838110</v>
      </c>
      <c r="K303">
        <v>6536900400</v>
      </c>
      <c r="L303">
        <v>6624360985</v>
      </c>
      <c r="M303" s="13">
        <v>7024460406</v>
      </c>
    </row>
    <row r="304" spans="1:13">
      <c r="A304" s="259" t="s">
        <v>591</v>
      </c>
      <c r="B304">
        <v>4492622660</v>
      </c>
      <c r="C304">
        <v>4779883281</v>
      </c>
      <c r="D304">
        <v>4395718193</v>
      </c>
      <c r="E304">
        <v>4742211005</v>
      </c>
      <c r="F304">
        <v>4863127050</v>
      </c>
      <c r="G304">
        <v>4592035225</v>
      </c>
      <c r="H304">
        <v>4543775807</v>
      </c>
      <c r="I304">
        <v>4340114349</v>
      </c>
      <c r="J304">
        <v>4477586546</v>
      </c>
      <c r="K304">
        <v>4414450949</v>
      </c>
      <c r="L304">
        <v>4259015025</v>
      </c>
      <c r="M304" s="13">
        <v>4417548333</v>
      </c>
    </row>
    <row r="305" spans="1:13">
      <c r="A305" s="259" t="s">
        <v>594</v>
      </c>
      <c r="B305">
        <v>1229483509</v>
      </c>
      <c r="C305">
        <v>1195678096</v>
      </c>
      <c r="D305">
        <v>1150707064</v>
      </c>
      <c r="E305">
        <v>1155522248</v>
      </c>
      <c r="F305">
        <v>1101092892</v>
      </c>
      <c r="G305">
        <v>1080479678</v>
      </c>
      <c r="H305">
        <v>1097579115</v>
      </c>
      <c r="I305">
        <v>1019110295</v>
      </c>
      <c r="J305">
        <v>1114364353</v>
      </c>
      <c r="K305">
        <v>1128767372</v>
      </c>
      <c r="L305">
        <v>1030962109</v>
      </c>
      <c r="M305" s="13">
        <v>1232190486</v>
      </c>
    </row>
    <row r="306" spans="1:13">
      <c r="A306" s="259" t="s">
        <v>629</v>
      </c>
      <c r="B306">
        <v>58472583</v>
      </c>
      <c r="C306">
        <v>106431840</v>
      </c>
      <c r="D306">
        <v>53114884</v>
      </c>
      <c r="E306">
        <v>111502574</v>
      </c>
      <c r="F306">
        <v>154237530</v>
      </c>
      <c r="G306">
        <v>144026544</v>
      </c>
      <c r="H306">
        <v>157527990</v>
      </c>
      <c r="I306">
        <v>138048821</v>
      </c>
      <c r="J306">
        <v>306646148</v>
      </c>
      <c r="K306">
        <v>159744830</v>
      </c>
      <c r="L306">
        <v>157867687</v>
      </c>
      <c r="M306" s="13">
        <v>169977150</v>
      </c>
    </row>
    <row r="307" spans="1:13">
      <c r="A307" s="259" t="s">
        <v>698</v>
      </c>
      <c r="K307">
        <v>48989</v>
      </c>
      <c r="L307">
        <v>1776770</v>
      </c>
      <c r="M307" s="13">
        <v>9370561</v>
      </c>
    </row>
    <row r="308" spans="1:13">
      <c r="A308" s="259" t="s">
        <v>598</v>
      </c>
      <c r="B308">
        <v>0</v>
      </c>
      <c r="C308">
        <v>0</v>
      </c>
      <c r="D308">
        <v>0</v>
      </c>
      <c r="J308">
        <v>0</v>
      </c>
      <c r="K308">
        <v>0</v>
      </c>
      <c r="L308">
        <v>0</v>
      </c>
      <c r="M308" s="13">
        <v>0</v>
      </c>
    </row>
    <row r="309" spans="1:13">
      <c r="A309" s="259" t="s">
        <v>635</v>
      </c>
      <c r="B309">
        <v>276540607</v>
      </c>
      <c r="C309">
        <v>271107741</v>
      </c>
      <c r="D309">
        <v>255360965</v>
      </c>
      <c r="E309">
        <v>261480759</v>
      </c>
      <c r="F309">
        <v>258980391</v>
      </c>
      <c r="G309">
        <v>251108723</v>
      </c>
      <c r="H309">
        <v>249788803</v>
      </c>
      <c r="I309">
        <v>248612867</v>
      </c>
      <c r="J309">
        <v>263767189</v>
      </c>
      <c r="K309">
        <v>251769405</v>
      </c>
      <c r="L309">
        <v>242636977</v>
      </c>
      <c r="M309" s="13">
        <v>243315920</v>
      </c>
    </row>
    <row r="310" spans="1:13">
      <c r="A310" s="259" t="s">
        <v>560</v>
      </c>
      <c r="B310">
        <v>0</v>
      </c>
      <c r="C310">
        <v>164068</v>
      </c>
      <c r="D310">
        <v>164068</v>
      </c>
      <c r="E310">
        <v>164068</v>
      </c>
      <c r="F310">
        <v>265949</v>
      </c>
      <c r="G310">
        <v>246102</v>
      </c>
      <c r="H310">
        <v>305643</v>
      </c>
      <c r="I310">
        <v>369153</v>
      </c>
      <c r="J310">
        <v>410170</v>
      </c>
      <c r="K310">
        <v>410170</v>
      </c>
      <c r="L310">
        <v>410170</v>
      </c>
      <c r="M310" s="13">
        <v>0</v>
      </c>
    </row>
    <row r="311" spans="1:13">
      <c r="A311" s="259" t="s">
        <v>621</v>
      </c>
      <c r="B311">
        <v>470878</v>
      </c>
      <c r="C311">
        <v>218549</v>
      </c>
      <c r="D311">
        <v>118376</v>
      </c>
      <c r="E311">
        <v>77459</v>
      </c>
      <c r="F311">
        <v>185836</v>
      </c>
      <c r="G311">
        <v>540553</v>
      </c>
      <c r="H311">
        <v>53002</v>
      </c>
      <c r="I311">
        <v>43</v>
      </c>
      <c r="J311">
        <v>46</v>
      </c>
      <c r="K311">
        <v>103</v>
      </c>
      <c r="L311">
        <v>64479</v>
      </c>
      <c r="M311" s="13">
        <v>98070</v>
      </c>
    </row>
    <row r="312" spans="1:13">
      <c r="A312" s="259" t="s">
        <v>576</v>
      </c>
      <c r="E312">
        <v>4488659</v>
      </c>
      <c r="F312">
        <v>22485885</v>
      </c>
      <c r="G312">
        <v>20099067</v>
      </c>
      <c r="H312">
        <v>27584638</v>
      </c>
      <c r="I312">
        <v>29425293</v>
      </c>
      <c r="J312">
        <v>39360265</v>
      </c>
      <c r="K312">
        <v>41046604</v>
      </c>
      <c r="L312">
        <v>41086560</v>
      </c>
      <c r="M312" s="13">
        <v>46973170</v>
      </c>
    </row>
    <row r="313" spans="1:13">
      <c r="A313" s="259" t="s">
        <v>370</v>
      </c>
      <c r="B313">
        <v>357497930</v>
      </c>
      <c r="C313">
        <v>383438594</v>
      </c>
      <c r="D313">
        <v>424934774</v>
      </c>
      <c r="E313">
        <v>457222563</v>
      </c>
      <c r="F313">
        <v>510890835</v>
      </c>
      <c r="G313">
        <v>455210751</v>
      </c>
      <c r="H313">
        <v>444684215</v>
      </c>
      <c r="I313">
        <v>516986350</v>
      </c>
      <c r="J313">
        <v>512103004</v>
      </c>
      <c r="K313">
        <v>498163274</v>
      </c>
      <c r="L313">
        <v>850031556</v>
      </c>
      <c r="M313" s="13">
        <v>864258641</v>
      </c>
    </row>
    <row r="314" spans="1:13">
      <c r="A314" s="259" t="s">
        <v>750</v>
      </c>
      <c r="B314">
        <v>0</v>
      </c>
      <c r="C314">
        <v>0</v>
      </c>
      <c r="D314">
        <v>0</v>
      </c>
      <c r="J314">
        <v>0</v>
      </c>
      <c r="K314">
        <v>0</v>
      </c>
      <c r="L314">
        <v>0</v>
      </c>
      <c r="M314" s="13">
        <v>0</v>
      </c>
    </row>
    <row r="315" spans="1:13">
      <c r="A315" s="259" t="s">
        <v>600</v>
      </c>
      <c r="B315">
        <v>1521336</v>
      </c>
      <c r="C315">
        <v>1819834</v>
      </c>
      <c r="D315">
        <v>1773634</v>
      </c>
      <c r="E315">
        <v>1801516</v>
      </c>
      <c r="F315">
        <v>1785872</v>
      </c>
      <c r="G315">
        <v>1746693</v>
      </c>
      <c r="H315">
        <v>1774833</v>
      </c>
      <c r="I315">
        <v>1663893</v>
      </c>
      <c r="J315">
        <v>1663923</v>
      </c>
      <c r="K315">
        <v>1654567</v>
      </c>
      <c r="L315">
        <v>1574620</v>
      </c>
      <c r="M315" s="13">
        <v>1657535</v>
      </c>
    </row>
    <row r="316" spans="1:13">
      <c r="A316" s="259" t="s">
        <v>503</v>
      </c>
      <c r="B316">
        <v>438223</v>
      </c>
      <c r="C316">
        <v>489047</v>
      </c>
      <c r="D316">
        <v>488609</v>
      </c>
      <c r="E316">
        <v>491626</v>
      </c>
      <c r="F316">
        <v>488568</v>
      </c>
      <c r="G316">
        <v>472574</v>
      </c>
      <c r="H316">
        <v>488190</v>
      </c>
      <c r="I316">
        <v>479678</v>
      </c>
      <c r="J316">
        <v>537896</v>
      </c>
      <c r="K316">
        <v>497049</v>
      </c>
      <c r="L316">
        <v>413578</v>
      </c>
      <c r="M316" s="13">
        <v>453363</v>
      </c>
    </row>
    <row r="317" spans="1:13">
      <c r="A317" s="259" t="s">
        <v>602</v>
      </c>
      <c r="B317">
        <v>42312386</v>
      </c>
      <c r="C317">
        <v>43160030</v>
      </c>
      <c r="D317">
        <v>41449637</v>
      </c>
      <c r="E317">
        <v>41844597</v>
      </c>
      <c r="F317">
        <v>40073144</v>
      </c>
      <c r="G317">
        <v>40284094</v>
      </c>
      <c r="H317">
        <v>40296775</v>
      </c>
      <c r="I317">
        <v>39228192</v>
      </c>
      <c r="J317">
        <v>41398569</v>
      </c>
      <c r="K317">
        <v>40347088</v>
      </c>
      <c r="L317">
        <v>38521453</v>
      </c>
      <c r="M317" s="13">
        <v>38617176</v>
      </c>
    </row>
    <row r="318" spans="1:13">
      <c r="A318" s="259" t="s">
        <v>679</v>
      </c>
      <c r="B318">
        <v>2</v>
      </c>
      <c r="C318">
        <v>0</v>
      </c>
      <c r="D318">
        <v>1</v>
      </c>
      <c r="E318">
        <v>1</v>
      </c>
      <c r="F318">
        <v>1</v>
      </c>
      <c r="G318">
        <v>0</v>
      </c>
      <c r="H318">
        <v>1</v>
      </c>
      <c r="I318">
        <v>0</v>
      </c>
      <c r="J318">
        <v>1</v>
      </c>
      <c r="K318">
        <v>0</v>
      </c>
      <c r="L318">
        <v>1</v>
      </c>
      <c r="M318" s="13">
        <v>1</v>
      </c>
    </row>
    <row r="319" spans="1:13">
      <c r="A319" s="259" t="s">
        <v>660</v>
      </c>
      <c r="B319">
        <v>0</v>
      </c>
      <c r="C319">
        <v>0</v>
      </c>
      <c r="D319">
        <v>0</v>
      </c>
      <c r="J319">
        <v>0</v>
      </c>
      <c r="K319">
        <v>0</v>
      </c>
      <c r="L319">
        <v>0</v>
      </c>
      <c r="M319" s="13">
        <v>0</v>
      </c>
    </row>
    <row r="320" spans="1:13">
      <c r="A320" s="257" t="s">
        <v>752</v>
      </c>
      <c r="B320">
        <v>0</v>
      </c>
      <c r="C320">
        <v>298319</v>
      </c>
      <c r="D320">
        <v>298051</v>
      </c>
      <c r="E320">
        <v>299892</v>
      </c>
      <c r="F320">
        <v>298026</v>
      </c>
      <c r="G320">
        <v>288270</v>
      </c>
      <c r="H320">
        <v>309707.73599999998</v>
      </c>
      <c r="I320">
        <v>304307</v>
      </c>
      <c r="J320">
        <v>341241</v>
      </c>
      <c r="K320">
        <v>315327</v>
      </c>
      <c r="L320">
        <v>262374</v>
      </c>
      <c r="M320" s="13">
        <v>287613</v>
      </c>
    </row>
    <row r="321" spans="1:13">
      <c r="A321" s="258" t="s">
        <v>569</v>
      </c>
      <c r="B321">
        <v>0</v>
      </c>
      <c r="C321">
        <v>266516</v>
      </c>
      <c r="D321">
        <v>267004</v>
      </c>
      <c r="E321">
        <v>268067</v>
      </c>
      <c r="F321">
        <v>266011</v>
      </c>
      <c r="G321">
        <v>254683</v>
      </c>
      <c r="H321">
        <v>274734.53279999999</v>
      </c>
      <c r="I321">
        <v>264295</v>
      </c>
      <c r="J321">
        <v>295483</v>
      </c>
      <c r="K321">
        <v>274631</v>
      </c>
      <c r="L321">
        <v>228092</v>
      </c>
      <c r="M321" s="13">
        <v>249600</v>
      </c>
    </row>
    <row r="322" spans="1:13">
      <c r="A322" s="259" t="s">
        <v>503</v>
      </c>
      <c r="B322">
        <v>0</v>
      </c>
      <c r="C322">
        <v>266516</v>
      </c>
      <c r="D322">
        <v>267004</v>
      </c>
      <c r="E322">
        <v>268067</v>
      </c>
      <c r="F322">
        <v>266011</v>
      </c>
      <c r="G322">
        <v>254683</v>
      </c>
      <c r="H322">
        <v>274734.53279999999</v>
      </c>
      <c r="I322">
        <v>264295</v>
      </c>
      <c r="J322">
        <v>295483</v>
      </c>
      <c r="K322">
        <v>274631</v>
      </c>
      <c r="L322">
        <v>228092</v>
      </c>
      <c r="M322" s="13">
        <v>249600</v>
      </c>
    </row>
    <row r="323" spans="1:13">
      <c r="A323" s="258" t="s">
        <v>752</v>
      </c>
      <c r="B323">
        <v>0</v>
      </c>
      <c r="C323">
        <v>31803</v>
      </c>
      <c r="D323">
        <v>31047</v>
      </c>
      <c r="E323">
        <v>31825</v>
      </c>
      <c r="F323">
        <v>32015</v>
      </c>
      <c r="G323">
        <v>33587</v>
      </c>
      <c r="H323">
        <v>34973.203200000004</v>
      </c>
      <c r="I323">
        <v>40012</v>
      </c>
      <c r="J323">
        <v>45758</v>
      </c>
      <c r="K323">
        <v>40696</v>
      </c>
      <c r="L323">
        <v>34282</v>
      </c>
      <c r="M323" s="13">
        <v>38013</v>
      </c>
    </row>
    <row r="324" spans="1:13">
      <c r="A324" s="259" t="s">
        <v>503</v>
      </c>
      <c r="B324">
        <v>0</v>
      </c>
      <c r="C324">
        <v>31803</v>
      </c>
      <c r="D324">
        <v>31047</v>
      </c>
      <c r="E324">
        <v>31825</v>
      </c>
      <c r="F324">
        <v>32015</v>
      </c>
      <c r="G324">
        <v>33587</v>
      </c>
      <c r="H324">
        <v>34973.203200000004</v>
      </c>
      <c r="I324">
        <v>40012</v>
      </c>
      <c r="J324">
        <v>45758</v>
      </c>
      <c r="K324">
        <v>40696</v>
      </c>
      <c r="L324">
        <v>34282</v>
      </c>
      <c r="M324" s="13">
        <v>38013</v>
      </c>
    </row>
    <row r="325" spans="1:13">
      <c r="A325" s="257" t="s">
        <v>391</v>
      </c>
      <c r="B325">
        <v>0</v>
      </c>
      <c r="C325">
        <v>165411532</v>
      </c>
      <c r="D325">
        <v>155801783</v>
      </c>
      <c r="E325">
        <v>159536336</v>
      </c>
      <c r="F325">
        <v>158013761</v>
      </c>
      <c r="G325">
        <v>153222965</v>
      </c>
      <c r="H325">
        <v>157630045.17360002</v>
      </c>
      <c r="I325">
        <v>157745674</v>
      </c>
      <c r="J325">
        <v>167348172</v>
      </c>
      <c r="K325">
        <v>159736778</v>
      </c>
      <c r="L325">
        <v>153943016</v>
      </c>
      <c r="M325" s="13">
        <v>154373887</v>
      </c>
    </row>
    <row r="326" spans="1:13">
      <c r="A326" s="258" t="s">
        <v>391</v>
      </c>
      <c r="B326">
        <v>0</v>
      </c>
      <c r="C326">
        <v>165411532</v>
      </c>
      <c r="D326">
        <v>155801783</v>
      </c>
      <c r="E326">
        <v>159536336</v>
      </c>
      <c r="F326">
        <v>158013761</v>
      </c>
      <c r="G326">
        <v>153222965</v>
      </c>
      <c r="H326">
        <v>157630045.17360002</v>
      </c>
      <c r="I326">
        <v>157745674</v>
      </c>
      <c r="J326">
        <v>167348172</v>
      </c>
      <c r="K326">
        <v>159736778</v>
      </c>
      <c r="L326">
        <v>153943016</v>
      </c>
      <c r="M326" s="13">
        <v>154373887</v>
      </c>
    </row>
    <row r="327" spans="1:13">
      <c r="A327" s="259" t="s">
        <v>635</v>
      </c>
      <c r="B327">
        <v>0</v>
      </c>
      <c r="C327">
        <v>165375722</v>
      </c>
      <c r="D327">
        <v>155770189</v>
      </c>
      <c r="E327">
        <v>159503263</v>
      </c>
      <c r="F327">
        <v>157978039</v>
      </c>
      <c r="G327">
        <v>153176321</v>
      </c>
      <c r="H327">
        <v>157596351.55520001</v>
      </c>
      <c r="I327">
        <v>157720002</v>
      </c>
      <c r="J327">
        <v>167333904</v>
      </c>
      <c r="K327">
        <v>159722511</v>
      </c>
      <c r="L327">
        <v>153928898</v>
      </c>
      <c r="M327" s="13">
        <v>154359620</v>
      </c>
    </row>
    <row r="328" spans="1:13">
      <c r="A328" s="259" t="s">
        <v>370</v>
      </c>
      <c r="B328">
        <v>0</v>
      </c>
      <c r="C328">
        <v>35810</v>
      </c>
      <c r="D328">
        <v>31594</v>
      </c>
      <c r="E328">
        <v>33073</v>
      </c>
      <c r="F328">
        <v>35722</v>
      </c>
      <c r="G328">
        <v>46644</v>
      </c>
      <c r="H328">
        <v>33693.618399999999</v>
      </c>
      <c r="I328">
        <v>25672</v>
      </c>
      <c r="J328">
        <v>14268</v>
      </c>
      <c r="K328">
        <v>14267</v>
      </c>
      <c r="L328">
        <v>14118</v>
      </c>
      <c r="M328" s="13">
        <v>14267</v>
      </c>
    </row>
    <row r="329" spans="1:13">
      <c r="A329" s="256" t="s">
        <v>546</v>
      </c>
      <c r="B329">
        <v>261937024</v>
      </c>
      <c r="C329">
        <v>239553123</v>
      </c>
      <c r="D329">
        <v>309161321</v>
      </c>
      <c r="E329">
        <v>231863450</v>
      </c>
      <c r="F329">
        <v>217431064</v>
      </c>
      <c r="G329">
        <v>218496249</v>
      </c>
      <c r="H329">
        <v>243462804</v>
      </c>
      <c r="I329">
        <v>248634742</v>
      </c>
      <c r="J329">
        <v>290032920</v>
      </c>
      <c r="K329">
        <v>285817039</v>
      </c>
      <c r="L329">
        <v>281495513</v>
      </c>
      <c r="M329" s="13">
        <v>344957499</v>
      </c>
    </row>
    <row r="330" spans="1:13">
      <c r="A330" s="257" t="s">
        <v>544</v>
      </c>
      <c r="B330">
        <v>583673</v>
      </c>
      <c r="C330">
        <v>565255</v>
      </c>
      <c r="D330">
        <v>573794</v>
      </c>
      <c r="E330">
        <v>587521</v>
      </c>
      <c r="F330">
        <v>581745</v>
      </c>
      <c r="G330">
        <v>635696</v>
      </c>
      <c r="H330">
        <v>589613</v>
      </c>
      <c r="I330">
        <v>627138</v>
      </c>
      <c r="J330">
        <v>602742</v>
      </c>
      <c r="K330">
        <v>599414</v>
      </c>
      <c r="L330">
        <v>632896</v>
      </c>
      <c r="M330" s="13">
        <v>599054</v>
      </c>
    </row>
    <row r="331" spans="1:13">
      <c r="A331" s="258" t="s">
        <v>544</v>
      </c>
      <c r="B331">
        <v>583673</v>
      </c>
      <c r="C331">
        <v>565255</v>
      </c>
      <c r="D331">
        <v>573794</v>
      </c>
      <c r="E331">
        <v>587521</v>
      </c>
      <c r="F331">
        <v>581745</v>
      </c>
      <c r="G331">
        <v>635696</v>
      </c>
      <c r="H331">
        <v>589613</v>
      </c>
      <c r="I331">
        <v>627138</v>
      </c>
      <c r="J331">
        <v>602742</v>
      </c>
      <c r="K331">
        <v>599414</v>
      </c>
      <c r="L331">
        <v>632896</v>
      </c>
      <c r="M331" s="13">
        <v>599054</v>
      </c>
    </row>
    <row r="332" spans="1:13">
      <c r="A332" s="259" t="s">
        <v>602</v>
      </c>
      <c r="B332">
        <v>583673</v>
      </c>
      <c r="C332">
        <v>565255</v>
      </c>
      <c r="D332">
        <v>573794</v>
      </c>
      <c r="E332">
        <v>587521</v>
      </c>
      <c r="F332">
        <v>581745</v>
      </c>
      <c r="G332">
        <v>635696</v>
      </c>
      <c r="H332">
        <v>589613</v>
      </c>
      <c r="I332">
        <v>627138</v>
      </c>
      <c r="J332">
        <v>602742</v>
      </c>
      <c r="K332">
        <v>599414</v>
      </c>
      <c r="L332">
        <v>632896</v>
      </c>
      <c r="M332" s="13">
        <v>599054</v>
      </c>
    </row>
    <row r="333" spans="1:13">
      <c r="A333" s="257" t="s">
        <v>542</v>
      </c>
      <c r="B333">
        <v>260856349</v>
      </c>
      <c r="C333">
        <v>238477823</v>
      </c>
      <c r="D333">
        <v>307747469</v>
      </c>
      <c r="E333">
        <v>230452346</v>
      </c>
      <c r="F333">
        <v>216090434</v>
      </c>
      <c r="G333">
        <v>217083167</v>
      </c>
      <c r="H333">
        <v>242016493</v>
      </c>
      <c r="I333">
        <v>246997734</v>
      </c>
      <c r="J333">
        <v>288511242</v>
      </c>
      <c r="K333">
        <v>284256271</v>
      </c>
      <c r="L333">
        <v>279810255</v>
      </c>
      <c r="M333" s="13">
        <v>343044544</v>
      </c>
    </row>
    <row r="334" spans="1:13">
      <c r="A334" s="258" t="s">
        <v>542</v>
      </c>
      <c r="B334">
        <v>125012667</v>
      </c>
      <c r="C334">
        <v>103926995</v>
      </c>
      <c r="D334">
        <v>97483312</v>
      </c>
      <c r="E334">
        <v>93093113</v>
      </c>
      <c r="F334">
        <v>92176982</v>
      </c>
      <c r="G334">
        <v>98037212</v>
      </c>
      <c r="H334">
        <v>105744448</v>
      </c>
      <c r="I334">
        <v>116879209</v>
      </c>
      <c r="J334">
        <v>165409830</v>
      </c>
      <c r="K334">
        <v>138627807</v>
      </c>
      <c r="L334">
        <v>131221621</v>
      </c>
      <c r="M334" s="13">
        <v>167286392</v>
      </c>
    </row>
    <row r="335" spans="1:13">
      <c r="A335" s="259" t="s">
        <v>591</v>
      </c>
      <c r="B335">
        <v>517381</v>
      </c>
      <c r="C335">
        <v>1342787</v>
      </c>
      <c r="D335">
        <v>1038929</v>
      </c>
      <c r="E335">
        <v>977410</v>
      </c>
      <c r="F335">
        <v>600254</v>
      </c>
      <c r="H335">
        <v>1590482</v>
      </c>
      <c r="I335">
        <v>1693540</v>
      </c>
      <c r="J335">
        <v>609813</v>
      </c>
      <c r="K335">
        <v>560510</v>
      </c>
      <c r="L335">
        <v>1256241</v>
      </c>
      <c r="M335" s="13">
        <v>6704916</v>
      </c>
    </row>
    <row r="336" spans="1:13">
      <c r="A336" s="259" t="s">
        <v>594</v>
      </c>
      <c r="B336">
        <v>2003535</v>
      </c>
      <c r="C336">
        <v>2167270</v>
      </c>
      <c r="D336">
        <v>1888448</v>
      </c>
      <c r="E336">
        <v>2608405</v>
      </c>
      <c r="F336">
        <v>3207434</v>
      </c>
      <c r="G336">
        <v>11003525</v>
      </c>
      <c r="H336">
        <v>9408522</v>
      </c>
      <c r="I336">
        <v>9919806</v>
      </c>
      <c r="J336">
        <v>28890298</v>
      </c>
      <c r="K336">
        <v>11730208</v>
      </c>
      <c r="L336">
        <v>11344632</v>
      </c>
      <c r="M336" s="13">
        <v>11809578</v>
      </c>
    </row>
    <row r="337" spans="1:13">
      <c r="A337" s="259" t="s">
        <v>629</v>
      </c>
      <c r="B337">
        <v>2306643</v>
      </c>
      <c r="C337">
        <v>2657940</v>
      </c>
      <c r="D337">
        <v>3028643</v>
      </c>
      <c r="E337">
        <v>3559382</v>
      </c>
      <c r="F337">
        <v>4107254</v>
      </c>
      <c r="G337">
        <v>2824890</v>
      </c>
      <c r="H337">
        <v>3713495</v>
      </c>
      <c r="I337">
        <v>4534300</v>
      </c>
      <c r="J337">
        <v>12285441</v>
      </c>
      <c r="K337">
        <v>9406051</v>
      </c>
      <c r="L337">
        <v>12194870</v>
      </c>
      <c r="M337" s="13">
        <v>12725276</v>
      </c>
    </row>
    <row r="338" spans="1:13">
      <c r="A338" s="259" t="s">
        <v>702</v>
      </c>
      <c r="B338">
        <v>1365568</v>
      </c>
      <c r="C338">
        <v>1392626</v>
      </c>
      <c r="D338">
        <v>1433357</v>
      </c>
      <c r="E338">
        <v>1397615</v>
      </c>
      <c r="F338">
        <v>1513198</v>
      </c>
      <c r="G338">
        <v>1321573</v>
      </c>
      <c r="H338">
        <v>1187979</v>
      </c>
      <c r="I338">
        <v>1885335</v>
      </c>
      <c r="J338">
        <v>2013913</v>
      </c>
      <c r="K338">
        <v>1899827</v>
      </c>
      <c r="L338">
        <v>1205408</v>
      </c>
      <c r="M338" s="13">
        <v>1142620</v>
      </c>
    </row>
    <row r="339" spans="1:13">
      <c r="A339" s="259" t="s">
        <v>598</v>
      </c>
      <c r="B339">
        <v>2689827</v>
      </c>
      <c r="C339">
        <v>3184361</v>
      </c>
      <c r="D339">
        <v>5892601</v>
      </c>
      <c r="E339">
        <v>4558269</v>
      </c>
      <c r="F339">
        <v>4227030</v>
      </c>
      <c r="G339">
        <v>3653319</v>
      </c>
      <c r="H339">
        <v>4398431</v>
      </c>
      <c r="I339">
        <v>3009806</v>
      </c>
      <c r="J339">
        <v>2728134</v>
      </c>
      <c r="K339">
        <v>2507872</v>
      </c>
      <c r="L339">
        <v>136806</v>
      </c>
      <c r="M339" s="13">
        <v>152575</v>
      </c>
    </row>
    <row r="340" spans="1:13">
      <c r="A340" s="259" t="s">
        <v>652</v>
      </c>
      <c r="B340">
        <v>758771</v>
      </c>
      <c r="C340">
        <v>910479</v>
      </c>
      <c r="D340">
        <v>937108</v>
      </c>
      <c r="E340">
        <v>223368</v>
      </c>
      <c r="F340">
        <v>221309</v>
      </c>
      <c r="G340">
        <v>242770</v>
      </c>
      <c r="H340">
        <v>41446</v>
      </c>
      <c r="J340">
        <v>0</v>
      </c>
      <c r="K340">
        <v>0</v>
      </c>
      <c r="L340">
        <v>0</v>
      </c>
      <c r="M340" s="13">
        <v>0</v>
      </c>
    </row>
    <row r="341" spans="1:13">
      <c r="A341" s="259" t="s">
        <v>596</v>
      </c>
      <c r="B341">
        <v>68256577</v>
      </c>
      <c r="C341">
        <v>57568681</v>
      </c>
      <c r="D341">
        <v>51541050</v>
      </c>
      <c r="E341">
        <v>53157987</v>
      </c>
      <c r="F341">
        <v>51431434</v>
      </c>
      <c r="G341">
        <v>53017031</v>
      </c>
      <c r="H341">
        <v>53740526</v>
      </c>
      <c r="I341">
        <v>66642167</v>
      </c>
      <c r="J341">
        <v>90665439</v>
      </c>
      <c r="K341">
        <v>84353643</v>
      </c>
      <c r="L341">
        <v>77670019</v>
      </c>
      <c r="M341" s="13">
        <v>106739704</v>
      </c>
    </row>
    <row r="342" spans="1:13">
      <c r="A342" s="259" t="s">
        <v>370</v>
      </c>
      <c r="B342">
        <v>47114365</v>
      </c>
      <c r="C342">
        <v>34702851</v>
      </c>
      <c r="D342">
        <v>31723176</v>
      </c>
      <c r="E342">
        <v>26610677</v>
      </c>
      <c r="F342">
        <v>26869069</v>
      </c>
      <c r="G342">
        <v>25974104</v>
      </c>
      <c r="H342">
        <v>31663567</v>
      </c>
      <c r="I342">
        <v>29194255</v>
      </c>
      <c r="J342">
        <v>28216792</v>
      </c>
      <c r="K342">
        <v>28169696</v>
      </c>
      <c r="L342">
        <v>27413645</v>
      </c>
      <c r="M342" s="13">
        <v>28011723</v>
      </c>
    </row>
    <row r="343" spans="1:13">
      <c r="A343" s="258" t="s">
        <v>564</v>
      </c>
      <c r="H343">
        <v>591194</v>
      </c>
      <c r="I343">
        <v>651070</v>
      </c>
      <c r="J343">
        <v>777813</v>
      </c>
      <c r="K343">
        <v>805333</v>
      </c>
      <c r="L343">
        <v>892829</v>
      </c>
      <c r="M343" s="13">
        <v>921321</v>
      </c>
    </row>
    <row r="344" spans="1:13">
      <c r="A344" s="259" t="s">
        <v>660</v>
      </c>
      <c r="H344">
        <v>591194</v>
      </c>
      <c r="I344">
        <v>651070</v>
      </c>
      <c r="J344">
        <v>777813</v>
      </c>
      <c r="K344">
        <v>805333</v>
      </c>
      <c r="L344">
        <v>892829</v>
      </c>
      <c r="M344" s="13">
        <v>921321</v>
      </c>
    </row>
    <row r="345" spans="1:13">
      <c r="A345" s="258" t="s">
        <v>567</v>
      </c>
      <c r="B345">
        <v>111262</v>
      </c>
      <c r="C345">
        <v>106849</v>
      </c>
      <c r="D345">
        <v>137782</v>
      </c>
      <c r="E345">
        <v>140478</v>
      </c>
      <c r="F345">
        <v>107409</v>
      </c>
      <c r="G345">
        <v>15660</v>
      </c>
      <c r="H345">
        <v>6611</v>
      </c>
      <c r="I345">
        <v>6804</v>
      </c>
      <c r="J345">
        <v>6665</v>
      </c>
      <c r="K345">
        <v>6628</v>
      </c>
      <c r="L345">
        <v>6617</v>
      </c>
      <c r="M345" s="13">
        <v>7030</v>
      </c>
    </row>
    <row r="346" spans="1:13">
      <c r="A346" s="259" t="s">
        <v>600</v>
      </c>
      <c r="B346">
        <v>111262</v>
      </c>
      <c r="C346">
        <v>106849</v>
      </c>
      <c r="D346">
        <v>137782</v>
      </c>
      <c r="E346">
        <v>140478</v>
      </c>
      <c r="F346">
        <v>107409</v>
      </c>
      <c r="G346">
        <v>15660</v>
      </c>
      <c r="H346">
        <v>6611</v>
      </c>
      <c r="I346">
        <v>6804</v>
      </c>
      <c r="J346">
        <v>6665</v>
      </c>
      <c r="K346">
        <v>6628</v>
      </c>
      <c r="L346">
        <v>6617</v>
      </c>
      <c r="M346" s="13">
        <v>7030</v>
      </c>
    </row>
    <row r="347" spans="1:13">
      <c r="A347" s="258" t="s">
        <v>568</v>
      </c>
      <c r="B347">
        <v>132551808</v>
      </c>
      <c r="C347">
        <v>131342991</v>
      </c>
      <c r="D347">
        <v>207572339</v>
      </c>
      <c r="E347">
        <v>134565092</v>
      </c>
      <c r="F347">
        <v>121875592</v>
      </c>
      <c r="G347">
        <v>117556032</v>
      </c>
      <c r="H347">
        <v>134067303</v>
      </c>
      <c r="I347">
        <v>127817756</v>
      </c>
      <c r="J347">
        <v>120803051</v>
      </c>
      <c r="K347">
        <v>143164151</v>
      </c>
      <c r="L347">
        <v>145010082</v>
      </c>
      <c r="M347" s="13">
        <v>172622453</v>
      </c>
    </row>
    <row r="348" spans="1:13">
      <c r="A348" s="259" t="s">
        <v>594</v>
      </c>
      <c r="B348">
        <v>132551808</v>
      </c>
      <c r="C348">
        <v>131342991</v>
      </c>
      <c r="D348">
        <v>207572339</v>
      </c>
      <c r="E348">
        <v>134565092</v>
      </c>
      <c r="F348">
        <v>121875592</v>
      </c>
      <c r="G348">
        <v>117556032</v>
      </c>
      <c r="H348">
        <v>134067303</v>
      </c>
      <c r="I348">
        <v>127817756</v>
      </c>
      <c r="J348">
        <v>120803051</v>
      </c>
      <c r="K348">
        <v>143164151</v>
      </c>
      <c r="L348">
        <v>145010082</v>
      </c>
      <c r="M348" s="13">
        <v>172622453</v>
      </c>
    </row>
    <row r="349" spans="1:13">
      <c r="A349" s="258" t="s">
        <v>570</v>
      </c>
      <c r="B349">
        <v>3180612</v>
      </c>
      <c r="C349">
        <v>3100988</v>
      </c>
      <c r="D349">
        <v>2554036</v>
      </c>
      <c r="E349">
        <v>2653663</v>
      </c>
      <c r="F349">
        <v>1930451</v>
      </c>
      <c r="G349">
        <v>1474263</v>
      </c>
      <c r="H349">
        <v>1606937</v>
      </c>
      <c r="I349">
        <v>1642895</v>
      </c>
      <c r="J349">
        <v>1513883</v>
      </c>
      <c r="K349">
        <v>1652352</v>
      </c>
      <c r="L349">
        <v>2679106</v>
      </c>
      <c r="M349" s="13">
        <v>2207348</v>
      </c>
    </row>
    <row r="350" spans="1:13">
      <c r="A350" s="259" t="s">
        <v>679</v>
      </c>
      <c r="B350">
        <v>3180612</v>
      </c>
      <c r="C350">
        <v>3100988</v>
      </c>
      <c r="D350">
        <v>2554036</v>
      </c>
      <c r="E350">
        <v>2653663</v>
      </c>
      <c r="F350">
        <v>1930451</v>
      </c>
      <c r="G350">
        <v>1474263</v>
      </c>
      <c r="H350">
        <v>1606937</v>
      </c>
      <c r="I350">
        <v>1642895</v>
      </c>
      <c r="J350">
        <v>1513883</v>
      </c>
      <c r="K350">
        <v>1652352</v>
      </c>
      <c r="L350">
        <v>2679106</v>
      </c>
      <c r="M350" s="13">
        <v>2207348</v>
      </c>
    </row>
    <row r="351" spans="1:13">
      <c r="A351" s="257" t="s">
        <v>749</v>
      </c>
      <c r="B351">
        <v>497002</v>
      </c>
      <c r="C351">
        <v>510045</v>
      </c>
      <c r="D351">
        <v>840058</v>
      </c>
      <c r="E351">
        <v>823583</v>
      </c>
      <c r="F351">
        <v>758885</v>
      </c>
      <c r="G351">
        <v>777386</v>
      </c>
      <c r="H351">
        <v>856698</v>
      </c>
      <c r="I351">
        <v>1009870</v>
      </c>
      <c r="J351">
        <v>918936</v>
      </c>
      <c r="K351">
        <v>961354</v>
      </c>
      <c r="L351">
        <v>1052362</v>
      </c>
      <c r="M351" s="13">
        <v>1313901</v>
      </c>
    </row>
    <row r="352" spans="1:13">
      <c r="A352" s="258" t="s">
        <v>749</v>
      </c>
      <c r="B352">
        <v>497002</v>
      </c>
      <c r="C352">
        <v>510045</v>
      </c>
      <c r="D352">
        <v>840058</v>
      </c>
      <c r="E352">
        <v>823583</v>
      </c>
      <c r="F352">
        <v>758885</v>
      </c>
      <c r="G352">
        <v>777386</v>
      </c>
      <c r="H352">
        <v>856698</v>
      </c>
      <c r="I352">
        <v>1009870</v>
      </c>
      <c r="J352">
        <v>918936</v>
      </c>
      <c r="K352">
        <v>961354</v>
      </c>
      <c r="L352">
        <v>1052362</v>
      </c>
      <c r="M352" s="13">
        <v>1313901</v>
      </c>
    </row>
    <row r="353" spans="1:13">
      <c r="A353" s="259" t="s">
        <v>620</v>
      </c>
      <c r="B353">
        <v>497002</v>
      </c>
      <c r="C353">
        <v>510045</v>
      </c>
      <c r="D353">
        <v>840058</v>
      </c>
      <c r="E353">
        <v>823583</v>
      </c>
      <c r="F353">
        <v>758885</v>
      </c>
      <c r="G353">
        <v>777386</v>
      </c>
      <c r="H353">
        <v>856698</v>
      </c>
      <c r="I353">
        <v>1009870</v>
      </c>
      <c r="J353">
        <v>918936</v>
      </c>
      <c r="K353">
        <v>961354</v>
      </c>
      <c r="L353">
        <v>1052362</v>
      </c>
      <c r="M353" s="13">
        <v>1313901</v>
      </c>
    </row>
    <row r="354" spans="1:13">
      <c r="A354" s="256" t="s">
        <v>547</v>
      </c>
      <c r="B354">
        <v>676276986</v>
      </c>
      <c r="C354">
        <v>54096106</v>
      </c>
      <c r="D354">
        <v>69228065</v>
      </c>
      <c r="E354">
        <v>55807584</v>
      </c>
      <c r="F354">
        <v>60473749</v>
      </c>
      <c r="G354">
        <v>80865174</v>
      </c>
      <c r="H354">
        <v>114160187.89617932</v>
      </c>
      <c r="I354">
        <v>451225371</v>
      </c>
      <c r="J354">
        <v>320766629</v>
      </c>
      <c r="K354">
        <v>195224023</v>
      </c>
      <c r="L354">
        <v>264470998</v>
      </c>
      <c r="M354" s="13">
        <v>1128119851</v>
      </c>
    </row>
    <row r="355" spans="1:13">
      <c r="A355" s="257" t="s">
        <v>542</v>
      </c>
      <c r="B355">
        <v>674517878</v>
      </c>
      <c r="C355">
        <v>52358323</v>
      </c>
      <c r="D355">
        <v>67592162</v>
      </c>
      <c r="E355">
        <v>54180851</v>
      </c>
      <c r="F355">
        <v>58787177</v>
      </c>
      <c r="G355">
        <v>79184537</v>
      </c>
      <c r="H355">
        <v>112416614.37114133</v>
      </c>
      <c r="I355">
        <v>449695943</v>
      </c>
      <c r="J355">
        <v>318857559</v>
      </c>
      <c r="K355">
        <v>193370171</v>
      </c>
      <c r="L355">
        <v>262708856</v>
      </c>
      <c r="M355" s="13">
        <v>1126298034</v>
      </c>
    </row>
    <row r="356" spans="1:13">
      <c r="A356" s="258" t="s">
        <v>574</v>
      </c>
      <c r="F356">
        <v>4644</v>
      </c>
      <c r="G356">
        <v>6003</v>
      </c>
      <c r="H356">
        <v>9917.1098519999905</v>
      </c>
      <c r="I356">
        <v>53909</v>
      </c>
      <c r="J356">
        <v>186029</v>
      </c>
      <c r="K356">
        <v>268711</v>
      </c>
      <c r="L356">
        <v>129914</v>
      </c>
      <c r="M356" s="13">
        <v>823883</v>
      </c>
    </row>
    <row r="357" spans="1:13">
      <c r="A357" s="259" t="s">
        <v>370</v>
      </c>
      <c r="F357">
        <v>4644</v>
      </c>
      <c r="G357">
        <v>6003</v>
      </c>
      <c r="H357">
        <v>9917.1098519999905</v>
      </c>
      <c r="I357">
        <v>53909</v>
      </c>
      <c r="J357">
        <v>186029</v>
      </c>
      <c r="K357">
        <v>268711</v>
      </c>
      <c r="L357">
        <v>129914</v>
      </c>
      <c r="M357" s="13">
        <v>823883</v>
      </c>
    </row>
    <row r="358" spans="1:13">
      <c r="A358" s="258" t="s">
        <v>560</v>
      </c>
      <c r="K358">
        <v>149904</v>
      </c>
      <c r="L358">
        <v>0</v>
      </c>
      <c r="M358" s="13">
        <v>0</v>
      </c>
    </row>
    <row r="359" spans="1:13">
      <c r="A359" s="259">
        <v>0</v>
      </c>
      <c r="K359">
        <v>149904</v>
      </c>
      <c r="L359">
        <v>0</v>
      </c>
      <c r="M359" s="13">
        <v>0</v>
      </c>
    </row>
    <row r="360" spans="1:13">
      <c r="A360" s="258" t="s">
        <v>573</v>
      </c>
      <c r="C360">
        <v>0</v>
      </c>
      <c r="D360">
        <v>210375</v>
      </c>
      <c r="E360">
        <v>323715</v>
      </c>
      <c r="F360">
        <v>319654</v>
      </c>
      <c r="G360">
        <v>305018</v>
      </c>
      <c r="H360">
        <v>327145.55034830398</v>
      </c>
      <c r="I360">
        <v>211510</v>
      </c>
      <c r="J360">
        <v>344995</v>
      </c>
      <c r="K360">
        <v>200321</v>
      </c>
      <c r="L360">
        <v>0</v>
      </c>
      <c r="M360" s="13">
        <v>27266</v>
      </c>
    </row>
    <row r="361" spans="1:13">
      <c r="A361" s="259" t="s">
        <v>621</v>
      </c>
      <c r="C361">
        <v>0</v>
      </c>
      <c r="D361">
        <v>210375</v>
      </c>
      <c r="E361">
        <v>323715</v>
      </c>
      <c r="F361">
        <v>319654</v>
      </c>
      <c r="G361">
        <v>305018</v>
      </c>
      <c r="H361">
        <v>327145.55034830398</v>
      </c>
      <c r="I361">
        <v>211510</v>
      </c>
      <c r="J361">
        <v>344995</v>
      </c>
      <c r="K361">
        <v>200321</v>
      </c>
      <c r="L361">
        <v>0</v>
      </c>
      <c r="M361" s="13">
        <v>27266</v>
      </c>
    </row>
    <row r="362" spans="1:13">
      <c r="A362" s="258" t="s">
        <v>562</v>
      </c>
      <c r="B362">
        <v>4617164</v>
      </c>
      <c r="C362">
        <v>3751157</v>
      </c>
      <c r="D362">
        <v>4614580</v>
      </c>
      <c r="E362">
        <v>4657575</v>
      </c>
      <c r="F362">
        <v>4624259</v>
      </c>
      <c r="G362">
        <v>4360346</v>
      </c>
      <c r="H362">
        <v>4535924.9897238901</v>
      </c>
      <c r="I362">
        <v>2905468</v>
      </c>
      <c r="J362">
        <v>4747557</v>
      </c>
      <c r="K362">
        <v>4697332</v>
      </c>
      <c r="L362">
        <v>189</v>
      </c>
      <c r="M362" s="13">
        <v>3322610</v>
      </c>
    </row>
    <row r="363" spans="1:13">
      <c r="A363" s="259" t="s">
        <v>703</v>
      </c>
      <c r="B363">
        <v>4617164</v>
      </c>
      <c r="C363">
        <v>3751157</v>
      </c>
      <c r="D363">
        <v>4614580</v>
      </c>
      <c r="E363">
        <v>4657575</v>
      </c>
      <c r="F363">
        <v>4624259</v>
      </c>
      <c r="G363">
        <v>4360346</v>
      </c>
      <c r="H363">
        <v>4535924.9897238901</v>
      </c>
      <c r="I363">
        <v>2905468</v>
      </c>
      <c r="J363">
        <v>4747557</v>
      </c>
      <c r="K363">
        <v>4697332</v>
      </c>
      <c r="L363">
        <v>189</v>
      </c>
      <c r="M363" s="13">
        <v>3322610</v>
      </c>
    </row>
    <row r="364" spans="1:13">
      <c r="A364" s="258" t="s">
        <v>542</v>
      </c>
      <c r="B364">
        <v>638887126</v>
      </c>
      <c r="C364">
        <v>29376567</v>
      </c>
      <c r="D364">
        <v>34676260</v>
      </c>
      <c r="E364">
        <v>12910351</v>
      </c>
      <c r="F364">
        <v>17609247</v>
      </c>
      <c r="G364">
        <v>28453083</v>
      </c>
      <c r="H364">
        <v>56354195.714549556</v>
      </c>
      <c r="I364">
        <v>402442937</v>
      </c>
      <c r="J364">
        <v>244119781</v>
      </c>
      <c r="K364">
        <v>110970321</v>
      </c>
      <c r="L364">
        <v>227456331</v>
      </c>
      <c r="M364" s="13">
        <v>1038612814</v>
      </c>
    </row>
    <row r="365" spans="1:13">
      <c r="A365" s="259" t="s">
        <v>591</v>
      </c>
      <c r="B365">
        <v>683485</v>
      </c>
      <c r="C365">
        <v>504939</v>
      </c>
      <c r="D365">
        <v>564021</v>
      </c>
      <c r="E365">
        <v>677876</v>
      </c>
      <c r="F365">
        <v>595881</v>
      </c>
      <c r="G365">
        <v>664709</v>
      </c>
      <c r="H365">
        <v>530501.09327413305</v>
      </c>
      <c r="I365">
        <v>385591</v>
      </c>
      <c r="J365">
        <v>246345</v>
      </c>
      <c r="K365">
        <v>690052</v>
      </c>
      <c r="L365">
        <v>2707</v>
      </c>
      <c r="M365" s="13">
        <v>661578774</v>
      </c>
    </row>
    <row r="366" spans="1:13">
      <c r="A366" s="259" t="s">
        <v>598</v>
      </c>
      <c r="B366">
        <v>702</v>
      </c>
      <c r="C366">
        <v>335</v>
      </c>
      <c r="D366">
        <v>305</v>
      </c>
      <c r="E366">
        <v>335</v>
      </c>
      <c r="F366">
        <v>355</v>
      </c>
      <c r="G366">
        <v>344</v>
      </c>
      <c r="H366">
        <v>340.91250228800499</v>
      </c>
      <c r="I366">
        <v>254</v>
      </c>
      <c r="J366">
        <v>409</v>
      </c>
      <c r="K366">
        <v>410</v>
      </c>
      <c r="L366">
        <v>0</v>
      </c>
      <c r="M366" s="13">
        <v>347</v>
      </c>
    </row>
    <row r="367" spans="1:13">
      <c r="A367" s="259" t="s">
        <v>635</v>
      </c>
      <c r="B367">
        <v>341797</v>
      </c>
      <c r="C367">
        <v>210979</v>
      </c>
      <c r="D367">
        <v>2328869</v>
      </c>
      <c r="E367">
        <v>2499826</v>
      </c>
      <c r="F367">
        <v>2285733</v>
      </c>
      <c r="G367">
        <v>6979647</v>
      </c>
      <c r="H367">
        <v>3468765.5509170601</v>
      </c>
      <c r="I367">
        <v>6545877</v>
      </c>
      <c r="J367">
        <v>28793186</v>
      </c>
      <c r="K367">
        <v>29723833</v>
      </c>
      <c r="L367">
        <v>20637978</v>
      </c>
      <c r="M367" s="13">
        <v>189815905</v>
      </c>
    </row>
    <row r="368" spans="1:13">
      <c r="A368" s="259" t="s">
        <v>716</v>
      </c>
      <c r="I368">
        <v>276</v>
      </c>
      <c r="J368">
        <v>542</v>
      </c>
      <c r="K368">
        <v>586</v>
      </c>
      <c r="L368">
        <v>0</v>
      </c>
      <c r="M368" s="13">
        <v>404</v>
      </c>
    </row>
    <row r="369" spans="1:13">
      <c r="A369" s="259" t="s">
        <v>596</v>
      </c>
      <c r="G369">
        <v>2336492</v>
      </c>
      <c r="H369">
        <v>8927822.8531691395</v>
      </c>
      <c r="I369">
        <v>8747708</v>
      </c>
      <c r="J369">
        <v>16179974</v>
      </c>
      <c r="K369">
        <v>25834107</v>
      </c>
      <c r="L369">
        <v>52995401</v>
      </c>
      <c r="M369" s="13">
        <v>47017928</v>
      </c>
    </row>
    <row r="370" spans="1:13">
      <c r="A370" s="259" t="s">
        <v>370</v>
      </c>
      <c r="B370">
        <v>637781507</v>
      </c>
      <c r="C370">
        <v>28604860</v>
      </c>
      <c r="D370">
        <v>31755869</v>
      </c>
      <c r="E370">
        <v>9202491</v>
      </c>
      <c r="F370">
        <v>14414991</v>
      </c>
      <c r="G370">
        <v>18411282</v>
      </c>
      <c r="H370">
        <v>43392944.677954949</v>
      </c>
      <c r="I370">
        <v>386737664</v>
      </c>
      <c r="J370">
        <v>198779260</v>
      </c>
      <c r="K370">
        <v>54477338</v>
      </c>
      <c r="L370">
        <v>153820241</v>
      </c>
      <c r="M370" s="13">
        <v>140136110</v>
      </c>
    </row>
    <row r="371" spans="1:13">
      <c r="A371" s="259" t="s">
        <v>653</v>
      </c>
      <c r="E371">
        <v>498381</v>
      </c>
      <c r="F371">
        <v>280370</v>
      </c>
      <c r="G371">
        <v>29853</v>
      </c>
      <c r="H371">
        <v>1972.6771002754699</v>
      </c>
      <c r="I371">
        <v>5090</v>
      </c>
      <c r="J371">
        <v>70283</v>
      </c>
      <c r="K371">
        <v>211224</v>
      </c>
      <c r="L371">
        <v>3</v>
      </c>
      <c r="M371" s="13">
        <v>35228</v>
      </c>
    </row>
    <row r="372" spans="1:13">
      <c r="A372" s="259" t="s">
        <v>611</v>
      </c>
      <c r="B372">
        <v>79635</v>
      </c>
      <c r="C372">
        <v>55454</v>
      </c>
      <c r="D372">
        <v>27196</v>
      </c>
      <c r="E372">
        <v>31442</v>
      </c>
      <c r="F372">
        <v>31917</v>
      </c>
      <c r="G372">
        <v>30756</v>
      </c>
      <c r="H372">
        <v>31847.9496317054</v>
      </c>
      <c r="I372">
        <v>20477</v>
      </c>
      <c r="J372">
        <v>49782</v>
      </c>
      <c r="K372">
        <v>32771</v>
      </c>
      <c r="L372">
        <v>1</v>
      </c>
      <c r="M372" s="13">
        <v>28118</v>
      </c>
    </row>
    <row r="373" spans="1:13">
      <c r="A373" s="258" t="s">
        <v>581</v>
      </c>
      <c r="K373">
        <v>881</v>
      </c>
      <c r="L373">
        <v>0</v>
      </c>
      <c r="M373" s="13">
        <v>125</v>
      </c>
    </row>
    <row r="374" spans="1:13">
      <c r="A374" s="259" t="s">
        <v>370</v>
      </c>
      <c r="K374">
        <v>881</v>
      </c>
      <c r="L374">
        <v>0</v>
      </c>
      <c r="M374" s="13">
        <v>125</v>
      </c>
    </row>
    <row r="375" spans="1:13">
      <c r="A375" s="258" t="s">
        <v>565</v>
      </c>
      <c r="B375">
        <v>29785612</v>
      </c>
      <c r="C375">
        <v>18023639</v>
      </c>
      <c r="D375">
        <v>24304360</v>
      </c>
      <c r="E375">
        <v>31558871</v>
      </c>
      <c r="F375">
        <v>32141643</v>
      </c>
      <c r="G375">
        <v>40572449</v>
      </c>
      <c r="H375">
        <v>46471422.151691161</v>
      </c>
      <c r="I375">
        <v>33916708</v>
      </c>
      <c r="J375">
        <v>54902746</v>
      </c>
      <c r="K375">
        <v>59291320</v>
      </c>
      <c r="L375">
        <v>2493</v>
      </c>
      <c r="M375" s="13">
        <v>40179134</v>
      </c>
    </row>
    <row r="376" spans="1:13">
      <c r="A376" s="259" t="s">
        <v>370</v>
      </c>
      <c r="B376">
        <v>29785612</v>
      </c>
      <c r="C376">
        <v>18023639</v>
      </c>
      <c r="D376">
        <v>24304360</v>
      </c>
      <c r="E376">
        <v>31558871</v>
      </c>
      <c r="F376">
        <v>32141643</v>
      </c>
      <c r="G376">
        <v>40572449</v>
      </c>
      <c r="H376">
        <v>46471422.151691161</v>
      </c>
      <c r="I376">
        <v>33916708</v>
      </c>
      <c r="J376">
        <v>54902746</v>
      </c>
      <c r="K376">
        <v>59291320</v>
      </c>
      <c r="L376">
        <v>2493</v>
      </c>
      <c r="M376" s="13">
        <v>40179134</v>
      </c>
    </row>
    <row r="377" spans="1:13">
      <c r="A377" s="258" t="s">
        <v>568</v>
      </c>
      <c r="B377">
        <v>1225398</v>
      </c>
      <c r="C377">
        <v>1204909</v>
      </c>
      <c r="D377">
        <v>3784253</v>
      </c>
      <c r="E377">
        <v>4727708</v>
      </c>
      <c r="F377">
        <v>4086955</v>
      </c>
      <c r="G377">
        <v>5487568</v>
      </c>
      <c r="H377">
        <v>4717562.0542793479</v>
      </c>
      <c r="I377">
        <v>10157147</v>
      </c>
      <c r="J377">
        <v>14545246</v>
      </c>
      <c r="K377">
        <v>17787372</v>
      </c>
      <c r="L377">
        <v>35119929</v>
      </c>
      <c r="M377" s="13">
        <v>43317522</v>
      </c>
    </row>
    <row r="378" spans="1:13">
      <c r="A378" s="259" t="s">
        <v>594</v>
      </c>
      <c r="C378">
        <v>0</v>
      </c>
      <c r="D378">
        <v>733359</v>
      </c>
      <c r="E378">
        <v>959829</v>
      </c>
      <c r="F378">
        <v>1478752</v>
      </c>
      <c r="G378">
        <v>1627186</v>
      </c>
      <c r="H378">
        <v>3284536.6306779301</v>
      </c>
      <c r="I378">
        <v>8594593</v>
      </c>
      <c r="J378">
        <v>13854425</v>
      </c>
      <c r="K378">
        <v>17044059</v>
      </c>
      <c r="L378">
        <v>35039556</v>
      </c>
      <c r="M378" s="13">
        <v>39754571</v>
      </c>
    </row>
    <row r="379" spans="1:13">
      <c r="A379" s="259" t="s">
        <v>629</v>
      </c>
      <c r="C379">
        <v>0</v>
      </c>
      <c r="D379">
        <v>1894451</v>
      </c>
      <c r="E379">
        <v>2611215</v>
      </c>
      <c r="F379">
        <v>1408489</v>
      </c>
      <c r="G379">
        <v>2509878</v>
      </c>
      <c r="H379">
        <v>228591.48155885801</v>
      </c>
      <c r="I379">
        <v>627911</v>
      </c>
      <c r="J379">
        <v>388893</v>
      </c>
      <c r="K379">
        <v>63317</v>
      </c>
      <c r="L379">
        <v>80343</v>
      </c>
      <c r="M379" s="13">
        <v>67723</v>
      </c>
    </row>
    <row r="380" spans="1:13">
      <c r="A380" s="259" t="s">
        <v>370</v>
      </c>
      <c r="B380">
        <v>1225398</v>
      </c>
      <c r="C380">
        <v>1204909</v>
      </c>
      <c r="D380">
        <v>1156443</v>
      </c>
      <c r="E380">
        <v>1156664</v>
      </c>
      <c r="F380">
        <v>1199714</v>
      </c>
      <c r="G380">
        <v>1350504</v>
      </c>
      <c r="H380">
        <v>1204433.9420425599</v>
      </c>
      <c r="I380">
        <v>934643</v>
      </c>
      <c r="J380">
        <v>301928</v>
      </c>
      <c r="K380">
        <v>679996</v>
      </c>
      <c r="L380">
        <v>30</v>
      </c>
      <c r="M380" s="13">
        <v>3495228</v>
      </c>
    </row>
    <row r="381" spans="1:13">
      <c r="A381" s="259" t="s">
        <v>669</v>
      </c>
      <c r="K381">
        <v>0</v>
      </c>
      <c r="L381">
        <v>0</v>
      </c>
      <c r="M381" s="13">
        <v>0</v>
      </c>
    </row>
    <row r="382" spans="1:13">
      <c r="A382" s="258" t="s">
        <v>569</v>
      </c>
      <c r="F382">
        <v>42</v>
      </c>
      <c r="G382">
        <v>23</v>
      </c>
      <c r="H382">
        <v>406.20200048818901</v>
      </c>
      <c r="I382">
        <v>8243</v>
      </c>
      <c r="J382">
        <v>11205</v>
      </c>
      <c r="K382">
        <v>4009</v>
      </c>
      <c r="L382">
        <v>0</v>
      </c>
      <c r="M382" s="13">
        <v>14680</v>
      </c>
    </row>
    <row r="383" spans="1:13">
      <c r="A383" s="259" t="s">
        <v>370</v>
      </c>
      <c r="F383">
        <v>42</v>
      </c>
      <c r="G383">
        <v>23</v>
      </c>
      <c r="H383">
        <v>406.20200048818901</v>
      </c>
      <c r="I383">
        <v>8243</v>
      </c>
      <c r="J383">
        <v>11205</v>
      </c>
      <c r="K383">
        <v>4009</v>
      </c>
      <c r="L383">
        <v>0</v>
      </c>
      <c r="M383" s="13">
        <v>14680</v>
      </c>
    </row>
    <row r="384" spans="1:13">
      <c r="A384" s="258" t="s">
        <v>577</v>
      </c>
      <c r="B384">
        <v>2578</v>
      </c>
      <c r="C384">
        <v>2051</v>
      </c>
      <c r="D384">
        <v>2334</v>
      </c>
      <c r="E384">
        <v>2631</v>
      </c>
      <c r="F384">
        <v>733</v>
      </c>
      <c r="G384">
        <v>47</v>
      </c>
      <c r="H384">
        <v>40.5986965857821</v>
      </c>
      <c r="I384">
        <v>21</v>
      </c>
      <c r="J384">
        <v>0</v>
      </c>
      <c r="K384">
        <v>0</v>
      </c>
      <c r="L384">
        <v>0</v>
      </c>
      <c r="M384" s="13">
        <v>0</v>
      </c>
    </row>
    <row r="385" spans="1:13">
      <c r="A385" s="259" t="s">
        <v>370</v>
      </c>
      <c r="B385">
        <v>2578</v>
      </c>
      <c r="C385">
        <v>2051</v>
      </c>
      <c r="D385">
        <v>2334</v>
      </c>
      <c r="E385">
        <v>2631</v>
      </c>
      <c r="F385">
        <v>733</v>
      </c>
      <c r="G385">
        <v>47</v>
      </c>
      <c r="H385">
        <v>40.5986965857821</v>
      </c>
      <c r="I385">
        <v>21</v>
      </c>
      <c r="J385">
        <v>0</v>
      </c>
      <c r="K385">
        <v>0</v>
      </c>
      <c r="L385">
        <v>0</v>
      </c>
      <c r="M385" s="13">
        <v>0</v>
      </c>
    </row>
    <row r="386" spans="1:13">
      <c r="A386" s="257" t="s">
        <v>569</v>
      </c>
      <c r="J386">
        <v>0</v>
      </c>
      <c r="K386">
        <v>0</v>
      </c>
      <c r="L386">
        <v>0</v>
      </c>
      <c r="M386" s="13">
        <v>0</v>
      </c>
    </row>
    <row r="387" spans="1:13">
      <c r="A387" s="258" t="s">
        <v>569</v>
      </c>
      <c r="J387">
        <v>0</v>
      </c>
      <c r="K387">
        <v>0</v>
      </c>
      <c r="L387">
        <v>0</v>
      </c>
      <c r="M387" s="13">
        <v>0</v>
      </c>
    </row>
    <row r="388" spans="1:13">
      <c r="A388" s="259" t="s">
        <v>370</v>
      </c>
      <c r="J388">
        <v>0</v>
      </c>
      <c r="K388">
        <v>0</v>
      </c>
      <c r="L388">
        <v>0</v>
      </c>
      <c r="M388" s="13">
        <v>0</v>
      </c>
    </row>
    <row r="389" spans="1:13">
      <c r="A389" s="257" t="s">
        <v>749</v>
      </c>
      <c r="B389">
        <v>1759108</v>
      </c>
      <c r="C389">
        <v>1737783</v>
      </c>
      <c r="D389">
        <v>1635903</v>
      </c>
      <c r="E389">
        <v>1626733</v>
      </c>
      <c r="F389">
        <v>1686572</v>
      </c>
      <c r="G389">
        <v>1680637</v>
      </c>
      <c r="H389">
        <v>1743573.525037999</v>
      </c>
      <c r="I389">
        <v>1529428</v>
      </c>
      <c r="J389">
        <v>1909070</v>
      </c>
      <c r="K389">
        <v>1853852</v>
      </c>
      <c r="L389">
        <v>1762142</v>
      </c>
      <c r="M389" s="13">
        <v>1821817</v>
      </c>
    </row>
    <row r="390" spans="1:13">
      <c r="A390" s="258" t="s">
        <v>749</v>
      </c>
      <c r="B390">
        <v>1759108</v>
      </c>
      <c r="C390">
        <v>1737783</v>
      </c>
      <c r="D390">
        <v>1635903</v>
      </c>
      <c r="E390">
        <v>1626733</v>
      </c>
      <c r="F390">
        <v>1686572</v>
      </c>
      <c r="G390">
        <v>1680637</v>
      </c>
      <c r="H390">
        <v>1743573.525037999</v>
      </c>
      <c r="I390">
        <v>1529428</v>
      </c>
      <c r="J390">
        <v>1909070</v>
      </c>
      <c r="K390">
        <v>1853852</v>
      </c>
      <c r="L390">
        <v>1762142</v>
      </c>
      <c r="M390" s="13">
        <v>1821817</v>
      </c>
    </row>
    <row r="391" spans="1:13">
      <c r="A391" s="259" t="s">
        <v>370</v>
      </c>
      <c r="B391">
        <v>928486</v>
      </c>
      <c r="C391">
        <v>925228</v>
      </c>
      <c r="D391">
        <v>862379</v>
      </c>
      <c r="E391">
        <v>865362</v>
      </c>
      <c r="F391">
        <v>900332</v>
      </c>
      <c r="G391">
        <v>891546</v>
      </c>
      <c r="H391">
        <v>948891.25344799901</v>
      </c>
      <c r="I391">
        <v>833180</v>
      </c>
      <c r="J391">
        <v>1079452</v>
      </c>
      <c r="K391">
        <v>1045524</v>
      </c>
      <c r="L391">
        <v>956327</v>
      </c>
      <c r="M391" s="13">
        <v>1017054</v>
      </c>
    </row>
    <row r="392" spans="1:13">
      <c r="A392" s="259" t="s">
        <v>703</v>
      </c>
      <c r="B392">
        <v>830622</v>
      </c>
      <c r="C392">
        <v>812555</v>
      </c>
      <c r="D392">
        <v>773524</v>
      </c>
      <c r="E392">
        <v>761371</v>
      </c>
      <c r="F392">
        <v>786240</v>
      </c>
      <c r="G392">
        <v>789091</v>
      </c>
      <c r="H392">
        <v>794682.27159000002</v>
      </c>
      <c r="I392">
        <v>696248</v>
      </c>
      <c r="J392">
        <v>829618</v>
      </c>
      <c r="K392">
        <v>808328</v>
      </c>
      <c r="L392">
        <v>805815</v>
      </c>
      <c r="M392" s="13">
        <v>804763</v>
      </c>
    </row>
    <row r="393" spans="1:13">
      <c r="A393" s="256" t="s">
        <v>526</v>
      </c>
      <c r="B393">
        <v>6111369</v>
      </c>
      <c r="C393">
        <v>7494680</v>
      </c>
      <c r="D393">
        <v>20286426</v>
      </c>
      <c r="E393">
        <v>22034872</v>
      </c>
      <c r="F393">
        <v>22923218</v>
      </c>
      <c r="G393">
        <v>30784589</v>
      </c>
      <c r="H393">
        <v>47010952</v>
      </c>
      <c r="I393">
        <v>59204334</v>
      </c>
      <c r="J393">
        <v>454188112</v>
      </c>
      <c r="K393">
        <v>57039828</v>
      </c>
      <c r="L393">
        <v>57762345</v>
      </c>
      <c r="M393" s="13">
        <v>59109743</v>
      </c>
    </row>
    <row r="394" spans="1:13">
      <c r="A394" s="257" t="s">
        <v>542</v>
      </c>
      <c r="B394">
        <v>6111369</v>
      </c>
      <c r="C394">
        <v>7494680</v>
      </c>
      <c r="D394">
        <v>20286426</v>
      </c>
      <c r="E394">
        <v>22034872</v>
      </c>
      <c r="F394">
        <v>22923218</v>
      </c>
      <c r="G394">
        <v>30784589</v>
      </c>
      <c r="H394">
        <v>47010952</v>
      </c>
      <c r="I394">
        <v>59204334</v>
      </c>
      <c r="J394">
        <v>454188112</v>
      </c>
      <c r="K394">
        <v>57039828</v>
      </c>
      <c r="L394">
        <v>57762345</v>
      </c>
      <c r="M394" s="13">
        <v>59109743</v>
      </c>
    </row>
    <row r="395" spans="1:13">
      <c r="A395" s="258" t="s">
        <v>542</v>
      </c>
      <c r="B395">
        <v>6111369</v>
      </c>
      <c r="C395">
        <v>7494680</v>
      </c>
      <c r="D395">
        <v>20286426</v>
      </c>
      <c r="E395">
        <v>22034872</v>
      </c>
      <c r="F395">
        <v>22923218</v>
      </c>
      <c r="G395">
        <v>30784589</v>
      </c>
      <c r="H395">
        <v>47010952</v>
      </c>
      <c r="I395">
        <v>59204334</v>
      </c>
      <c r="J395">
        <v>454188112</v>
      </c>
      <c r="K395">
        <v>57039828</v>
      </c>
      <c r="L395">
        <v>57762345</v>
      </c>
      <c r="M395" s="13">
        <v>59109743</v>
      </c>
    </row>
    <row r="396" spans="1:13">
      <c r="A396" s="259" t="s">
        <v>370</v>
      </c>
      <c r="B396">
        <v>6111369</v>
      </c>
      <c r="C396">
        <v>7494680</v>
      </c>
      <c r="D396">
        <v>20286426</v>
      </c>
      <c r="E396">
        <v>22034872</v>
      </c>
      <c r="F396">
        <v>22923218</v>
      </c>
      <c r="G396">
        <v>30784589</v>
      </c>
      <c r="H396">
        <v>47010952</v>
      </c>
      <c r="I396">
        <v>59204334</v>
      </c>
      <c r="J396">
        <v>454188112</v>
      </c>
      <c r="K396">
        <v>57039828</v>
      </c>
      <c r="L396">
        <v>57762345</v>
      </c>
      <c r="M396" s="13">
        <v>59109743</v>
      </c>
    </row>
    <row r="397" spans="1:13">
      <c r="A397" s="256" t="s">
        <v>732</v>
      </c>
      <c r="B397">
        <v>429398276</v>
      </c>
      <c r="C397">
        <v>443473152</v>
      </c>
      <c r="D397">
        <v>405592629</v>
      </c>
      <c r="E397">
        <v>465489756</v>
      </c>
      <c r="F397">
        <v>444720094</v>
      </c>
      <c r="G397">
        <v>428739518</v>
      </c>
      <c r="H397">
        <v>431234457</v>
      </c>
      <c r="I397">
        <v>486026742</v>
      </c>
      <c r="J397">
        <v>498737722</v>
      </c>
      <c r="K397">
        <v>508054288</v>
      </c>
      <c r="L397">
        <v>469289205</v>
      </c>
      <c r="M397" s="13">
        <v>547269101</v>
      </c>
    </row>
    <row r="398" spans="1:13">
      <c r="A398" s="257" t="s">
        <v>542</v>
      </c>
      <c r="B398">
        <v>429398276</v>
      </c>
      <c r="C398">
        <v>443473152</v>
      </c>
      <c r="D398">
        <v>405592629</v>
      </c>
      <c r="E398">
        <v>465489756</v>
      </c>
      <c r="F398">
        <v>444720094</v>
      </c>
      <c r="G398">
        <v>428739518</v>
      </c>
      <c r="H398">
        <v>431234457</v>
      </c>
      <c r="I398">
        <v>486026742</v>
      </c>
      <c r="J398">
        <v>498737722</v>
      </c>
      <c r="K398">
        <v>508054288</v>
      </c>
      <c r="L398">
        <v>469289205</v>
      </c>
      <c r="M398" s="13">
        <v>547269101</v>
      </c>
    </row>
    <row r="399" spans="1:13">
      <c r="A399" s="258" t="s">
        <v>571</v>
      </c>
      <c r="B399">
        <v>0</v>
      </c>
      <c r="C399">
        <v>0</v>
      </c>
      <c r="D399">
        <v>7987883</v>
      </c>
      <c r="E399">
        <v>0</v>
      </c>
      <c r="F399">
        <v>0</v>
      </c>
      <c r="G399">
        <v>0</v>
      </c>
      <c r="H399">
        <v>0</v>
      </c>
      <c r="I399">
        <v>0</v>
      </c>
      <c r="J399">
        <v>0</v>
      </c>
      <c r="K399">
        <v>0</v>
      </c>
      <c r="L399">
        <v>0</v>
      </c>
      <c r="M399" s="13">
        <v>0</v>
      </c>
    </row>
    <row r="400" spans="1:13">
      <c r="A400" s="259" t="s">
        <v>594</v>
      </c>
      <c r="B400">
        <v>0</v>
      </c>
      <c r="C400">
        <v>0</v>
      </c>
      <c r="D400">
        <v>7987883</v>
      </c>
      <c r="E400">
        <v>0</v>
      </c>
      <c r="F400">
        <v>0</v>
      </c>
      <c r="G400">
        <v>0</v>
      </c>
      <c r="H400">
        <v>0</v>
      </c>
      <c r="I400">
        <v>0</v>
      </c>
      <c r="J400">
        <v>0</v>
      </c>
      <c r="K400">
        <v>0</v>
      </c>
      <c r="L400">
        <v>0</v>
      </c>
      <c r="M400" s="13">
        <v>0</v>
      </c>
    </row>
    <row r="401" spans="1:13">
      <c r="A401" s="258" t="s">
        <v>542</v>
      </c>
      <c r="B401">
        <v>421097890</v>
      </c>
      <c r="C401">
        <v>435949623</v>
      </c>
      <c r="D401">
        <v>390488136</v>
      </c>
      <c r="E401">
        <v>457128597</v>
      </c>
      <c r="F401">
        <v>437811771</v>
      </c>
      <c r="G401">
        <v>422625236</v>
      </c>
      <c r="H401">
        <v>425517575</v>
      </c>
      <c r="I401">
        <v>479748262</v>
      </c>
      <c r="J401">
        <v>492447110</v>
      </c>
      <c r="K401">
        <v>501316334</v>
      </c>
      <c r="L401">
        <v>464668568</v>
      </c>
      <c r="M401" s="13">
        <v>527722914</v>
      </c>
    </row>
    <row r="402" spans="1:13">
      <c r="A402" s="259" t="s">
        <v>624</v>
      </c>
      <c r="B402">
        <v>413169168</v>
      </c>
      <c r="C402">
        <v>425020115</v>
      </c>
      <c r="D402">
        <v>385454092</v>
      </c>
      <c r="E402">
        <v>442653019</v>
      </c>
      <c r="F402">
        <v>432224651</v>
      </c>
      <c r="G402">
        <v>416853278</v>
      </c>
      <c r="H402">
        <v>421105324</v>
      </c>
      <c r="I402">
        <v>471569081</v>
      </c>
      <c r="J402">
        <v>442092836</v>
      </c>
      <c r="K402">
        <v>492137181</v>
      </c>
      <c r="L402">
        <v>459437153</v>
      </c>
      <c r="M402" s="13">
        <v>518645332</v>
      </c>
    </row>
    <row r="403" spans="1:13">
      <c r="A403" s="259" t="s">
        <v>594</v>
      </c>
      <c r="B403">
        <v>486745</v>
      </c>
      <c r="C403">
        <v>482310</v>
      </c>
      <c r="D403">
        <v>456741</v>
      </c>
      <c r="E403">
        <v>682864</v>
      </c>
      <c r="F403">
        <v>484847</v>
      </c>
      <c r="G403">
        <v>473804</v>
      </c>
      <c r="H403">
        <v>499777</v>
      </c>
      <c r="I403">
        <v>494789</v>
      </c>
      <c r="J403">
        <v>506091</v>
      </c>
      <c r="K403">
        <v>505432</v>
      </c>
      <c r="L403">
        <v>461350</v>
      </c>
      <c r="M403" s="13">
        <v>533795</v>
      </c>
    </row>
    <row r="404" spans="1:13">
      <c r="A404" s="259" t="s">
        <v>370</v>
      </c>
      <c r="B404">
        <v>7396573</v>
      </c>
      <c r="C404">
        <v>10402236</v>
      </c>
      <c r="D404">
        <v>4534747</v>
      </c>
      <c r="E404">
        <v>13747514</v>
      </c>
      <c r="F404">
        <v>5056908</v>
      </c>
      <c r="G404">
        <v>5253241</v>
      </c>
      <c r="H404">
        <v>3865947</v>
      </c>
      <c r="I404">
        <v>7635901</v>
      </c>
      <c r="J404">
        <v>49800674</v>
      </c>
      <c r="K404">
        <v>8626540</v>
      </c>
      <c r="L404">
        <v>4727017</v>
      </c>
      <c r="M404" s="13">
        <v>8494059</v>
      </c>
    </row>
    <row r="405" spans="1:13">
      <c r="A405" s="259" t="s">
        <v>600</v>
      </c>
      <c r="B405">
        <v>45404</v>
      </c>
      <c r="C405">
        <v>44962</v>
      </c>
      <c r="D405">
        <v>42556</v>
      </c>
      <c r="E405">
        <v>45200</v>
      </c>
      <c r="F405">
        <v>45365</v>
      </c>
      <c r="G405">
        <v>44913</v>
      </c>
      <c r="H405">
        <v>46527</v>
      </c>
      <c r="I405">
        <v>48491</v>
      </c>
      <c r="J405">
        <v>47509</v>
      </c>
      <c r="K405">
        <v>47181</v>
      </c>
      <c r="L405">
        <v>43048</v>
      </c>
      <c r="M405" s="13">
        <v>49728</v>
      </c>
    </row>
    <row r="406" spans="1:13">
      <c r="A406" s="258" t="s">
        <v>568</v>
      </c>
      <c r="B406">
        <v>8300386</v>
      </c>
      <c r="C406">
        <v>7523529</v>
      </c>
      <c r="D406">
        <v>7116610</v>
      </c>
      <c r="E406">
        <v>8361159</v>
      </c>
      <c r="F406">
        <v>6908323</v>
      </c>
      <c r="G406">
        <v>6114282</v>
      </c>
      <c r="H406">
        <v>5716882</v>
      </c>
      <c r="I406">
        <v>6278480</v>
      </c>
      <c r="J406">
        <v>6290612</v>
      </c>
      <c r="K406">
        <v>6737954</v>
      </c>
      <c r="L406">
        <v>4620637</v>
      </c>
      <c r="M406" s="13">
        <v>19546187</v>
      </c>
    </row>
    <row r="407" spans="1:13">
      <c r="A407" s="259" t="s">
        <v>594</v>
      </c>
      <c r="B407">
        <v>8300386</v>
      </c>
      <c r="C407">
        <v>7523529</v>
      </c>
      <c r="D407">
        <v>7116610</v>
      </c>
      <c r="E407">
        <v>8361159</v>
      </c>
      <c r="F407">
        <v>6908323</v>
      </c>
      <c r="G407">
        <v>6114282</v>
      </c>
      <c r="H407">
        <v>5716882</v>
      </c>
      <c r="I407">
        <v>6278480</v>
      </c>
      <c r="J407">
        <v>6290612</v>
      </c>
      <c r="K407">
        <v>6737954</v>
      </c>
      <c r="L407">
        <v>4620637</v>
      </c>
      <c r="M407" s="13">
        <v>19546187</v>
      </c>
    </row>
    <row r="408" spans="1:13">
      <c r="A408" s="256" t="s">
        <v>735</v>
      </c>
      <c r="B408">
        <v>64164937</v>
      </c>
      <c r="C408">
        <v>74234092</v>
      </c>
      <c r="D408">
        <v>71498209</v>
      </c>
      <c r="E408">
        <v>68361343</v>
      </c>
      <c r="F408">
        <v>68754163</v>
      </c>
      <c r="G408">
        <v>68401747</v>
      </c>
      <c r="H408">
        <v>81891769.049999997</v>
      </c>
      <c r="I408">
        <v>80894199.75</v>
      </c>
      <c r="J408">
        <v>83662050</v>
      </c>
      <c r="K408">
        <v>89156709</v>
      </c>
      <c r="L408">
        <v>87099504</v>
      </c>
      <c r="M408" s="13">
        <v>116006257</v>
      </c>
    </row>
    <row r="409" spans="1:13">
      <c r="A409" s="257" t="s">
        <v>542</v>
      </c>
      <c r="B409">
        <v>64164937</v>
      </c>
      <c r="C409">
        <v>74234092</v>
      </c>
      <c r="D409">
        <v>71498209</v>
      </c>
      <c r="E409">
        <v>68361343</v>
      </c>
      <c r="F409">
        <v>68754163</v>
      </c>
      <c r="G409">
        <v>68401747</v>
      </c>
      <c r="H409">
        <v>81891769.049999997</v>
      </c>
      <c r="I409">
        <v>80894199.75</v>
      </c>
      <c r="J409">
        <v>83662050</v>
      </c>
      <c r="K409">
        <v>89156709</v>
      </c>
      <c r="L409">
        <v>87099504</v>
      </c>
      <c r="M409" s="13">
        <v>116006257</v>
      </c>
    </row>
    <row r="410" spans="1:13">
      <c r="A410" s="258" t="s">
        <v>568</v>
      </c>
      <c r="B410">
        <v>64164937</v>
      </c>
      <c r="C410">
        <v>74234092</v>
      </c>
      <c r="D410">
        <v>71498209</v>
      </c>
      <c r="E410">
        <v>68361343</v>
      </c>
      <c r="F410">
        <v>68754163</v>
      </c>
      <c r="G410">
        <v>68401747</v>
      </c>
      <c r="H410">
        <v>81891769.049999997</v>
      </c>
      <c r="I410">
        <v>80894199.75</v>
      </c>
      <c r="J410">
        <v>83662050</v>
      </c>
      <c r="K410">
        <v>89156709</v>
      </c>
      <c r="L410">
        <v>87099504</v>
      </c>
      <c r="M410" s="13">
        <v>116006257</v>
      </c>
    </row>
    <row r="411" spans="1:13">
      <c r="A411" s="259" t="s">
        <v>594</v>
      </c>
      <c r="B411">
        <v>64164937</v>
      </c>
      <c r="C411">
        <v>74234092</v>
      </c>
      <c r="D411">
        <v>71498209</v>
      </c>
      <c r="E411">
        <v>68361343</v>
      </c>
      <c r="F411">
        <v>68754163</v>
      </c>
      <c r="G411">
        <v>68401747</v>
      </c>
      <c r="H411">
        <v>81891769.049999997</v>
      </c>
      <c r="I411">
        <v>80894199.75</v>
      </c>
      <c r="J411">
        <v>83662050</v>
      </c>
      <c r="K411">
        <v>89156709</v>
      </c>
      <c r="L411">
        <v>87099504</v>
      </c>
      <c r="M411" s="13">
        <v>116006257</v>
      </c>
    </row>
    <row r="412" spans="1:13">
      <c r="A412" s="256" t="s">
        <v>548</v>
      </c>
      <c r="B412">
        <v>11471159509</v>
      </c>
      <c r="C412">
        <v>15513017478</v>
      </c>
      <c r="D412">
        <v>14782015851</v>
      </c>
      <c r="E412">
        <v>19300485300</v>
      </c>
      <c r="F412">
        <v>16407190505</v>
      </c>
      <c r="G412">
        <v>23182348364</v>
      </c>
      <c r="H412">
        <v>16932352995.489431</v>
      </c>
      <c r="I412">
        <v>17649037155.75</v>
      </c>
      <c r="J412">
        <v>20745257074</v>
      </c>
      <c r="K412">
        <v>17530378507</v>
      </c>
      <c r="L412">
        <v>19375343556</v>
      </c>
      <c r="M412" s="13">
        <v>20264696272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95A64-394C-48E9-9ABC-7439A2EF5639}">
  <sheetPr codeName="Sheet3">
    <tabColor theme="0"/>
  </sheetPr>
  <dimension ref="A1:S52"/>
  <sheetViews>
    <sheetView zoomScale="230" zoomScaleNormal="230" workbookViewId="0">
      <selection activeCell="E2" sqref="E2"/>
    </sheetView>
  </sheetViews>
  <sheetFormatPr baseColWidth="10" defaultColWidth="9" defaultRowHeight="13.5" customHeight="1"/>
  <cols>
    <col min="1" max="1" width="9" style="10" customWidth="1"/>
    <col min="2" max="2" width="17.5" style="10" customWidth="1"/>
    <col min="3" max="3" width="16" style="10" bestFit="1" customWidth="1"/>
    <col min="4" max="4" width="14" style="10" bestFit="1" customWidth="1"/>
    <col min="5" max="6" width="15.5" style="10" customWidth="1"/>
    <col min="7" max="7" width="14" style="10" hidden="1" customWidth="1"/>
    <col min="8" max="8" width="20.33203125" style="10" bestFit="1" customWidth="1"/>
    <col min="9" max="9" width="14.83203125" style="22" customWidth="1"/>
    <col min="10" max="10" width="9" style="22" customWidth="1"/>
    <col min="11" max="11" width="16" style="23" bestFit="1" customWidth="1"/>
    <col min="12" max="12" width="18.5" style="23" bestFit="1" customWidth="1"/>
    <col min="13" max="13" width="70.83203125" style="10" bestFit="1" customWidth="1"/>
    <col min="14" max="14" width="12.33203125" style="10" customWidth="1"/>
    <col min="15" max="15" width="12" style="10" bestFit="1" customWidth="1"/>
    <col min="16" max="17" width="10.5" style="10" bestFit="1" customWidth="1"/>
    <col min="18" max="18" width="12" style="10" bestFit="1" customWidth="1"/>
    <col min="19" max="19" width="13" style="10" bestFit="1" customWidth="1"/>
    <col min="20" max="20" width="11.33203125" style="10" bestFit="1" customWidth="1"/>
    <col min="21" max="16384" width="9" style="10"/>
  </cols>
  <sheetData>
    <row r="1" spans="1:19" ht="15">
      <c r="A1" s="12" t="s">
        <v>753</v>
      </c>
      <c r="B1" s="12" t="s">
        <v>754</v>
      </c>
      <c r="C1" s="12" t="s">
        <v>755</v>
      </c>
      <c r="D1" s="12" t="s">
        <v>756</v>
      </c>
      <c r="E1" s="50" t="s">
        <v>757</v>
      </c>
      <c r="F1" s="50" t="s">
        <v>758</v>
      </c>
      <c r="G1" s="50" t="s">
        <v>759</v>
      </c>
      <c r="H1" s="50" t="s">
        <v>760</v>
      </c>
      <c r="I1" s="51" t="s">
        <v>761</v>
      </c>
      <c r="J1" s="20" t="s">
        <v>762</v>
      </c>
      <c r="K1" s="20" t="s">
        <v>763</v>
      </c>
      <c r="L1" s="20" t="s">
        <v>764</v>
      </c>
      <c r="M1" s="14" t="s">
        <v>765</v>
      </c>
    </row>
    <row r="2" spans="1:19" s="18" customFormat="1" ht="15">
      <c r="A2" s="15" t="s">
        <v>541</v>
      </c>
      <c r="B2" s="15" t="s">
        <v>542</v>
      </c>
      <c r="C2" s="15"/>
      <c r="D2" s="15"/>
      <c r="E2" s="73">
        <v>429920311</v>
      </c>
      <c r="F2" s="36"/>
      <c r="G2" s="36"/>
      <c r="H2" s="36"/>
      <c r="I2" s="36"/>
      <c r="J2" s="36"/>
      <c r="K2" s="36"/>
      <c r="L2" s="36"/>
      <c r="M2" s="15" t="s">
        <v>766</v>
      </c>
    </row>
    <row r="3" spans="1:19" s="18" customFormat="1" ht="69" customHeight="1">
      <c r="A3" s="15" t="s">
        <v>543</v>
      </c>
      <c r="B3" s="15" t="s">
        <v>542</v>
      </c>
      <c r="C3" s="15"/>
      <c r="D3" s="15"/>
      <c r="E3" s="73">
        <v>2999851500</v>
      </c>
      <c r="F3" s="36" t="s">
        <v>767</v>
      </c>
      <c r="G3" s="36" t="s">
        <v>767</v>
      </c>
      <c r="H3" s="36" t="s">
        <v>767</v>
      </c>
      <c r="I3" s="36" t="s">
        <v>767</v>
      </c>
      <c r="J3" s="36" t="s">
        <v>767</v>
      </c>
      <c r="K3" s="36" t="s">
        <v>767</v>
      </c>
      <c r="L3" s="36" t="s">
        <v>767</v>
      </c>
      <c r="M3" s="72" t="s">
        <v>768</v>
      </c>
      <c r="O3" s="18">
        <v>7654818</v>
      </c>
      <c r="R3" s="45"/>
    </row>
    <row r="4" spans="1:19" s="18" customFormat="1" ht="15">
      <c r="A4" s="15" t="s">
        <v>543</v>
      </c>
      <c r="B4" s="15" t="s">
        <v>769</v>
      </c>
      <c r="C4" s="15"/>
      <c r="D4" s="15"/>
      <c r="E4" s="73">
        <v>69007423</v>
      </c>
      <c r="F4" s="36" t="s">
        <v>767</v>
      </c>
      <c r="G4" s="36" t="s">
        <v>767</v>
      </c>
      <c r="H4" s="36" t="s">
        <v>767</v>
      </c>
      <c r="I4" s="36" t="s">
        <v>767</v>
      </c>
      <c r="J4" s="36" t="s">
        <v>767</v>
      </c>
      <c r="K4" s="36" t="s">
        <v>767</v>
      </c>
      <c r="L4" s="36" t="s">
        <v>767</v>
      </c>
      <c r="M4" s="15" t="s">
        <v>770</v>
      </c>
      <c r="O4" s="18">
        <v>3335034</v>
      </c>
      <c r="R4" s="44"/>
    </row>
    <row r="5" spans="1:19" s="18" customFormat="1" ht="15">
      <c r="A5" s="15" t="s">
        <v>543</v>
      </c>
      <c r="B5" s="15" t="s">
        <v>545</v>
      </c>
      <c r="C5" s="15"/>
      <c r="D5" s="15"/>
      <c r="E5" s="73">
        <v>3578577321</v>
      </c>
      <c r="F5" s="36"/>
      <c r="G5" s="36"/>
      <c r="H5" s="36"/>
      <c r="I5" s="36"/>
      <c r="J5" s="36"/>
      <c r="K5" s="36"/>
      <c r="L5" s="36"/>
      <c r="M5" s="15" t="s">
        <v>771</v>
      </c>
      <c r="R5" s="44"/>
    </row>
    <row r="6" spans="1:19" s="18" customFormat="1" ht="15">
      <c r="A6" s="15" t="s">
        <v>543</v>
      </c>
      <c r="B6" s="15" t="s">
        <v>772</v>
      </c>
      <c r="C6" s="15"/>
      <c r="D6" s="15"/>
      <c r="E6" s="73"/>
      <c r="F6" s="36"/>
      <c r="G6" s="36"/>
      <c r="H6" s="36"/>
      <c r="I6" s="36"/>
      <c r="J6" s="36"/>
      <c r="K6" s="36"/>
      <c r="L6" s="36"/>
      <c r="M6" s="15" t="s">
        <v>771</v>
      </c>
      <c r="R6" s="44"/>
    </row>
    <row r="7" spans="1:19" s="18" customFormat="1" ht="15">
      <c r="A7" s="15" t="s">
        <v>543</v>
      </c>
      <c r="B7" s="30" t="s">
        <v>544</v>
      </c>
      <c r="C7" s="15"/>
      <c r="D7" s="15"/>
      <c r="E7" s="74">
        <v>14687809</v>
      </c>
      <c r="F7" s="36" t="s">
        <v>767</v>
      </c>
      <c r="G7" s="36" t="s">
        <v>767</v>
      </c>
      <c r="H7" s="36" t="s">
        <v>767</v>
      </c>
      <c r="I7" s="36" t="s">
        <v>767</v>
      </c>
      <c r="J7" s="36" t="s">
        <v>767</v>
      </c>
      <c r="K7" s="36" t="s">
        <v>767</v>
      </c>
      <c r="L7" s="36" t="s">
        <v>767</v>
      </c>
      <c r="M7" s="15" t="s">
        <v>766</v>
      </c>
      <c r="O7" s="18">
        <v>79400785</v>
      </c>
      <c r="R7" s="47"/>
      <c r="S7" s="46"/>
    </row>
    <row r="8" spans="1:19" s="18" customFormat="1" ht="15">
      <c r="A8" s="15" t="s">
        <v>369</v>
      </c>
      <c r="B8" s="15" t="s">
        <v>542</v>
      </c>
      <c r="C8" s="15"/>
      <c r="D8" s="15"/>
      <c r="E8" s="73">
        <v>4036518236</v>
      </c>
      <c r="F8" s="36" t="s">
        <v>767</v>
      </c>
      <c r="G8" s="36"/>
      <c r="H8" s="36" t="s">
        <v>767</v>
      </c>
      <c r="I8" s="36"/>
      <c r="J8" s="36"/>
      <c r="K8" s="36"/>
      <c r="L8" s="36"/>
      <c r="M8" s="32" t="s">
        <v>773</v>
      </c>
      <c r="N8" s="97"/>
    </row>
    <row r="9" spans="1:19" s="18" customFormat="1" ht="15">
      <c r="A9" s="15" t="s">
        <v>369</v>
      </c>
      <c r="B9" s="15" t="s">
        <v>391</v>
      </c>
      <c r="C9" s="15"/>
      <c r="D9" s="15"/>
      <c r="E9" s="73">
        <v>153943016</v>
      </c>
      <c r="F9" s="36" t="s">
        <v>767</v>
      </c>
      <c r="G9" s="36"/>
      <c r="H9" s="36" t="s">
        <v>767</v>
      </c>
      <c r="I9" s="36"/>
      <c r="J9" s="36"/>
      <c r="K9" s="36"/>
      <c r="L9" s="36"/>
      <c r="M9" s="15" t="s">
        <v>770</v>
      </c>
    </row>
    <row r="10" spans="1:19" s="18" customFormat="1" ht="15">
      <c r="A10" s="15" t="s">
        <v>369</v>
      </c>
      <c r="B10" s="30" t="s">
        <v>774</v>
      </c>
      <c r="C10" s="15"/>
      <c r="D10" s="15"/>
      <c r="E10" s="75">
        <v>24438009</v>
      </c>
      <c r="F10" s="36" t="s">
        <v>767</v>
      </c>
      <c r="G10" s="36"/>
      <c r="H10" s="36" t="s">
        <v>767</v>
      </c>
      <c r="I10" s="36"/>
      <c r="J10" s="36"/>
      <c r="K10" s="36"/>
      <c r="L10" s="36"/>
      <c r="M10" s="15" t="s">
        <v>775</v>
      </c>
    </row>
    <row r="11" spans="1:19" s="18" customFormat="1" ht="15">
      <c r="A11" s="15" t="s">
        <v>546</v>
      </c>
      <c r="B11" s="15" t="s">
        <v>542</v>
      </c>
      <c r="C11" s="15"/>
      <c r="D11" s="31"/>
      <c r="E11" s="76">
        <v>279810255</v>
      </c>
      <c r="F11" s="36"/>
      <c r="G11" s="36"/>
      <c r="H11" s="36"/>
      <c r="I11" s="36"/>
      <c r="J11" s="36"/>
      <c r="K11" s="36"/>
      <c r="L11" s="36"/>
      <c r="M11" s="15" t="s">
        <v>776</v>
      </c>
    </row>
    <row r="12" spans="1:19" s="18" customFormat="1" ht="15">
      <c r="A12" s="15" t="s">
        <v>546</v>
      </c>
      <c r="B12" s="30" t="s">
        <v>544</v>
      </c>
      <c r="C12" s="15"/>
      <c r="D12" s="31"/>
      <c r="E12" s="77">
        <v>632896</v>
      </c>
      <c r="F12" s="36"/>
      <c r="G12" s="36"/>
      <c r="H12" s="36"/>
      <c r="I12" s="36"/>
      <c r="J12" s="36"/>
      <c r="K12" s="36"/>
      <c r="L12" s="36"/>
      <c r="M12" s="15" t="s">
        <v>775</v>
      </c>
    </row>
    <row r="13" spans="1:19" s="18" customFormat="1" ht="16">
      <c r="A13" s="15" t="s">
        <v>547</v>
      </c>
      <c r="B13" s="15" t="s">
        <v>542</v>
      </c>
      <c r="C13" s="15"/>
      <c r="E13" s="78">
        <v>262708856</v>
      </c>
      <c r="F13" s="36" t="s">
        <v>767</v>
      </c>
      <c r="G13" s="36" t="s">
        <v>767</v>
      </c>
      <c r="H13" s="36" t="s">
        <v>767</v>
      </c>
      <c r="I13" s="36" t="s">
        <v>767</v>
      </c>
      <c r="J13" s="36" t="s">
        <v>767</v>
      </c>
      <c r="K13" s="36" t="s">
        <v>767</v>
      </c>
      <c r="L13" s="36" t="s">
        <v>767</v>
      </c>
      <c r="M13" s="72" t="s">
        <v>777</v>
      </c>
      <c r="O13" s="18">
        <v>4614580</v>
      </c>
    </row>
    <row r="14" spans="1:19" s="18" customFormat="1" ht="38.25" customHeight="1">
      <c r="A14" s="15" t="s">
        <v>526</v>
      </c>
      <c r="B14" s="15" t="s">
        <v>542</v>
      </c>
      <c r="C14" s="54" t="s">
        <v>778</v>
      </c>
      <c r="D14" s="99"/>
      <c r="E14" s="99">
        <f>921417+10657674</f>
        <v>11579091</v>
      </c>
      <c r="F14" s="36" t="s">
        <v>767</v>
      </c>
      <c r="G14" s="36" t="s">
        <v>767</v>
      </c>
      <c r="H14" s="36" t="s">
        <v>767</v>
      </c>
      <c r="I14" s="36" t="s">
        <v>767</v>
      </c>
      <c r="J14" s="36" t="s">
        <v>767</v>
      </c>
      <c r="K14" s="36" t="s">
        <v>767</v>
      </c>
      <c r="L14" s="36" t="s">
        <v>767</v>
      </c>
      <c r="M14" s="72" t="s">
        <v>779</v>
      </c>
      <c r="N14" s="42">
        <f>310.5*N16</f>
        <v>423366.75</v>
      </c>
      <c r="P14" s="10"/>
    </row>
    <row r="15" spans="1:19" s="18" customFormat="1" ht="85" customHeight="1">
      <c r="A15" s="15" t="s">
        <v>526</v>
      </c>
      <c r="B15" s="31" t="s">
        <v>542</v>
      </c>
      <c r="C15" s="32" t="s">
        <v>780</v>
      </c>
      <c r="D15" s="32"/>
      <c r="E15" s="32">
        <v>46183254</v>
      </c>
      <c r="F15" s="36" t="s">
        <v>767</v>
      </c>
      <c r="G15" s="36" t="s">
        <v>767</v>
      </c>
      <c r="H15" s="36" t="s">
        <v>767</v>
      </c>
      <c r="I15" s="36" t="s">
        <v>767</v>
      </c>
      <c r="J15" s="36" t="s">
        <v>767</v>
      </c>
      <c r="K15" s="36" t="s">
        <v>767</v>
      </c>
      <c r="L15" s="36" t="s">
        <v>767</v>
      </c>
      <c r="M15" s="98" t="s">
        <v>781</v>
      </c>
      <c r="N15" s="42"/>
      <c r="P15" s="10"/>
    </row>
    <row r="16" spans="1:19" s="18" customFormat="1" ht="15">
      <c r="A16" s="15" t="s">
        <v>782</v>
      </c>
      <c r="B16" s="15" t="s">
        <v>542</v>
      </c>
      <c r="C16" s="55"/>
      <c r="D16" s="100"/>
      <c r="E16" s="78">
        <v>469289205</v>
      </c>
      <c r="F16" s="36" t="s">
        <v>767</v>
      </c>
      <c r="G16" s="36"/>
      <c r="H16" s="36" t="s">
        <v>767</v>
      </c>
      <c r="I16" s="36" t="s">
        <v>767</v>
      </c>
      <c r="J16" s="36"/>
      <c r="K16" s="36"/>
      <c r="L16" s="36" t="s">
        <v>767</v>
      </c>
      <c r="M16" s="15"/>
      <c r="N16" s="38">
        <v>1363.5</v>
      </c>
    </row>
    <row r="17" spans="1:15" s="18" customFormat="1" ht="15">
      <c r="A17" s="15" t="s">
        <v>782</v>
      </c>
      <c r="B17" s="30" t="s">
        <v>544</v>
      </c>
      <c r="C17" s="15"/>
      <c r="E17" s="79"/>
      <c r="F17" s="36"/>
      <c r="G17" s="36"/>
      <c r="H17" s="36"/>
      <c r="I17" s="36"/>
      <c r="J17" s="49"/>
      <c r="K17" s="49"/>
      <c r="L17" s="36"/>
      <c r="M17" s="15"/>
    </row>
    <row r="18" spans="1:15" s="18" customFormat="1" ht="15">
      <c r="A18" s="15" t="s">
        <v>783</v>
      </c>
      <c r="B18" s="15" t="s">
        <v>542</v>
      </c>
      <c r="C18" s="15"/>
      <c r="D18" s="17">
        <v>63576.28</v>
      </c>
      <c r="E18" s="35">
        <v>87099504</v>
      </c>
      <c r="F18" s="36" t="s">
        <v>767</v>
      </c>
      <c r="G18" s="36"/>
      <c r="H18" s="36" t="s">
        <v>767</v>
      </c>
      <c r="I18" s="36" t="s">
        <v>767</v>
      </c>
      <c r="J18" s="36"/>
      <c r="K18" s="36"/>
      <c r="L18" s="36" t="s">
        <v>767</v>
      </c>
      <c r="M18" s="15"/>
    </row>
    <row r="19" spans="1:15" s="18" customFormat="1" ht="17">
      <c r="E19" s="18">
        <f>SUM(E2:E18)</f>
        <v>12464246686</v>
      </c>
      <c r="I19" s="21"/>
      <c r="J19" s="21"/>
      <c r="K19" s="23"/>
      <c r="L19" s="23"/>
      <c r="M19" s="34"/>
    </row>
    <row r="20" spans="1:15" s="18" customFormat="1" ht="17">
      <c r="D20" s="18" t="s">
        <v>784</v>
      </c>
      <c r="E20" s="18">
        <f>SUM(E2:E17)</f>
        <v>12377147182</v>
      </c>
      <c r="I20" s="21"/>
      <c r="J20" s="21"/>
      <c r="K20" s="23"/>
      <c r="L20" s="23"/>
      <c r="M20" s="18">
        <f>145778+21074628+3427707+49638086+875797+4336445+12032</f>
        <v>79510473</v>
      </c>
    </row>
    <row r="21" spans="1:15" s="18" customFormat="1" ht="17">
      <c r="D21" s="18" t="s">
        <v>785</v>
      </c>
      <c r="I21" s="21"/>
      <c r="J21" s="21"/>
      <c r="K21" s="23"/>
      <c r="L21" s="24"/>
      <c r="M21" s="18">
        <f>1505713+16318</f>
        <v>1522031</v>
      </c>
    </row>
    <row r="22" spans="1:15" s="18" customFormat="1" ht="17">
      <c r="I22" s="21"/>
      <c r="J22" s="21"/>
      <c r="K22" s="23"/>
      <c r="L22" s="24"/>
      <c r="M22" s="18">
        <f>E3-M20-M21</f>
        <v>2918818996</v>
      </c>
    </row>
    <row r="23" spans="1:15" s="18" customFormat="1" ht="17">
      <c r="I23" s="21"/>
      <c r="J23" s="21"/>
      <c r="K23" s="23"/>
      <c r="L23" s="24"/>
    </row>
    <row r="24" spans="1:15" s="18" customFormat="1" ht="17">
      <c r="E24" s="16"/>
      <c r="I24" s="21"/>
      <c r="J24" s="21"/>
      <c r="K24" s="23"/>
      <c r="L24" s="23"/>
    </row>
    <row r="25" spans="1:15" ht="17">
      <c r="G25" s="16"/>
      <c r="H25" s="16"/>
      <c r="M25" s="19"/>
    </row>
    <row r="26" spans="1:15" ht="13.5" customHeight="1">
      <c r="L26" s="22"/>
      <c r="M26" s="2"/>
    </row>
    <row r="31" spans="1:15" ht="18" thickBot="1"/>
    <row r="32" spans="1:15" ht="17">
      <c r="C32" s="63" t="s">
        <v>786</v>
      </c>
      <c r="D32" s="64" t="s">
        <v>787</v>
      </c>
      <c r="E32" s="64" t="s">
        <v>788</v>
      </c>
      <c r="F32" s="64" t="s">
        <v>789</v>
      </c>
      <c r="G32" s="64" t="s">
        <v>790</v>
      </c>
      <c r="H32" s="65" t="s">
        <v>791</v>
      </c>
      <c r="O32" s="13"/>
    </row>
    <row r="33" spans="3:15" ht="17.25" customHeight="1">
      <c r="C33" s="267" t="s">
        <v>792</v>
      </c>
      <c r="D33" s="1" t="s">
        <v>793</v>
      </c>
      <c r="E33" s="1" t="s">
        <v>541</v>
      </c>
      <c r="F33" s="1" t="s">
        <v>794</v>
      </c>
      <c r="G33" s="57"/>
      <c r="H33" s="58">
        <f>SUM(E2:E2)</f>
        <v>429920311</v>
      </c>
      <c r="K33" s="22"/>
      <c r="L33" s="22"/>
      <c r="O33" s="13"/>
    </row>
    <row r="34" spans="3:15" ht="13.5" customHeight="1">
      <c r="C34" s="268"/>
      <c r="D34" s="265" t="s">
        <v>795</v>
      </c>
      <c r="E34" s="265" t="s">
        <v>796</v>
      </c>
      <c r="F34" s="52" t="s">
        <v>794</v>
      </c>
      <c r="G34" s="36"/>
      <c r="H34" s="59">
        <f>E11</f>
        <v>279810255</v>
      </c>
    </row>
    <row r="35" spans="3:15" ht="13.5" customHeight="1">
      <c r="C35" s="268"/>
      <c r="D35" s="266"/>
      <c r="E35" s="266"/>
      <c r="F35" s="61" t="s">
        <v>797</v>
      </c>
      <c r="G35" s="62"/>
      <c r="H35" s="59">
        <f>E12</f>
        <v>632896</v>
      </c>
      <c r="K35" s="39"/>
    </row>
    <row r="36" spans="3:15" ht="13.5" customHeight="1">
      <c r="C36" s="268"/>
      <c r="D36" s="264" t="s">
        <v>798</v>
      </c>
      <c r="E36" s="1" t="s">
        <v>794</v>
      </c>
      <c r="F36" s="1" t="s">
        <v>794</v>
      </c>
      <c r="G36" s="57"/>
      <c r="H36" s="70">
        <f>E8</f>
        <v>4036518236</v>
      </c>
      <c r="K36" s="39"/>
    </row>
    <row r="37" spans="3:15" ht="13.5" customHeight="1">
      <c r="C37" s="268"/>
      <c r="D37" s="265"/>
      <c r="E37" s="52" t="s">
        <v>769</v>
      </c>
      <c r="F37" s="52" t="s">
        <v>799</v>
      </c>
      <c r="G37" s="36"/>
      <c r="H37" s="70">
        <f>E9</f>
        <v>153943016</v>
      </c>
      <c r="K37" s="39"/>
    </row>
    <row r="38" spans="3:15" ht="13.5" customHeight="1">
      <c r="C38" s="268"/>
      <c r="D38" s="266"/>
      <c r="E38" s="61" t="s">
        <v>797</v>
      </c>
      <c r="F38" s="61" t="s">
        <v>797</v>
      </c>
      <c r="G38" s="62"/>
      <c r="H38" s="70">
        <f>E10</f>
        <v>24438009</v>
      </c>
      <c r="K38" s="39"/>
    </row>
    <row r="39" spans="3:15" ht="13.5" customHeight="1">
      <c r="C39" s="268"/>
      <c r="D39" s="1" t="s">
        <v>798</v>
      </c>
      <c r="E39" s="1" t="s">
        <v>800</v>
      </c>
      <c r="F39" s="1" t="s">
        <v>794</v>
      </c>
      <c r="G39" s="57"/>
      <c r="H39" s="58">
        <f>E16</f>
        <v>469289205</v>
      </c>
      <c r="K39" s="39"/>
    </row>
    <row r="40" spans="3:15" ht="13.5" customHeight="1">
      <c r="C40" s="268"/>
      <c r="D40" s="60" t="s">
        <v>801</v>
      </c>
      <c r="E40" s="60" t="s">
        <v>802</v>
      </c>
      <c r="F40" s="60" t="s">
        <v>794</v>
      </c>
      <c r="G40" s="62"/>
      <c r="H40" s="58">
        <f>E18</f>
        <v>87099504</v>
      </c>
      <c r="K40" s="39"/>
    </row>
    <row r="41" spans="3:15" ht="13.5" customHeight="1">
      <c r="C41" s="268"/>
      <c r="D41" s="264" t="s">
        <v>803</v>
      </c>
      <c r="E41" s="264" t="s">
        <v>148</v>
      </c>
      <c r="F41" s="1" t="s">
        <v>794</v>
      </c>
      <c r="G41" s="57"/>
      <c r="H41" s="58">
        <f>SUM(E3,E5:E5)</f>
        <v>6578428821</v>
      </c>
      <c r="K41" s="39"/>
    </row>
    <row r="42" spans="3:15" ht="13.5" customHeight="1">
      <c r="C42" s="268"/>
      <c r="D42" s="265"/>
      <c r="E42" s="265"/>
      <c r="F42" s="52" t="s">
        <v>799</v>
      </c>
      <c r="G42" s="36"/>
      <c r="H42" s="58">
        <f>E4</f>
        <v>69007423</v>
      </c>
      <c r="K42" s="39"/>
    </row>
    <row r="43" spans="3:15" ht="13.5" customHeight="1">
      <c r="C43" s="268"/>
      <c r="D43" s="265"/>
      <c r="E43" s="265"/>
      <c r="F43" s="53" t="s">
        <v>797</v>
      </c>
      <c r="G43" s="36"/>
      <c r="H43" s="58">
        <f>E7</f>
        <v>14687809</v>
      </c>
      <c r="K43" s="39"/>
    </row>
    <row r="44" spans="3:15" ht="13.5" customHeight="1">
      <c r="C44" s="268"/>
      <c r="D44" s="265" t="s">
        <v>804</v>
      </c>
      <c r="E44" s="52" t="s">
        <v>805</v>
      </c>
      <c r="F44" s="52" t="s">
        <v>794</v>
      </c>
      <c r="G44" s="36"/>
      <c r="H44" s="32">
        <f>E13</f>
        <v>262708856</v>
      </c>
      <c r="K44" s="39"/>
    </row>
    <row r="45" spans="3:15" ht="13.5" customHeight="1">
      <c r="C45" s="268"/>
      <c r="D45" s="265"/>
      <c r="E45" s="52" t="s">
        <v>778</v>
      </c>
      <c r="F45" s="52" t="s">
        <v>794</v>
      </c>
      <c r="G45" s="36"/>
      <c r="H45" s="32">
        <f>E14</f>
        <v>11579091</v>
      </c>
      <c r="K45" s="39"/>
    </row>
    <row r="46" spans="3:15" ht="13.5" customHeight="1" thickBot="1">
      <c r="C46" s="268"/>
      <c r="D46" s="269"/>
      <c r="E46" s="60" t="s">
        <v>588</v>
      </c>
      <c r="F46" s="60" t="s">
        <v>794</v>
      </c>
      <c r="G46" s="85"/>
      <c r="H46" s="32">
        <f>E15</f>
        <v>46183254</v>
      </c>
      <c r="K46" s="39"/>
    </row>
    <row r="47" spans="3:15" ht="13.5" customHeight="1">
      <c r="F47" s="71" t="s">
        <v>806</v>
      </c>
      <c r="H47" s="10">
        <f>SUM(H33:H46)-H40</f>
        <v>12377147182</v>
      </c>
      <c r="K47" s="39"/>
    </row>
    <row r="48" spans="3:15" ht="13.5" customHeight="1">
      <c r="F48" s="71" t="s">
        <v>807</v>
      </c>
      <c r="H48" s="19">
        <f>D18</f>
        <v>63576.28</v>
      </c>
      <c r="K48" s="39"/>
    </row>
    <row r="49" spans="5:11" ht="13.5" customHeight="1">
      <c r="K49" s="39"/>
    </row>
    <row r="50" spans="5:11" ht="13.5" customHeight="1">
      <c r="E50" s="52"/>
      <c r="K50" s="39"/>
    </row>
    <row r="51" spans="5:11" ht="13.5" customHeight="1">
      <c r="K51" s="39"/>
    </row>
    <row r="52" spans="5:11" ht="13.5" customHeight="1">
      <c r="K52" s="39"/>
    </row>
  </sheetData>
  <autoFilter ref="A1:M20" xr:uid="{50D95A64-394C-48E9-9ABC-7439A2EF5639}"/>
  <mergeCells count="7">
    <mergeCell ref="D36:D38"/>
    <mergeCell ref="D34:D35"/>
    <mergeCell ref="E34:E35"/>
    <mergeCell ref="C33:C46"/>
    <mergeCell ref="E41:E43"/>
    <mergeCell ref="D41:D43"/>
    <mergeCell ref="D44:D46"/>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A6D7-E571-4C5A-861B-702798936DA4}">
  <sheetPr codeName="Sheet4"/>
  <dimension ref="A1:J32"/>
  <sheetViews>
    <sheetView zoomScaleNormal="100" workbookViewId="0">
      <selection activeCell="M16" sqref="M16"/>
    </sheetView>
  </sheetViews>
  <sheetFormatPr baseColWidth="10" defaultColWidth="8.83203125" defaultRowHeight="17"/>
  <cols>
    <col min="1" max="1" width="50.5" customWidth="1"/>
    <col min="2" max="2" width="10.83203125" customWidth="1"/>
    <col min="3" max="4" width="12.33203125" bestFit="1" customWidth="1"/>
    <col min="5" max="5" width="25.5" bestFit="1" customWidth="1"/>
    <col min="6" max="6" width="27" bestFit="1" customWidth="1"/>
    <col min="7" max="7" width="9.33203125" customWidth="1"/>
    <col min="8" max="8" width="14" customWidth="1"/>
    <col min="9" max="9" width="24.33203125" bestFit="1" customWidth="1"/>
    <col min="10" max="10" width="17.33203125" customWidth="1"/>
  </cols>
  <sheetData>
    <row r="1" spans="1:10" ht="20">
      <c r="A1" s="6" t="s">
        <v>808</v>
      </c>
      <c r="B1" s="6"/>
      <c r="C1" s="4"/>
      <c r="D1" s="4"/>
      <c r="E1" s="3"/>
      <c r="F1" s="3"/>
      <c r="G1" s="3"/>
      <c r="H1" s="3"/>
      <c r="I1" s="3"/>
      <c r="J1" s="3"/>
    </row>
    <row r="2" spans="1:10">
      <c r="A2" s="118" t="s">
        <v>809</v>
      </c>
      <c r="B2" s="118" t="s">
        <v>810</v>
      </c>
      <c r="C2" s="118" t="s">
        <v>4</v>
      </c>
      <c r="D2" s="118" t="s">
        <v>5</v>
      </c>
      <c r="E2" s="118" t="s">
        <v>6</v>
      </c>
      <c r="F2" s="118" t="s">
        <v>811</v>
      </c>
      <c r="G2" s="118" t="s">
        <v>11</v>
      </c>
      <c r="H2" s="118" t="s">
        <v>812</v>
      </c>
      <c r="I2" s="118" t="s">
        <v>813</v>
      </c>
      <c r="J2" s="118" t="s">
        <v>814</v>
      </c>
    </row>
    <row r="3" spans="1:10" ht="18">
      <c r="A3" s="119" t="s">
        <v>815</v>
      </c>
      <c r="B3" s="7" t="s">
        <v>541</v>
      </c>
      <c r="C3" s="7" t="s">
        <v>542</v>
      </c>
      <c r="D3" s="11" t="s">
        <v>542</v>
      </c>
      <c r="E3" s="7" t="s">
        <v>816</v>
      </c>
      <c r="F3" s="7" t="s">
        <v>817</v>
      </c>
      <c r="G3" s="7" t="s">
        <v>818</v>
      </c>
      <c r="H3" s="7" t="s">
        <v>819</v>
      </c>
      <c r="J3" s="7" t="s">
        <v>29</v>
      </c>
    </row>
    <row r="4" spans="1:10" ht="18">
      <c r="A4" s="120" t="s">
        <v>820</v>
      </c>
      <c r="B4" s="121" t="s">
        <v>541</v>
      </c>
      <c r="C4" s="122" t="s">
        <v>542</v>
      </c>
      <c r="D4" s="122" t="s">
        <v>542</v>
      </c>
      <c r="E4" s="7" t="s">
        <v>816</v>
      </c>
      <c r="F4" s="121" t="s">
        <v>370</v>
      </c>
      <c r="G4" s="7" t="s">
        <v>818</v>
      </c>
      <c r="H4" s="7" t="s">
        <v>819</v>
      </c>
    </row>
    <row r="5" spans="1:10">
      <c r="A5" s="7" t="s">
        <v>821</v>
      </c>
      <c r="B5" s="7" t="s">
        <v>541</v>
      </c>
      <c r="C5" s="11" t="s">
        <v>542</v>
      </c>
      <c r="D5" s="11" t="s">
        <v>567</v>
      </c>
      <c r="E5" s="7" t="s">
        <v>822</v>
      </c>
      <c r="F5" s="7" t="s">
        <v>600</v>
      </c>
      <c r="G5" s="7" t="s">
        <v>823</v>
      </c>
      <c r="H5" s="7" t="s">
        <v>824</v>
      </c>
      <c r="I5" s="7"/>
      <c r="J5" s="7" t="s">
        <v>29</v>
      </c>
    </row>
    <row r="6" spans="1:10" ht="18">
      <c r="A6" s="119" t="s">
        <v>33</v>
      </c>
      <c r="B6" s="7" t="s">
        <v>541</v>
      </c>
      <c r="C6" s="7" t="s">
        <v>542</v>
      </c>
      <c r="D6" s="11" t="s">
        <v>567</v>
      </c>
      <c r="E6" s="7" t="s">
        <v>822</v>
      </c>
      <c r="F6" s="7" t="s">
        <v>600</v>
      </c>
      <c r="G6" s="8" t="s">
        <v>823</v>
      </c>
      <c r="H6" s="8" t="s">
        <v>824</v>
      </c>
      <c r="J6" s="7"/>
    </row>
    <row r="7" spans="1:10" ht="18">
      <c r="A7" s="119" t="s">
        <v>32</v>
      </c>
      <c r="B7" s="7" t="s">
        <v>541</v>
      </c>
      <c r="C7" s="7" t="s">
        <v>542</v>
      </c>
      <c r="D7" s="11" t="s">
        <v>542</v>
      </c>
      <c r="E7" s="7" t="s">
        <v>592</v>
      </c>
      <c r="F7" s="7" t="s">
        <v>370</v>
      </c>
      <c r="G7" s="7" t="s">
        <v>825</v>
      </c>
      <c r="H7" s="7" t="s">
        <v>825</v>
      </c>
      <c r="J7" s="7"/>
    </row>
    <row r="8" spans="1:10">
      <c r="A8" s="7" t="s">
        <v>826</v>
      </c>
      <c r="B8" s="7" t="s">
        <v>541</v>
      </c>
      <c r="C8" s="11" t="s">
        <v>542</v>
      </c>
      <c r="D8" s="11" t="s">
        <v>542</v>
      </c>
      <c r="E8" s="7" t="s">
        <v>590</v>
      </c>
      <c r="F8" s="66" t="s">
        <v>624</v>
      </c>
      <c r="G8" s="7" t="s">
        <v>827</v>
      </c>
      <c r="H8" s="7" t="s">
        <v>827</v>
      </c>
      <c r="I8" s="7"/>
      <c r="J8" s="7" t="s">
        <v>29</v>
      </c>
    </row>
    <row r="9" spans="1:10">
      <c r="A9" s="123" t="s">
        <v>828</v>
      </c>
      <c r="B9" s="7" t="s">
        <v>541</v>
      </c>
      <c r="C9" s="7" t="s">
        <v>542</v>
      </c>
      <c r="D9" s="11" t="s">
        <v>542</v>
      </c>
      <c r="E9" s="7" t="s">
        <v>590</v>
      </c>
      <c r="F9" s="66" t="s">
        <v>829</v>
      </c>
      <c r="G9" s="7" t="s">
        <v>827</v>
      </c>
      <c r="H9" s="7" t="s">
        <v>827</v>
      </c>
      <c r="J9" s="7" t="s">
        <v>29</v>
      </c>
    </row>
    <row r="10" spans="1:10" ht="18">
      <c r="A10" s="119" t="s">
        <v>830</v>
      </c>
      <c r="B10" s="7" t="s">
        <v>541</v>
      </c>
      <c r="C10" s="7" t="s">
        <v>542</v>
      </c>
      <c r="D10" s="11" t="s">
        <v>542</v>
      </c>
      <c r="E10" s="7" t="s">
        <v>590</v>
      </c>
      <c r="F10" s="66" t="s">
        <v>831</v>
      </c>
      <c r="G10" s="7" t="s">
        <v>827</v>
      </c>
      <c r="H10" s="7" t="s">
        <v>827</v>
      </c>
      <c r="J10" s="7"/>
    </row>
    <row r="11" spans="1:10">
      <c r="A11" s="7" t="s">
        <v>39</v>
      </c>
      <c r="B11" s="7" t="s">
        <v>541</v>
      </c>
      <c r="C11" s="11" t="s">
        <v>542</v>
      </c>
      <c r="D11" s="11" t="s">
        <v>542</v>
      </c>
      <c r="E11" s="7" t="s">
        <v>592</v>
      </c>
      <c r="F11" s="7" t="s">
        <v>370</v>
      </c>
      <c r="G11" s="7" t="s">
        <v>832</v>
      </c>
      <c r="H11" s="7" t="s">
        <v>832</v>
      </c>
      <c r="I11" s="7"/>
      <c r="J11" s="7" t="s">
        <v>29</v>
      </c>
    </row>
    <row r="12" spans="1:10">
      <c r="A12" s="121" t="s">
        <v>30</v>
      </c>
      <c r="B12" s="121" t="s">
        <v>541</v>
      </c>
      <c r="C12" s="122" t="s">
        <v>542</v>
      </c>
      <c r="D12" s="122" t="s">
        <v>542</v>
      </c>
      <c r="E12" s="121" t="s">
        <v>592</v>
      </c>
      <c r="F12" s="121" t="s">
        <v>370</v>
      </c>
      <c r="G12" s="121" t="s">
        <v>832</v>
      </c>
      <c r="H12" s="121" t="s">
        <v>832</v>
      </c>
    </row>
    <row r="13" spans="1:10" ht="18">
      <c r="A13" s="120" t="s">
        <v>36</v>
      </c>
      <c r="B13" s="121" t="s">
        <v>541</v>
      </c>
      <c r="C13" s="122" t="s">
        <v>542</v>
      </c>
      <c r="D13" s="122" t="s">
        <v>542</v>
      </c>
      <c r="E13" s="121" t="s">
        <v>592</v>
      </c>
      <c r="F13" s="121" t="s">
        <v>370</v>
      </c>
      <c r="G13" s="121" t="s">
        <v>832</v>
      </c>
      <c r="H13" s="121" t="s">
        <v>832</v>
      </c>
    </row>
    <row r="14" spans="1:10" ht="18">
      <c r="A14" s="120" t="s">
        <v>31</v>
      </c>
      <c r="B14" s="121" t="s">
        <v>541</v>
      </c>
      <c r="C14" s="121" t="s">
        <v>542</v>
      </c>
      <c r="D14" s="122" t="s">
        <v>542</v>
      </c>
      <c r="E14" s="67" t="s">
        <v>833</v>
      </c>
      <c r="F14" s="67" t="s">
        <v>596</v>
      </c>
      <c r="G14" s="67" t="s">
        <v>834</v>
      </c>
      <c r="H14" s="67" t="s">
        <v>834</v>
      </c>
      <c r="J14" t="s">
        <v>29</v>
      </c>
    </row>
    <row r="15" spans="1:10">
      <c r="A15" s="7" t="s">
        <v>835</v>
      </c>
      <c r="B15" s="7" t="s">
        <v>541</v>
      </c>
      <c r="C15" s="11" t="s">
        <v>565</v>
      </c>
      <c r="D15" s="11" t="s">
        <v>565</v>
      </c>
      <c r="E15" s="7" t="s">
        <v>836</v>
      </c>
      <c r="F15" s="7" t="s">
        <v>370</v>
      </c>
      <c r="G15" s="7" t="s">
        <v>837</v>
      </c>
      <c r="H15" s="7" t="s">
        <v>837</v>
      </c>
      <c r="I15" s="7"/>
      <c r="J15" s="7" t="s">
        <v>29</v>
      </c>
    </row>
    <row r="16" spans="1:10">
      <c r="A16" s="7" t="s">
        <v>838</v>
      </c>
      <c r="B16" s="7" t="s">
        <v>541</v>
      </c>
      <c r="C16" s="11" t="s">
        <v>542</v>
      </c>
      <c r="D16" s="11" t="s">
        <v>568</v>
      </c>
      <c r="E16" s="7" t="s">
        <v>593</v>
      </c>
      <c r="F16" s="7" t="s">
        <v>594</v>
      </c>
      <c r="G16" s="7" t="s">
        <v>839</v>
      </c>
      <c r="H16" s="7" t="s">
        <v>840</v>
      </c>
      <c r="I16" s="7"/>
      <c r="J16" s="7" t="s">
        <v>29</v>
      </c>
    </row>
    <row r="17" spans="1:10">
      <c r="A17" s="7" t="s">
        <v>841</v>
      </c>
      <c r="B17" s="7" t="s">
        <v>541</v>
      </c>
      <c r="C17" s="11" t="s">
        <v>542</v>
      </c>
      <c r="D17" s="11" t="s">
        <v>568</v>
      </c>
      <c r="E17" s="7" t="s">
        <v>593</v>
      </c>
      <c r="F17" s="7" t="s">
        <v>594</v>
      </c>
      <c r="G17" s="7" t="s">
        <v>839</v>
      </c>
      <c r="H17" s="7" t="s">
        <v>840</v>
      </c>
      <c r="I17" s="7"/>
      <c r="J17" s="7" t="s">
        <v>29</v>
      </c>
    </row>
    <row r="18" spans="1:10" ht="18">
      <c r="A18" s="120" t="s">
        <v>38</v>
      </c>
      <c r="B18" s="121" t="s">
        <v>541</v>
      </c>
      <c r="C18" s="121" t="s">
        <v>542</v>
      </c>
      <c r="D18" s="122" t="s">
        <v>542</v>
      </c>
      <c r="E18" s="121" t="s">
        <v>593</v>
      </c>
      <c r="F18" s="121" t="s">
        <v>594</v>
      </c>
      <c r="G18" s="121" t="s">
        <v>839</v>
      </c>
      <c r="H18" s="121" t="s">
        <v>840</v>
      </c>
      <c r="J18" s="7"/>
    </row>
    <row r="19" spans="1:10">
      <c r="A19" s="7" t="s">
        <v>842</v>
      </c>
      <c r="B19" s="7" t="s">
        <v>541</v>
      </c>
      <c r="C19" s="11" t="s">
        <v>542</v>
      </c>
      <c r="D19" s="11" t="s">
        <v>542</v>
      </c>
      <c r="E19" s="7" t="s">
        <v>592</v>
      </c>
      <c r="F19" s="7" t="s">
        <v>370</v>
      </c>
      <c r="G19" s="7" t="s">
        <v>843</v>
      </c>
      <c r="H19" s="7" t="s">
        <v>843</v>
      </c>
      <c r="I19" s="7"/>
      <c r="J19" s="7" t="s">
        <v>29</v>
      </c>
    </row>
    <row r="20" spans="1:10">
      <c r="A20" s="7" t="s">
        <v>844</v>
      </c>
      <c r="B20" s="7" t="s">
        <v>541</v>
      </c>
      <c r="C20" s="11" t="s">
        <v>542</v>
      </c>
      <c r="D20" s="11" t="s">
        <v>542</v>
      </c>
      <c r="E20" s="7" t="s">
        <v>592</v>
      </c>
      <c r="F20" s="7" t="s">
        <v>370</v>
      </c>
      <c r="G20" s="7" t="s">
        <v>845</v>
      </c>
      <c r="H20" s="7" t="s">
        <v>415</v>
      </c>
      <c r="I20" s="7"/>
      <c r="J20" s="7" t="s">
        <v>29</v>
      </c>
    </row>
    <row r="21" spans="1:10">
      <c r="A21" s="7" t="s">
        <v>846</v>
      </c>
      <c r="B21" s="7" t="s">
        <v>541</v>
      </c>
      <c r="C21" s="11" t="s">
        <v>542</v>
      </c>
      <c r="D21" s="11" t="s">
        <v>542</v>
      </c>
      <c r="E21" s="7" t="s">
        <v>592</v>
      </c>
      <c r="F21" s="7" t="s">
        <v>370</v>
      </c>
      <c r="G21" s="7" t="s">
        <v>845</v>
      </c>
      <c r="H21" s="7" t="s">
        <v>415</v>
      </c>
      <c r="I21" s="7"/>
      <c r="J21" s="7" t="s">
        <v>29</v>
      </c>
    </row>
    <row r="22" spans="1:10">
      <c r="A22" s="7" t="s">
        <v>847</v>
      </c>
      <c r="B22" s="7" t="s">
        <v>541</v>
      </c>
      <c r="C22" s="11" t="s">
        <v>542</v>
      </c>
      <c r="D22" s="11" t="s">
        <v>542</v>
      </c>
      <c r="E22" s="7" t="s">
        <v>592</v>
      </c>
      <c r="F22" s="7" t="s">
        <v>370</v>
      </c>
      <c r="G22" s="7" t="s">
        <v>845</v>
      </c>
      <c r="H22" s="7" t="s">
        <v>415</v>
      </c>
      <c r="I22" s="7"/>
      <c r="J22" s="7" t="s">
        <v>29</v>
      </c>
    </row>
    <row r="23" spans="1:10">
      <c r="A23" s="7" t="s">
        <v>848</v>
      </c>
      <c r="B23" s="7" t="s">
        <v>541</v>
      </c>
      <c r="C23" s="11" t="s">
        <v>542</v>
      </c>
      <c r="D23" s="11" t="s">
        <v>542</v>
      </c>
      <c r="E23" s="7" t="s">
        <v>592</v>
      </c>
      <c r="F23" s="7" t="s">
        <v>370</v>
      </c>
      <c r="G23" s="7" t="s">
        <v>845</v>
      </c>
      <c r="H23" s="7" t="s">
        <v>415</v>
      </c>
      <c r="I23" s="7"/>
      <c r="J23" s="7" t="s">
        <v>29</v>
      </c>
    </row>
    <row r="24" spans="1:10">
      <c r="A24" s="7" t="s">
        <v>849</v>
      </c>
      <c r="B24" s="7" t="s">
        <v>541</v>
      </c>
      <c r="C24" s="11" t="s">
        <v>542</v>
      </c>
      <c r="D24" s="11" t="s">
        <v>542</v>
      </c>
      <c r="E24" s="7" t="s">
        <v>592</v>
      </c>
      <c r="F24" s="7" t="s">
        <v>370</v>
      </c>
      <c r="G24" s="7" t="s">
        <v>845</v>
      </c>
      <c r="H24" s="7" t="s">
        <v>415</v>
      </c>
      <c r="I24" s="7"/>
      <c r="J24" s="7" t="s">
        <v>29</v>
      </c>
    </row>
    <row r="25" spans="1:10">
      <c r="A25" s="7" t="s">
        <v>850</v>
      </c>
      <c r="B25" s="7" t="s">
        <v>541</v>
      </c>
      <c r="C25" s="11" t="s">
        <v>542</v>
      </c>
      <c r="D25" s="11" t="s">
        <v>568</v>
      </c>
      <c r="E25" s="7" t="s">
        <v>851</v>
      </c>
      <c r="F25" s="7" t="s">
        <v>594</v>
      </c>
      <c r="G25" s="7" t="s">
        <v>852</v>
      </c>
      <c r="H25" s="7" t="s">
        <v>415</v>
      </c>
      <c r="I25" s="7"/>
      <c r="J25" s="7" t="s">
        <v>29</v>
      </c>
    </row>
    <row r="26" spans="1:10">
      <c r="A26" s="7" t="s">
        <v>853</v>
      </c>
      <c r="B26" s="7" t="s">
        <v>541</v>
      </c>
      <c r="C26" s="7" t="s">
        <v>542</v>
      </c>
      <c r="D26" s="11" t="s">
        <v>542</v>
      </c>
      <c r="E26" s="7" t="s">
        <v>590</v>
      </c>
      <c r="F26" s="66" t="s">
        <v>829</v>
      </c>
      <c r="G26" s="7" t="s">
        <v>827</v>
      </c>
      <c r="H26" s="7" t="s">
        <v>415</v>
      </c>
      <c r="J26" s="7" t="s">
        <v>29</v>
      </c>
    </row>
    <row r="27" spans="1:10">
      <c r="A27" s="7" t="s">
        <v>854</v>
      </c>
      <c r="B27" s="7" t="s">
        <v>541</v>
      </c>
      <c r="C27" s="7" t="s">
        <v>542</v>
      </c>
      <c r="D27" s="11" t="s">
        <v>567</v>
      </c>
      <c r="E27" s="7" t="s">
        <v>822</v>
      </c>
      <c r="F27" s="7" t="s">
        <v>600</v>
      </c>
      <c r="G27" s="7" t="s">
        <v>823</v>
      </c>
      <c r="H27" s="7" t="s">
        <v>415</v>
      </c>
      <c r="J27" s="7" t="s">
        <v>29</v>
      </c>
    </row>
    <row r="28" spans="1:10">
      <c r="A28" s="7" t="s">
        <v>855</v>
      </c>
      <c r="B28" s="7" t="s">
        <v>541</v>
      </c>
      <c r="C28" s="7" t="s">
        <v>542</v>
      </c>
      <c r="D28" s="11" t="s">
        <v>567</v>
      </c>
      <c r="E28" s="7" t="s">
        <v>822</v>
      </c>
      <c r="F28" s="7" t="s">
        <v>600</v>
      </c>
      <c r="G28" s="7" t="s">
        <v>823</v>
      </c>
      <c r="H28" s="7" t="s">
        <v>415</v>
      </c>
      <c r="J28" s="7" t="s">
        <v>29</v>
      </c>
    </row>
    <row r="29" spans="1:10">
      <c r="A29" s="7" t="s">
        <v>856</v>
      </c>
      <c r="B29" s="7" t="s">
        <v>541</v>
      </c>
      <c r="C29" s="7" t="s">
        <v>542</v>
      </c>
      <c r="D29" s="11" t="s">
        <v>568</v>
      </c>
      <c r="E29" s="7" t="s">
        <v>593</v>
      </c>
      <c r="F29" s="7" t="s">
        <v>594</v>
      </c>
      <c r="G29" s="7" t="s">
        <v>839</v>
      </c>
      <c r="H29" s="7" t="s">
        <v>415</v>
      </c>
      <c r="J29" s="7" t="s">
        <v>29</v>
      </c>
    </row>
    <row r="30" spans="1:10">
      <c r="A30" s="7" t="s">
        <v>857</v>
      </c>
      <c r="B30" s="7" t="s">
        <v>541</v>
      </c>
      <c r="C30" s="7" t="s">
        <v>542</v>
      </c>
      <c r="D30" s="11" t="s">
        <v>542</v>
      </c>
      <c r="E30" s="7" t="s">
        <v>592</v>
      </c>
      <c r="F30" s="7" t="s">
        <v>370</v>
      </c>
      <c r="G30" s="7" t="s">
        <v>852</v>
      </c>
      <c r="H30" s="7" t="s">
        <v>415</v>
      </c>
      <c r="J30" s="7" t="s">
        <v>29</v>
      </c>
    </row>
    <row r="31" spans="1:10">
      <c r="A31" s="7" t="s">
        <v>858</v>
      </c>
      <c r="B31" s="7" t="s">
        <v>541</v>
      </c>
      <c r="C31" s="7" t="s">
        <v>542</v>
      </c>
      <c r="D31" s="11" t="s">
        <v>542</v>
      </c>
      <c r="E31" s="7" t="s">
        <v>816</v>
      </c>
      <c r="F31" s="7" t="s">
        <v>817</v>
      </c>
      <c r="G31" s="7" t="s">
        <v>818</v>
      </c>
      <c r="H31" s="7" t="s">
        <v>415</v>
      </c>
      <c r="J31" s="7" t="s">
        <v>29</v>
      </c>
    </row>
    <row r="32" spans="1:10">
      <c r="A32" s="7"/>
    </row>
  </sheetData>
  <sheetProtection algorithmName="SHA-512" hashValue="TfRdzHxREMq/D5KmYySNLAUHbhTxWI7vuSJGAlRRqQ5XgiohqndE2+ajx5mBSn9BcynnLwgB/6xrbIhS4d54IQ==" saltValue="RLuHi/yKcc0D2D8cj7am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571C-9ACC-4846-812C-2D26B943F797}">
  <sheetPr codeName="Sheet5"/>
  <dimension ref="A1:K339"/>
  <sheetViews>
    <sheetView zoomScale="125" zoomScaleNormal="115" workbookViewId="0">
      <selection activeCell="A339" sqref="A323:A339"/>
    </sheetView>
  </sheetViews>
  <sheetFormatPr baseColWidth="10" defaultColWidth="8.83203125" defaultRowHeight="17"/>
  <cols>
    <col min="1" max="1" width="53.33203125" customWidth="1"/>
    <col min="2" max="2" width="10.5" customWidth="1"/>
    <col min="3" max="3" width="16.33203125" style="67" bestFit="1" customWidth="1"/>
    <col min="4" max="4" width="22.5" style="67" customWidth="1"/>
    <col min="5" max="5" width="37" customWidth="1"/>
    <col min="6" max="6" width="24.5" bestFit="1" customWidth="1"/>
    <col min="7" max="7" width="12" bestFit="1" customWidth="1"/>
    <col min="8" max="8" width="14" customWidth="1"/>
    <col min="9" max="9" width="89" bestFit="1" customWidth="1"/>
    <col min="10" max="10" width="19" customWidth="1"/>
  </cols>
  <sheetData>
    <row r="1" spans="1:11" ht="20">
      <c r="A1" s="6" t="s">
        <v>859</v>
      </c>
      <c r="B1" s="6"/>
      <c r="C1" s="69"/>
      <c r="D1" s="69"/>
      <c r="E1" s="3"/>
      <c r="F1" s="3"/>
      <c r="G1" s="3"/>
      <c r="H1" s="3"/>
      <c r="I1" s="3"/>
      <c r="J1" s="3"/>
    </row>
    <row r="2" spans="1:11">
      <c r="A2" s="118" t="s">
        <v>860</v>
      </c>
      <c r="B2" s="118" t="s">
        <v>810</v>
      </c>
      <c r="C2" s="124" t="s">
        <v>4</v>
      </c>
      <c r="D2" s="124" t="s">
        <v>5</v>
      </c>
      <c r="E2" s="118" t="s">
        <v>6</v>
      </c>
      <c r="F2" s="118" t="s">
        <v>811</v>
      </c>
      <c r="G2" s="118" t="s">
        <v>11</v>
      </c>
      <c r="H2" s="118" t="s">
        <v>861</v>
      </c>
      <c r="I2" s="118" t="s">
        <v>813</v>
      </c>
      <c r="J2" s="118" t="s">
        <v>862</v>
      </c>
      <c r="K2" s="261" t="s">
        <v>863</v>
      </c>
    </row>
    <row r="3" spans="1:11" ht="18" customHeight="1">
      <c r="A3" t="s">
        <v>40</v>
      </c>
      <c r="B3" s="7" t="s">
        <v>543</v>
      </c>
      <c r="C3" s="69" t="s">
        <v>542</v>
      </c>
      <c r="D3" s="69" t="s">
        <v>568</v>
      </c>
      <c r="E3" s="7" t="s">
        <v>628</v>
      </c>
      <c r="F3" t="s">
        <v>598</v>
      </c>
      <c r="G3" s="7" t="s">
        <v>864</v>
      </c>
      <c r="H3" s="7" t="s">
        <v>864</v>
      </c>
      <c r="I3" s="7" t="s">
        <v>865</v>
      </c>
      <c r="J3" s="67">
        <f>VLOOKUP(표4[[#This Row],[Team]],표1[[내역]:[코스트 센터]],2,0)</f>
        <v>100415</v>
      </c>
      <c r="K3" s="67" t="str">
        <f>VLOOKUP(표4[[#This Row],[Project]],표2[],2,0)</f>
        <v>P100030073</v>
      </c>
    </row>
    <row r="4" spans="1:11">
      <c r="A4" t="s">
        <v>48</v>
      </c>
      <c r="B4" s="7" t="s">
        <v>543</v>
      </c>
      <c r="C4" s="69" t="s">
        <v>542</v>
      </c>
      <c r="D4" s="69" t="s">
        <v>542</v>
      </c>
      <c r="E4" s="7" t="s">
        <v>592</v>
      </c>
      <c r="F4" s="7" t="s">
        <v>370</v>
      </c>
      <c r="G4" s="7" t="s">
        <v>866</v>
      </c>
      <c r="H4" s="7" t="s">
        <v>866</v>
      </c>
      <c r="I4" s="7"/>
      <c r="J4" s="67">
        <f>VLOOKUP(표4[[#This Row],[Team]],표1[[내역]:[코스트 센터]],2,0)</f>
        <v>100036</v>
      </c>
      <c r="K4" s="67" t="str">
        <f>VLOOKUP(표4[[#This Row],[Project]],표2[],2,0)</f>
        <v>I100099999</v>
      </c>
    </row>
    <row r="5" spans="1:11">
      <c r="A5" s="7" t="s">
        <v>50</v>
      </c>
      <c r="B5" s="7" t="s">
        <v>543</v>
      </c>
      <c r="C5" s="69" t="s">
        <v>542</v>
      </c>
      <c r="D5" s="69" t="s">
        <v>570</v>
      </c>
      <c r="E5" s="7" t="s">
        <v>678</v>
      </c>
      <c r="F5" s="7" t="s">
        <v>679</v>
      </c>
      <c r="G5" s="7" t="s">
        <v>867</v>
      </c>
      <c r="H5" s="7" t="s">
        <v>868</v>
      </c>
      <c r="I5" s="7"/>
      <c r="J5" s="67">
        <f>VLOOKUP(표4[[#This Row],[Team]],표1[[내역]:[코스트 센터]],2,0)</f>
        <v>100561</v>
      </c>
      <c r="K5" s="67" t="str">
        <f>VLOOKUP(표4[[#This Row],[Project]],표2[],2,0)</f>
        <v>P100010013</v>
      </c>
    </row>
    <row r="6" spans="1:11" ht="32">
      <c r="A6" t="s">
        <v>51</v>
      </c>
      <c r="B6" s="128" t="s">
        <v>543</v>
      </c>
      <c r="C6" s="69" t="s">
        <v>542</v>
      </c>
      <c r="D6" s="129" t="s">
        <v>869</v>
      </c>
      <c r="E6" s="128" t="s">
        <v>870</v>
      </c>
      <c r="F6" s="128" t="s">
        <v>621</v>
      </c>
      <c r="G6" s="128" t="s">
        <v>871</v>
      </c>
      <c r="H6" s="128" t="s">
        <v>871</v>
      </c>
      <c r="I6" s="130" t="s">
        <v>872</v>
      </c>
      <c r="J6" s="67" t="e">
        <f>VLOOKUP(표4[[#This Row],[Team]],표1[[내역]:[코스트 센터]],2,0)</f>
        <v>#N/A</v>
      </c>
      <c r="K6" s="67" t="str">
        <f>VLOOKUP(표4[[#This Row],[Project]],표2[],2,0)</f>
        <v>P100010055</v>
      </c>
    </row>
    <row r="7" spans="1:11">
      <c r="A7" s="8" t="s">
        <v>873</v>
      </c>
      <c r="B7" s="7" t="s">
        <v>543</v>
      </c>
      <c r="C7" s="69" t="s">
        <v>542</v>
      </c>
      <c r="D7" s="69" t="s">
        <v>542</v>
      </c>
      <c r="E7" s="7" t="s">
        <v>592</v>
      </c>
      <c r="F7" s="7" t="s">
        <v>370</v>
      </c>
      <c r="G7" s="7" t="s">
        <v>874</v>
      </c>
      <c r="H7" s="8" t="s">
        <v>875</v>
      </c>
      <c r="I7" s="7" t="s">
        <v>876</v>
      </c>
      <c r="J7" s="67">
        <f>VLOOKUP(표4[[#This Row],[Team]],표1[[내역]:[코스트 센터]],2,0)</f>
        <v>100036</v>
      </c>
      <c r="K7" s="67" t="str">
        <f>VLOOKUP(표4[[#This Row],[Project]],표2[],2,0)</f>
        <v>I100099999</v>
      </c>
    </row>
    <row r="8" spans="1:11">
      <c r="A8" s="7" t="s">
        <v>877</v>
      </c>
      <c r="B8" s="7" t="s">
        <v>543</v>
      </c>
      <c r="C8" s="69" t="s">
        <v>542</v>
      </c>
      <c r="D8" s="69" t="s">
        <v>542</v>
      </c>
      <c r="E8" s="7" t="s">
        <v>609</v>
      </c>
      <c r="F8" s="7" t="s">
        <v>370</v>
      </c>
      <c r="G8" s="7" t="s">
        <v>874</v>
      </c>
      <c r="H8" s="7" t="s">
        <v>878</v>
      </c>
      <c r="I8" t="s">
        <v>879</v>
      </c>
      <c r="J8" s="67">
        <f>VLOOKUP(표4[[#This Row],[Team]],표1[[내역]:[코스트 센터]],2,0)</f>
        <v>100212</v>
      </c>
      <c r="K8" s="67" t="str">
        <f>VLOOKUP(표4[[#This Row],[Project]],표2[],2,0)</f>
        <v>I100099999</v>
      </c>
    </row>
    <row r="9" spans="1:11">
      <c r="A9" s="7" t="s">
        <v>880</v>
      </c>
      <c r="B9" s="7" t="s">
        <v>543</v>
      </c>
      <c r="C9" s="67" t="s">
        <v>391</v>
      </c>
      <c r="D9" s="69" t="s">
        <v>391</v>
      </c>
      <c r="E9" s="7" t="s">
        <v>677</v>
      </c>
      <c r="F9" s="7" t="s">
        <v>370</v>
      </c>
      <c r="G9" s="7" t="s">
        <v>881</v>
      </c>
      <c r="H9" s="7" t="s">
        <v>881</v>
      </c>
      <c r="I9" t="s">
        <v>882</v>
      </c>
      <c r="J9" s="67">
        <f>VLOOKUP(표4[[#This Row],[Team]],표1[[내역]:[코스트 센터]],2,0)</f>
        <v>100677</v>
      </c>
      <c r="K9" s="67" t="str">
        <f>VLOOKUP(표4[[#This Row],[Project]],표2[],2,0)</f>
        <v>I100099999</v>
      </c>
    </row>
    <row r="10" spans="1:11">
      <c r="A10" t="s">
        <v>883</v>
      </c>
      <c r="B10" s="7" t="s">
        <v>543</v>
      </c>
      <c r="C10" s="67" t="s">
        <v>391</v>
      </c>
      <c r="D10" s="69" t="s">
        <v>391</v>
      </c>
      <c r="E10" s="7" t="s">
        <v>644</v>
      </c>
      <c r="F10" s="7" t="s">
        <v>635</v>
      </c>
      <c r="G10" s="7" t="s">
        <v>884</v>
      </c>
      <c r="H10" s="7" t="s">
        <v>885</v>
      </c>
      <c r="I10" t="s">
        <v>886</v>
      </c>
      <c r="J10" s="67">
        <f>VLOOKUP(표4[[#This Row],[Team]],표1[[내역]:[코스트 센터]],2,0)</f>
        <v>100810</v>
      </c>
      <c r="K10" s="67" t="str">
        <f>VLOOKUP(표4[[#This Row],[Project]],표2[],2,0)</f>
        <v>I100090817</v>
      </c>
    </row>
    <row r="11" spans="1:11">
      <c r="A11" t="s">
        <v>887</v>
      </c>
      <c r="B11" s="7" t="s">
        <v>543</v>
      </c>
      <c r="C11" s="67" t="s">
        <v>391</v>
      </c>
      <c r="D11" s="69" t="s">
        <v>391</v>
      </c>
      <c r="E11" s="7" t="s">
        <v>609</v>
      </c>
      <c r="F11" s="7" t="s">
        <v>635</v>
      </c>
      <c r="G11" s="7" t="s">
        <v>888</v>
      </c>
      <c r="H11" s="7" t="s">
        <v>888</v>
      </c>
      <c r="I11" s="7" t="s">
        <v>889</v>
      </c>
      <c r="J11" s="67">
        <f>VLOOKUP(표4[[#This Row],[Team]],표1[[내역]:[코스트 센터]],2,0)</f>
        <v>100212</v>
      </c>
      <c r="K11" s="67" t="str">
        <f>VLOOKUP(표4[[#This Row],[Project]],표2[],2,0)</f>
        <v>I100090817</v>
      </c>
    </row>
    <row r="12" spans="1:11">
      <c r="A12" s="7" t="s">
        <v>60</v>
      </c>
      <c r="B12" s="7" t="s">
        <v>543</v>
      </c>
      <c r="C12" s="67" t="s">
        <v>542</v>
      </c>
      <c r="D12" s="69" t="s">
        <v>542</v>
      </c>
      <c r="E12" s="7" t="s">
        <v>616</v>
      </c>
      <c r="F12" s="7" t="s">
        <v>370</v>
      </c>
      <c r="G12" s="7" t="s">
        <v>890</v>
      </c>
      <c r="H12" s="7" t="s">
        <v>890</v>
      </c>
      <c r="I12" s="7"/>
      <c r="J12" s="67">
        <f>VLOOKUP(표4[[#This Row],[Team]],표1[[내역]:[코스트 센터]],2,0)</f>
        <v>101451</v>
      </c>
      <c r="K12" s="67" t="str">
        <f>VLOOKUP(표4[[#This Row],[Project]],표2[],2,0)</f>
        <v>I100099999</v>
      </c>
    </row>
    <row r="13" spans="1:11">
      <c r="A13" t="s">
        <v>61</v>
      </c>
      <c r="B13" s="7" t="s">
        <v>543</v>
      </c>
      <c r="C13" s="67" t="s">
        <v>542</v>
      </c>
      <c r="D13" s="69" t="s">
        <v>542</v>
      </c>
      <c r="E13" s="67" t="s">
        <v>891</v>
      </c>
      <c r="F13" s="7" t="s">
        <v>594</v>
      </c>
      <c r="G13" s="7" t="s">
        <v>892</v>
      </c>
      <c r="H13" s="7" t="s">
        <v>892</v>
      </c>
      <c r="I13" s="7" t="s">
        <v>893</v>
      </c>
      <c r="J13" s="67">
        <f>VLOOKUP(표4[[#This Row],[Team]],표1[[내역]:[코스트 센터]],2,0)</f>
        <v>101721</v>
      </c>
      <c r="K13" s="67" t="str">
        <f>VLOOKUP(표4[[#This Row],[Project]],표2[],2,0)</f>
        <v>P100010012</v>
      </c>
    </row>
    <row r="14" spans="1:11" ht="32">
      <c r="A14" s="7" t="s">
        <v>894</v>
      </c>
      <c r="B14" s="7" t="s">
        <v>543</v>
      </c>
      <c r="C14" s="67" t="s">
        <v>544</v>
      </c>
      <c r="D14" s="69" t="s">
        <v>544</v>
      </c>
      <c r="E14" s="7" t="s">
        <v>895</v>
      </c>
      <c r="F14" s="7" t="s">
        <v>598</v>
      </c>
      <c r="G14" s="248" t="s">
        <v>896</v>
      </c>
      <c r="H14" s="248" t="s">
        <v>896</v>
      </c>
      <c r="I14" s="130" t="s">
        <v>897</v>
      </c>
      <c r="J14" s="67">
        <f>VLOOKUP(표4[[#This Row],[Team]],표1[[내역]:[코스트 센터]],2,0)</f>
        <v>110099</v>
      </c>
      <c r="K14" s="67" t="str">
        <f>VLOOKUP(표4[[#This Row],[Project]],표2[],2,0)</f>
        <v>P100030073</v>
      </c>
    </row>
    <row r="15" spans="1:11">
      <c r="A15" s="125" t="s">
        <v>898</v>
      </c>
      <c r="B15" s="125" t="s">
        <v>543</v>
      </c>
      <c r="C15" s="132" t="s">
        <v>542</v>
      </c>
      <c r="D15" s="126" t="s">
        <v>542</v>
      </c>
      <c r="E15" s="125" t="s">
        <v>609</v>
      </c>
      <c r="F15" s="125" t="s">
        <v>370</v>
      </c>
      <c r="G15" s="125" t="s">
        <v>874</v>
      </c>
      <c r="H15" s="125" t="s">
        <v>899</v>
      </c>
      <c r="I15" s="125"/>
      <c r="J15" s="67">
        <f>VLOOKUP(표4[[#This Row],[Team]],표1[[내역]:[코스트 센터]],2,0)</f>
        <v>100212</v>
      </c>
      <c r="K15" s="67" t="str">
        <f>VLOOKUP(표4[[#This Row],[Project]],표2[],2,0)</f>
        <v>I100099999</v>
      </c>
    </row>
    <row r="16" spans="1:11">
      <c r="A16" s="132" t="s">
        <v>900</v>
      </c>
      <c r="B16" s="125" t="s">
        <v>543</v>
      </c>
      <c r="C16" s="132" t="s">
        <v>542</v>
      </c>
      <c r="D16" s="126" t="s">
        <v>542</v>
      </c>
      <c r="E16" s="125" t="s">
        <v>595</v>
      </c>
      <c r="F16" s="125" t="s">
        <v>596</v>
      </c>
      <c r="G16" s="125" t="s">
        <v>901</v>
      </c>
      <c r="H16" s="125" t="s">
        <v>901</v>
      </c>
      <c r="I16" t="s">
        <v>902</v>
      </c>
      <c r="J16" s="67">
        <f>VLOOKUP(표4[[#This Row],[Team]],표1[[내역]:[코스트 센터]],2,0)</f>
        <v>100025</v>
      </c>
      <c r="K16" s="67" t="str">
        <f>VLOOKUP(표4[[#This Row],[Project]],표2[],2,0)</f>
        <v>I100090813</v>
      </c>
    </row>
    <row r="17" spans="1:11">
      <c r="A17" s="125" t="s">
        <v>903</v>
      </c>
      <c r="B17" s="125" t="s">
        <v>543</v>
      </c>
      <c r="C17" s="125" t="s">
        <v>542</v>
      </c>
      <c r="D17" s="133" t="s">
        <v>542</v>
      </c>
      <c r="E17" s="125" t="s">
        <v>623</v>
      </c>
      <c r="F17" s="127" t="s">
        <v>624</v>
      </c>
      <c r="G17" s="125" t="s">
        <v>904</v>
      </c>
      <c r="H17" s="125" t="s">
        <v>904</v>
      </c>
      <c r="I17" s="134" t="s">
        <v>905</v>
      </c>
      <c r="J17" s="67">
        <f>VLOOKUP(표4[[#This Row],[Team]],표1[[내역]:[코스트 센터]],2,0)</f>
        <v>100033</v>
      </c>
      <c r="K17" s="67" t="str">
        <f>VLOOKUP(표4[[#This Row],[Project]],표2[],2,0)</f>
        <v>P100030012</v>
      </c>
    </row>
    <row r="18" spans="1:11">
      <c r="A18" s="125" t="s">
        <v>906</v>
      </c>
      <c r="B18" s="125" t="s">
        <v>543</v>
      </c>
      <c r="C18" s="132" t="s">
        <v>542</v>
      </c>
      <c r="D18" s="126" t="s">
        <v>568</v>
      </c>
      <c r="E18" s="125" t="s">
        <v>907</v>
      </c>
      <c r="F18" s="127" t="s">
        <v>676</v>
      </c>
      <c r="G18" s="125" t="s">
        <v>908</v>
      </c>
      <c r="H18" s="125" t="s">
        <v>908</v>
      </c>
      <c r="I18" s="125" t="s">
        <v>909</v>
      </c>
      <c r="J18" s="67">
        <f>VLOOKUP(표4[[#This Row],[Team]],표1[[내역]:[코스트 센터]],2,0)</f>
        <v>101716</v>
      </c>
      <c r="K18" s="67" t="str">
        <f>VLOOKUP(표4[[#This Row],[Project]],표2[],2,0)</f>
        <v>P100030851</v>
      </c>
    </row>
    <row r="19" spans="1:11">
      <c r="A19" s="125" t="s">
        <v>910</v>
      </c>
      <c r="B19" s="125" t="s">
        <v>543</v>
      </c>
      <c r="C19" s="132" t="s">
        <v>542</v>
      </c>
      <c r="D19" s="126" t="s">
        <v>542</v>
      </c>
      <c r="E19" s="125" t="s">
        <v>609</v>
      </c>
      <c r="F19" s="125" t="s">
        <v>370</v>
      </c>
      <c r="G19" s="125" t="s">
        <v>874</v>
      </c>
      <c r="H19" s="125" t="s">
        <v>899</v>
      </c>
      <c r="I19" s="125"/>
      <c r="J19" s="67">
        <f>VLOOKUP(표4[[#This Row],[Team]],표1[[내역]:[코스트 센터]],2,0)</f>
        <v>100212</v>
      </c>
      <c r="K19" s="67" t="str">
        <f>VLOOKUP(표4[[#This Row],[Project]],표2[],2,0)</f>
        <v>I100099999</v>
      </c>
    </row>
    <row r="20" spans="1:11">
      <c r="A20" t="s">
        <v>911</v>
      </c>
      <c r="B20" s="7" t="s">
        <v>543</v>
      </c>
      <c r="C20" s="67" t="s">
        <v>542</v>
      </c>
      <c r="D20" s="69" t="s">
        <v>542</v>
      </c>
      <c r="E20" s="7" t="s">
        <v>816</v>
      </c>
      <c r="F20" s="7" t="s">
        <v>598</v>
      </c>
      <c r="G20" s="7" t="s">
        <v>818</v>
      </c>
      <c r="H20" s="7" t="s">
        <v>818</v>
      </c>
      <c r="I20" s="7" t="s">
        <v>912</v>
      </c>
      <c r="J20" s="67">
        <f>VLOOKUP(표4[[#This Row],[Team]],표1[[내역]:[코스트 센터]],2,0)</f>
        <v>101269</v>
      </c>
      <c r="K20" s="67" t="str">
        <f>VLOOKUP(표4[[#This Row],[Project]],표2[],2,0)</f>
        <v>P100030073</v>
      </c>
    </row>
    <row r="21" spans="1:11">
      <c r="A21" t="s">
        <v>913</v>
      </c>
      <c r="B21" s="7" t="s">
        <v>543</v>
      </c>
      <c r="C21" s="67" t="s">
        <v>391</v>
      </c>
      <c r="D21" s="69" t="s">
        <v>391</v>
      </c>
      <c r="E21" s="7" t="s">
        <v>914</v>
      </c>
      <c r="F21" s="7" t="s">
        <v>635</v>
      </c>
      <c r="G21" s="7" t="s">
        <v>915</v>
      </c>
      <c r="H21" s="7" t="s">
        <v>916</v>
      </c>
      <c r="I21" s="7"/>
      <c r="J21" s="67">
        <f>VLOOKUP(표4[[#This Row],[Team]],표1[[내역]:[코스트 센터]],2,0)</f>
        <v>102159</v>
      </c>
      <c r="K21" s="67" t="str">
        <f>VLOOKUP(표4[[#This Row],[Project]],표2[],2,0)</f>
        <v>I100090817</v>
      </c>
    </row>
    <row r="22" spans="1:11">
      <c r="A22" s="7" t="s">
        <v>917</v>
      </c>
      <c r="B22" s="7" t="s">
        <v>543</v>
      </c>
      <c r="C22" s="135" t="s">
        <v>542</v>
      </c>
      <c r="D22" s="69" t="s">
        <v>542</v>
      </c>
      <c r="E22" s="7" t="s">
        <v>609</v>
      </c>
      <c r="F22" s="7" t="s">
        <v>370</v>
      </c>
      <c r="G22" s="125" t="s">
        <v>874</v>
      </c>
      <c r="H22" s="7" t="s">
        <v>878</v>
      </c>
      <c r="I22" t="s">
        <v>918</v>
      </c>
      <c r="J22" s="67">
        <f>VLOOKUP(표4[[#This Row],[Team]],표1[[내역]:[코스트 센터]],2,0)</f>
        <v>100212</v>
      </c>
      <c r="K22" s="67" t="str">
        <f>VLOOKUP(표4[[#This Row],[Project]],표2[],2,0)</f>
        <v>I100099999</v>
      </c>
    </row>
    <row r="23" spans="1:11">
      <c r="A23" s="8" t="s">
        <v>919</v>
      </c>
      <c r="B23" s="7" t="s">
        <v>543</v>
      </c>
      <c r="C23" s="135" t="s">
        <v>542</v>
      </c>
      <c r="D23" s="69" t="s">
        <v>542</v>
      </c>
      <c r="E23" s="7" t="s">
        <v>542</v>
      </c>
      <c r="F23" s="7" t="s">
        <v>370</v>
      </c>
      <c r="G23" s="7" t="s">
        <v>845</v>
      </c>
      <c r="H23" s="7" t="s">
        <v>920</v>
      </c>
      <c r="I23" s="7" t="s">
        <v>921</v>
      </c>
      <c r="J23" s="67">
        <f>VLOOKUP(표4[[#This Row],[Team]],표1[[내역]:[코스트 센터]],2,0)</f>
        <v>100009</v>
      </c>
      <c r="K23" s="67" t="str">
        <f>VLOOKUP(표4[[#This Row],[Project]],표2[],2,0)</f>
        <v>I100099999</v>
      </c>
    </row>
    <row r="24" spans="1:11">
      <c r="A24" s="7" t="s">
        <v>922</v>
      </c>
      <c r="B24" s="7" t="s">
        <v>543</v>
      </c>
      <c r="C24" s="67" t="s">
        <v>565</v>
      </c>
      <c r="D24" s="69" t="s">
        <v>565</v>
      </c>
      <c r="E24" s="7" t="s">
        <v>923</v>
      </c>
      <c r="F24" s="7" t="s">
        <v>370</v>
      </c>
      <c r="G24" s="7" t="s">
        <v>924</v>
      </c>
      <c r="H24" s="7" t="s">
        <v>924</v>
      </c>
      <c r="I24" s="7" t="s">
        <v>925</v>
      </c>
      <c r="J24" s="67" t="e">
        <f>VLOOKUP(표4[[#This Row],[Team]],표1[[내역]:[코스트 센터]],2,0)</f>
        <v>#N/A</v>
      </c>
      <c r="K24" s="67" t="str">
        <f>VLOOKUP(표4[[#This Row],[Project]],표2[],2,0)</f>
        <v>I100099999</v>
      </c>
    </row>
    <row r="25" spans="1:11">
      <c r="A25" t="s">
        <v>73</v>
      </c>
      <c r="B25" s="7" t="s">
        <v>543</v>
      </c>
      <c r="C25" s="69" t="s">
        <v>542</v>
      </c>
      <c r="D25" s="69" t="s">
        <v>926</v>
      </c>
      <c r="E25" s="7" t="s">
        <v>659</v>
      </c>
      <c r="F25" s="7" t="s">
        <v>927</v>
      </c>
      <c r="G25" s="7" t="s">
        <v>928</v>
      </c>
      <c r="H25" s="7" t="s">
        <v>928</v>
      </c>
      <c r="I25" s="7" t="s">
        <v>929</v>
      </c>
      <c r="J25" s="67">
        <f>VLOOKUP(표4[[#This Row],[Team]],표1[[내역]:[코스트 센터]],2,0)</f>
        <v>100762</v>
      </c>
      <c r="K25" s="67" t="str">
        <f>VLOOKUP(표4[[#This Row],[Project]],표2[],2,0)</f>
        <v>P100020081</v>
      </c>
    </row>
    <row r="26" spans="1:11">
      <c r="A26" s="7" t="s">
        <v>74</v>
      </c>
      <c r="B26" s="7" t="s">
        <v>543</v>
      </c>
      <c r="C26" s="69" t="s">
        <v>542</v>
      </c>
      <c r="D26" s="69" t="s">
        <v>542</v>
      </c>
      <c r="E26" s="7" t="s">
        <v>595</v>
      </c>
      <c r="F26" s="7" t="s">
        <v>596</v>
      </c>
      <c r="G26" s="7" t="s">
        <v>930</v>
      </c>
      <c r="H26" s="7" t="s">
        <v>930</v>
      </c>
      <c r="I26" s="7" t="s">
        <v>931</v>
      </c>
      <c r="J26" s="67">
        <f>VLOOKUP(표4[[#This Row],[Team]],표1[[내역]:[코스트 센터]],2,0)</f>
        <v>100025</v>
      </c>
      <c r="K26" s="67" t="str">
        <f>VLOOKUP(표4[[#This Row],[Project]],표2[],2,0)</f>
        <v>I100090813</v>
      </c>
    </row>
    <row r="27" spans="1:11">
      <c r="A27" s="7" t="s">
        <v>75</v>
      </c>
      <c r="B27" s="7" t="s">
        <v>543</v>
      </c>
      <c r="C27" s="69" t="s">
        <v>542</v>
      </c>
      <c r="D27" s="69" t="s">
        <v>542</v>
      </c>
      <c r="E27" s="7" t="s">
        <v>833</v>
      </c>
      <c r="F27" s="7" t="s">
        <v>596</v>
      </c>
      <c r="G27" s="7" t="s">
        <v>930</v>
      </c>
      <c r="H27" s="7" t="s">
        <v>930</v>
      </c>
      <c r="I27" s="7" t="s">
        <v>931</v>
      </c>
      <c r="J27" s="67">
        <f>VLOOKUP(표4[[#This Row],[Team]],표1[[내역]:[코스트 센터]],2,0)</f>
        <v>100025</v>
      </c>
      <c r="K27" s="67" t="str">
        <f>VLOOKUP(표4[[#This Row],[Project]],표2[],2,0)</f>
        <v>I100090813</v>
      </c>
    </row>
    <row r="28" spans="1:11">
      <c r="A28" s="7" t="s">
        <v>91</v>
      </c>
      <c r="B28" s="7" t="s">
        <v>543</v>
      </c>
      <c r="C28" s="69" t="s">
        <v>565</v>
      </c>
      <c r="D28" s="69" t="s">
        <v>565</v>
      </c>
      <c r="E28" s="7" t="s">
        <v>932</v>
      </c>
      <c r="F28" s="7" t="s">
        <v>370</v>
      </c>
      <c r="G28" s="7" t="s">
        <v>837</v>
      </c>
      <c r="H28" s="7" t="s">
        <v>837</v>
      </c>
      <c r="I28" s="7"/>
      <c r="J28" s="67" t="e">
        <f>VLOOKUP(표4[[#This Row],[Team]],표1[[내역]:[코스트 센터]],2,0)</f>
        <v>#N/A</v>
      </c>
      <c r="K28" s="67" t="str">
        <f>VLOOKUP(표4[[#This Row],[Project]],표2[],2,0)</f>
        <v>I100099999</v>
      </c>
    </row>
    <row r="29" spans="1:11">
      <c r="A29" s="7" t="s">
        <v>92</v>
      </c>
      <c r="B29" s="7" t="s">
        <v>543</v>
      </c>
      <c r="C29" s="69" t="s">
        <v>565</v>
      </c>
      <c r="D29" s="69" t="s">
        <v>565</v>
      </c>
      <c r="E29" s="7" t="s">
        <v>836</v>
      </c>
      <c r="F29" s="7" t="s">
        <v>370</v>
      </c>
      <c r="G29" s="7" t="s">
        <v>837</v>
      </c>
      <c r="H29" s="7" t="s">
        <v>837</v>
      </c>
      <c r="I29" s="7"/>
      <c r="J29" s="67">
        <f>VLOOKUP(표4[[#This Row],[Team]],표1[[내역]:[코스트 센터]],2,0)</f>
        <v>460005</v>
      </c>
      <c r="K29" s="67" t="str">
        <f>VLOOKUP(표4[[#This Row],[Project]],표2[],2,0)</f>
        <v>I100099999</v>
      </c>
    </row>
    <row r="30" spans="1:11">
      <c r="A30" s="8" t="s">
        <v>933</v>
      </c>
      <c r="B30" s="7" t="s">
        <v>543</v>
      </c>
      <c r="C30" s="69" t="s">
        <v>542</v>
      </c>
      <c r="D30" s="69" t="s">
        <v>934</v>
      </c>
      <c r="E30" s="7" t="s">
        <v>666</v>
      </c>
      <c r="F30" s="7" t="s">
        <v>935</v>
      </c>
      <c r="G30" s="7" t="s">
        <v>936</v>
      </c>
      <c r="H30" s="7" t="s">
        <v>936</v>
      </c>
      <c r="I30" s="7"/>
      <c r="J30" s="67">
        <f>VLOOKUP(표4[[#This Row],[Team]],표1[[내역]:[코스트 센터]],2,0)</f>
        <v>100829</v>
      </c>
      <c r="K30" s="67" t="str">
        <f>VLOOKUP(표4[[#This Row],[Project]],표2[],2,0)</f>
        <v>P100010048</v>
      </c>
    </row>
    <row r="31" spans="1:11">
      <c r="A31" t="s">
        <v>937</v>
      </c>
      <c r="B31" s="7" t="s">
        <v>543</v>
      </c>
      <c r="C31" s="69" t="s">
        <v>542</v>
      </c>
      <c r="D31" s="69" t="s">
        <v>934</v>
      </c>
      <c r="E31" s="7" t="s">
        <v>592</v>
      </c>
      <c r="F31" s="7" t="s">
        <v>629</v>
      </c>
      <c r="G31" s="7" t="s">
        <v>832</v>
      </c>
      <c r="H31" s="7" t="s">
        <v>832</v>
      </c>
      <c r="I31" s="7" t="s">
        <v>938</v>
      </c>
      <c r="J31" s="67">
        <f>VLOOKUP(표4[[#This Row],[Team]],표1[[내역]:[코스트 센터]],2,0)</f>
        <v>100036</v>
      </c>
      <c r="K31" s="67" t="str">
        <f>VLOOKUP(표4[[#This Row],[Project]],표2[],2,0)</f>
        <v>P100010048</v>
      </c>
    </row>
    <row r="32" spans="1:11">
      <c r="A32" s="7" t="s">
        <v>97</v>
      </c>
      <c r="B32" s="7" t="s">
        <v>543</v>
      </c>
      <c r="C32" s="69" t="s">
        <v>542</v>
      </c>
      <c r="D32" s="69" t="s">
        <v>570</v>
      </c>
      <c r="E32" s="7" t="s">
        <v>678</v>
      </c>
      <c r="F32" s="7" t="s">
        <v>679</v>
      </c>
      <c r="G32" s="7" t="s">
        <v>939</v>
      </c>
      <c r="H32" s="7" t="s">
        <v>868</v>
      </c>
      <c r="I32" s="7"/>
      <c r="J32" s="67">
        <f>VLOOKUP(표4[[#This Row],[Team]],표1[[내역]:[코스트 센터]],2,0)</f>
        <v>100561</v>
      </c>
      <c r="K32" s="67" t="str">
        <f>VLOOKUP(표4[[#This Row],[Project]],표2[],2,0)</f>
        <v>P100010013</v>
      </c>
    </row>
    <row r="33" spans="1:11">
      <c r="A33" s="7" t="s">
        <v>98</v>
      </c>
      <c r="B33" s="7" t="s">
        <v>543</v>
      </c>
      <c r="C33" s="69" t="s">
        <v>542</v>
      </c>
      <c r="D33" s="69" t="s">
        <v>570</v>
      </c>
      <c r="E33" s="7" t="s">
        <v>678</v>
      </c>
      <c r="F33" s="7" t="s">
        <v>679</v>
      </c>
      <c r="G33" s="7" t="s">
        <v>939</v>
      </c>
      <c r="H33" s="7" t="s">
        <v>868</v>
      </c>
      <c r="I33" s="7"/>
      <c r="J33" s="67">
        <f>VLOOKUP(표4[[#This Row],[Team]],표1[[내역]:[코스트 센터]],2,0)</f>
        <v>100561</v>
      </c>
      <c r="K33" s="67" t="str">
        <f>VLOOKUP(표4[[#This Row],[Project]],표2[],2,0)</f>
        <v>P100010013</v>
      </c>
    </row>
    <row r="34" spans="1:11">
      <c r="A34" s="7" t="s">
        <v>99</v>
      </c>
      <c r="B34" s="7" t="s">
        <v>543</v>
      </c>
      <c r="C34" s="69" t="s">
        <v>542</v>
      </c>
      <c r="D34" s="69" t="s">
        <v>570</v>
      </c>
      <c r="E34" s="7" t="s">
        <v>678</v>
      </c>
      <c r="F34" s="7" t="s">
        <v>679</v>
      </c>
      <c r="G34" s="7" t="s">
        <v>939</v>
      </c>
      <c r="H34" s="7" t="s">
        <v>868</v>
      </c>
      <c r="I34" s="7"/>
      <c r="J34" s="67">
        <f>VLOOKUP(표4[[#This Row],[Team]],표1[[내역]:[코스트 센터]],2,0)</f>
        <v>100561</v>
      </c>
      <c r="K34" s="67" t="str">
        <f>VLOOKUP(표4[[#This Row],[Project]],표2[],2,0)</f>
        <v>P100010013</v>
      </c>
    </row>
    <row r="35" spans="1:11">
      <c r="A35" s="7" t="s">
        <v>100</v>
      </c>
      <c r="B35" s="7" t="s">
        <v>543</v>
      </c>
      <c r="C35" s="69" t="s">
        <v>542</v>
      </c>
      <c r="D35" s="69" t="s">
        <v>570</v>
      </c>
      <c r="E35" s="7" t="s">
        <v>678</v>
      </c>
      <c r="F35" s="7" t="s">
        <v>679</v>
      </c>
      <c r="G35" s="7" t="s">
        <v>939</v>
      </c>
      <c r="H35" s="7" t="s">
        <v>868</v>
      </c>
      <c r="I35" s="7"/>
      <c r="J35" s="67">
        <f>VLOOKUP(표4[[#This Row],[Team]],표1[[내역]:[코스트 센터]],2,0)</f>
        <v>100561</v>
      </c>
      <c r="K35" s="67" t="str">
        <f>VLOOKUP(표4[[#This Row],[Project]],표2[],2,0)</f>
        <v>P100010013</v>
      </c>
    </row>
    <row r="36" spans="1:11">
      <c r="A36" s="7" t="s">
        <v>940</v>
      </c>
      <c r="B36" s="7" t="s">
        <v>543</v>
      </c>
      <c r="C36" s="69" t="s">
        <v>542</v>
      </c>
      <c r="D36" s="69" t="s">
        <v>542</v>
      </c>
      <c r="E36" s="7" t="s">
        <v>628</v>
      </c>
      <c r="F36" s="7" t="s">
        <v>594</v>
      </c>
      <c r="G36" s="7" t="s">
        <v>864</v>
      </c>
      <c r="H36" s="7" t="s">
        <v>864</v>
      </c>
      <c r="I36" s="7" t="s">
        <v>941</v>
      </c>
      <c r="J36" s="67">
        <f>VLOOKUP(표4[[#This Row],[Team]],표1[[내역]:[코스트 센터]],2,0)</f>
        <v>100415</v>
      </c>
      <c r="K36" s="67" t="str">
        <f>VLOOKUP(표4[[#This Row],[Project]],표2[],2,0)</f>
        <v>P100010012</v>
      </c>
    </row>
    <row r="37" spans="1:11">
      <c r="A37" t="s">
        <v>942</v>
      </c>
      <c r="B37" s="7" t="s">
        <v>543</v>
      </c>
      <c r="C37" s="69" t="s">
        <v>542</v>
      </c>
      <c r="D37" s="69" t="s">
        <v>934</v>
      </c>
      <c r="E37" s="7" t="s">
        <v>943</v>
      </c>
      <c r="F37" s="7" t="s">
        <v>370</v>
      </c>
      <c r="G37" s="7" t="s">
        <v>944</v>
      </c>
      <c r="H37" s="7" t="s">
        <v>945</v>
      </c>
      <c r="I37" s="7"/>
      <c r="J37" s="67">
        <f>VLOOKUP(표4[[#This Row],[Team]],표1[[내역]:[코스트 센터]],2,0)</f>
        <v>100774</v>
      </c>
      <c r="K37" s="67" t="str">
        <f>VLOOKUP(표4[[#This Row],[Project]],표2[],2,0)</f>
        <v>I100099999</v>
      </c>
    </row>
    <row r="38" spans="1:11">
      <c r="A38" s="7" t="s">
        <v>946</v>
      </c>
      <c r="B38" s="7" t="s">
        <v>543</v>
      </c>
      <c r="C38" s="69" t="s">
        <v>542</v>
      </c>
      <c r="D38" s="69" t="s">
        <v>542</v>
      </c>
      <c r="E38" s="7" t="s">
        <v>612</v>
      </c>
      <c r="F38" s="7" t="s">
        <v>594</v>
      </c>
      <c r="G38" s="7" t="s">
        <v>839</v>
      </c>
      <c r="H38" s="7" t="s">
        <v>840</v>
      </c>
      <c r="I38" s="7"/>
      <c r="J38" s="67">
        <f>VLOOKUP(표4[[#This Row],[Team]],표1[[내역]:[코스트 센터]],2,0)</f>
        <v>100355</v>
      </c>
      <c r="K38" s="67" t="str">
        <f>VLOOKUP(표4[[#This Row],[Project]],표2[],2,0)</f>
        <v>P100010012</v>
      </c>
    </row>
    <row r="39" spans="1:11">
      <c r="A39" t="s">
        <v>103</v>
      </c>
      <c r="B39" s="7" t="s">
        <v>543</v>
      </c>
      <c r="C39" s="69" t="s">
        <v>542</v>
      </c>
      <c r="D39" s="69" t="s">
        <v>542</v>
      </c>
      <c r="E39" s="7" t="s">
        <v>628</v>
      </c>
      <c r="F39" s="7" t="s">
        <v>370</v>
      </c>
      <c r="G39" s="7" t="s">
        <v>864</v>
      </c>
      <c r="H39" s="7" t="s">
        <v>864</v>
      </c>
      <c r="I39" s="7" t="s">
        <v>947</v>
      </c>
      <c r="J39" s="67">
        <f>VLOOKUP(표4[[#This Row],[Team]],표1[[내역]:[코스트 센터]],2,0)</f>
        <v>100415</v>
      </c>
      <c r="K39" s="67" t="str">
        <f>VLOOKUP(표4[[#This Row],[Project]],표2[],2,0)</f>
        <v>I100099999</v>
      </c>
    </row>
    <row r="40" spans="1:11">
      <c r="A40" s="7" t="s">
        <v>948</v>
      </c>
      <c r="B40" s="7" t="s">
        <v>543</v>
      </c>
      <c r="C40" s="69" t="s">
        <v>542</v>
      </c>
      <c r="D40" s="69" t="s">
        <v>568</v>
      </c>
      <c r="E40" s="7" t="s">
        <v>593</v>
      </c>
      <c r="F40" s="7" t="s">
        <v>594</v>
      </c>
      <c r="G40" s="7" t="s">
        <v>839</v>
      </c>
      <c r="H40" s="7" t="s">
        <v>840</v>
      </c>
      <c r="I40" s="7"/>
      <c r="J40" s="67">
        <f>VLOOKUP(표4[[#This Row],[Team]],표1[[내역]:[코스트 센터]],2,0)</f>
        <v>100414</v>
      </c>
      <c r="K40" s="67" t="str">
        <f>VLOOKUP(표4[[#This Row],[Project]],표2[],2,0)</f>
        <v>P100010012</v>
      </c>
    </row>
    <row r="41" spans="1:11">
      <c r="A41" s="7" t="s">
        <v>949</v>
      </c>
      <c r="B41" s="7" t="s">
        <v>543</v>
      </c>
      <c r="C41" s="69" t="s">
        <v>542</v>
      </c>
      <c r="D41" s="69" t="s">
        <v>568</v>
      </c>
      <c r="E41" s="7" t="s">
        <v>612</v>
      </c>
      <c r="F41" s="7" t="s">
        <v>594</v>
      </c>
      <c r="G41" s="7" t="s">
        <v>839</v>
      </c>
      <c r="H41" s="7" t="s">
        <v>840</v>
      </c>
      <c r="I41" s="7"/>
      <c r="J41" s="67">
        <f>VLOOKUP(표4[[#This Row],[Team]],표1[[내역]:[코스트 센터]],2,0)</f>
        <v>100355</v>
      </c>
      <c r="K41" s="67" t="str">
        <f>VLOOKUP(표4[[#This Row],[Project]],표2[],2,0)</f>
        <v>P100010012</v>
      </c>
    </row>
    <row r="42" spans="1:11">
      <c r="A42" s="7" t="s">
        <v>950</v>
      </c>
      <c r="B42" s="7" t="s">
        <v>543</v>
      </c>
      <c r="C42" s="69" t="s">
        <v>542</v>
      </c>
      <c r="D42" s="69" t="s">
        <v>568</v>
      </c>
      <c r="E42" s="7" t="s">
        <v>593</v>
      </c>
      <c r="F42" s="7" t="s">
        <v>594</v>
      </c>
      <c r="G42" s="7" t="s">
        <v>839</v>
      </c>
      <c r="H42" s="7" t="s">
        <v>840</v>
      </c>
      <c r="I42" s="7"/>
      <c r="J42" s="67">
        <f>VLOOKUP(표4[[#This Row],[Team]],표1[[내역]:[코스트 센터]],2,0)</f>
        <v>100414</v>
      </c>
      <c r="K42" s="67" t="str">
        <f>VLOOKUP(표4[[#This Row],[Project]],표2[],2,0)</f>
        <v>P100010012</v>
      </c>
    </row>
    <row r="43" spans="1:11">
      <c r="A43" t="s">
        <v>108</v>
      </c>
      <c r="B43" s="7" t="s">
        <v>543</v>
      </c>
      <c r="C43" s="69" t="s">
        <v>542</v>
      </c>
      <c r="D43" s="69" t="s">
        <v>542</v>
      </c>
      <c r="E43" s="7" t="s">
        <v>951</v>
      </c>
      <c r="F43" s="7" t="s">
        <v>594</v>
      </c>
      <c r="G43" s="7" t="s">
        <v>952</v>
      </c>
      <c r="H43" s="7" t="s">
        <v>952</v>
      </c>
      <c r="I43" s="7"/>
      <c r="J43" s="67">
        <f>VLOOKUP(표4[[#This Row],[Team]],표1[[내역]:[코스트 센터]],2,0)</f>
        <v>100033</v>
      </c>
      <c r="K43" s="67" t="str">
        <f>VLOOKUP(표4[[#This Row],[Project]],표2[],2,0)</f>
        <v>P100010012</v>
      </c>
    </row>
    <row r="44" spans="1:11">
      <c r="A44" s="7" t="s">
        <v>953</v>
      </c>
      <c r="B44" s="7" t="s">
        <v>543</v>
      </c>
      <c r="C44" s="69" t="s">
        <v>542</v>
      </c>
      <c r="D44" s="69" t="s">
        <v>568</v>
      </c>
      <c r="E44" s="7" t="s">
        <v>609</v>
      </c>
      <c r="F44" s="7" t="s">
        <v>594</v>
      </c>
      <c r="G44" s="125" t="s">
        <v>874</v>
      </c>
      <c r="H44" s="7" t="s">
        <v>899</v>
      </c>
      <c r="I44" s="7"/>
      <c r="J44" s="67">
        <f>VLOOKUP(표4[[#This Row],[Team]],표1[[내역]:[코스트 센터]],2,0)</f>
        <v>100212</v>
      </c>
      <c r="K44" s="67" t="str">
        <f>VLOOKUP(표4[[#This Row],[Project]],표2[],2,0)</f>
        <v>P100010012</v>
      </c>
    </row>
    <row r="45" spans="1:11">
      <c r="A45" s="7" t="s">
        <v>954</v>
      </c>
      <c r="B45" s="7" t="s">
        <v>543</v>
      </c>
      <c r="C45" s="69" t="s">
        <v>542</v>
      </c>
      <c r="D45" s="69" t="s">
        <v>568</v>
      </c>
      <c r="E45" s="7" t="s">
        <v>593</v>
      </c>
      <c r="F45" s="7" t="s">
        <v>594</v>
      </c>
      <c r="G45" s="7" t="s">
        <v>839</v>
      </c>
      <c r="H45" s="7" t="s">
        <v>840</v>
      </c>
      <c r="I45" s="7"/>
      <c r="J45" s="67">
        <f>VLOOKUP(표4[[#This Row],[Team]],표1[[내역]:[코스트 센터]],2,0)</f>
        <v>100414</v>
      </c>
      <c r="K45" s="67" t="str">
        <f>VLOOKUP(표4[[#This Row],[Project]],표2[],2,0)</f>
        <v>P100010012</v>
      </c>
    </row>
    <row r="46" spans="1:11">
      <c r="A46" t="s">
        <v>111</v>
      </c>
      <c r="B46" s="7" t="s">
        <v>543</v>
      </c>
      <c r="C46" s="69" t="s">
        <v>542</v>
      </c>
      <c r="D46" s="69" t="s">
        <v>542</v>
      </c>
      <c r="E46" s="7" t="s">
        <v>951</v>
      </c>
      <c r="F46" s="7" t="s">
        <v>624</v>
      </c>
      <c r="G46" s="7" t="s">
        <v>952</v>
      </c>
      <c r="H46" s="7" t="s">
        <v>952</v>
      </c>
      <c r="I46" s="7"/>
      <c r="J46" s="67">
        <f>VLOOKUP(표4[[#This Row],[Team]],표1[[내역]:[코스트 센터]],2,0)</f>
        <v>100033</v>
      </c>
      <c r="K46" s="67" t="str">
        <f>VLOOKUP(표4[[#This Row],[Project]],표2[],2,0)</f>
        <v>P100030012</v>
      </c>
    </row>
    <row r="47" spans="1:11">
      <c r="A47" s="7" t="s">
        <v>955</v>
      </c>
      <c r="B47" s="7" t="s">
        <v>543</v>
      </c>
      <c r="C47" s="69" t="s">
        <v>569</v>
      </c>
      <c r="D47" s="69" t="s">
        <v>569</v>
      </c>
      <c r="E47" s="7" t="s">
        <v>956</v>
      </c>
      <c r="F47" s="7" t="s">
        <v>370</v>
      </c>
      <c r="G47" s="7" t="s">
        <v>957</v>
      </c>
      <c r="H47" s="7" t="s">
        <v>957</v>
      </c>
      <c r="I47" s="7"/>
      <c r="J47" s="67" t="e">
        <f>VLOOKUP(표4[[#This Row],[Team]],표1[[내역]:[코스트 센터]],2,0)</f>
        <v>#N/A</v>
      </c>
      <c r="K47" s="67" t="str">
        <f>VLOOKUP(표4[[#This Row],[Project]],표2[],2,0)</f>
        <v>I100099999</v>
      </c>
    </row>
    <row r="48" spans="1:11">
      <c r="A48" s="7" t="s">
        <v>114</v>
      </c>
      <c r="B48" s="7" t="s">
        <v>543</v>
      </c>
      <c r="C48" s="69" t="s">
        <v>542</v>
      </c>
      <c r="D48" s="69" t="s">
        <v>570</v>
      </c>
      <c r="E48" s="7" t="s">
        <v>678</v>
      </c>
      <c r="F48" s="7" t="s">
        <v>679</v>
      </c>
      <c r="G48" s="7" t="s">
        <v>939</v>
      </c>
      <c r="H48" s="7" t="s">
        <v>868</v>
      </c>
      <c r="I48" s="7"/>
      <c r="J48" s="67">
        <f>VLOOKUP(표4[[#This Row],[Team]],표1[[내역]:[코스트 센터]],2,0)</f>
        <v>100561</v>
      </c>
      <c r="K48" s="67" t="str">
        <f>VLOOKUP(표4[[#This Row],[Project]],표2[],2,0)</f>
        <v>P100010013</v>
      </c>
    </row>
    <row r="49" spans="1:11">
      <c r="A49" s="7" t="s">
        <v>115</v>
      </c>
      <c r="B49" s="7" t="s">
        <v>543</v>
      </c>
      <c r="C49" s="69" t="s">
        <v>542</v>
      </c>
      <c r="D49" s="69" t="s">
        <v>570</v>
      </c>
      <c r="E49" s="7" t="s">
        <v>678</v>
      </c>
      <c r="F49" s="7" t="s">
        <v>679</v>
      </c>
      <c r="G49" s="7" t="s">
        <v>939</v>
      </c>
      <c r="H49" s="7" t="s">
        <v>868</v>
      </c>
      <c r="I49" s="7"/>
      <c r="J49" s="67">
        <f>VLOOKUP(표4[[#This Row],[Team]],표1[[내역]:[코스트 센터]],2,0)</f>
        <v>100561</v>
      </c>
      <c r="K49" s="67" t="str">
        <f>VLOOKUP(표4[[#This Row],[Project]],표2[],2,0)</f>
        <v>P100010013</v>
      </c>
    </row>
    <row r="50" spans="1:11">
      <c r="A50" s="7" t="s">
        <v>958</v>
      </c>
      <c r="B50" s="7" t="s">
        <v>543</v>
      </c>
      <c r="C50" s="69" t="s">
        <v>542</v>
      </c>
      <c r="D50" s="69" t="s">
        <v>570</v>
      </c>
      <c r="E50" s="7" t="s">
        <v>678</v>
      </c>
      <c r="F50" s="7" t="s">
        <v>679</v>
      </c>
      <c r="G50" s="7" t="s">
        <v>939</v>
      </c>
      <c r="H50" s="7" t="s">
        <v>868</v>
      </c>
      <c r="I50" s="7"/>
      <c r="J50" s="67">
        <f>VLOOKUP(표4[[#This Row],[Team]],표1[[내역]:[코스트 센터]],2,0)</f>
        <v>100561</v>
      </c>
      <c r="K50" s="67" t="str">
        <f>VLOOKUP(표4[[#This Row],[Project]],표2[],2,0)</f>
        <v>P100010013</v>
      </c>
    </row>
    <row r="51" spans="1:11">
      <c r="A51" s="7" t="s">
        <v>117</v>
      </c>
      <c r="B51" s="7" t="s">
        <v>543</v>
      </c>
      <c r="C51" s="69" t="s">
        <v>542</v>
      </c>
      <c r="D51" s="69" t="s">
        <v>570</v>
      </c>
      <c r="E51" s="7" t="s">
        <v>678</v>
      </c>
      <c r="F51" s="7" t="s">
        <v>679</v>
      </c>
      <c r="G51" s="7" t="s">
        <v>939</v>
      </c>
      <c r="H51" s="7" t="s">
        <v>868</v>
      </c>
      <c r="I51" s="7"/>
      <c r="J51" s="67">
        <f>VLOOKUP(표4[[#This Row],[Team]],표1[[내역]:[코스트 센터]],2,0)</f>
        <v>100561</v>
      </c>
      <c r="K51" s="67" t="str">
        <f>VLOOKUP(표4[[#This Row],[Project]],표2[],2,0)</f>
        <v>P100010013</v>
      </c>
    </row>
    <row r="52" spans="1:11">
      <c r="A52" s="7" t="s">
        <v>118</v>
      </c>
      <c r="B52" s="7" t="s">
        <v>543</v>
      </c>
      <c r="C52" s="69" t="s">
        <v>542</v>
      </c>
      <c r="D52" s="69" t="s">
        <v>570</v>
      </c>
      <c r="E52" s="7" t="s">
        <v>678</v>
      </c>
      <c r="F52" s="7" t="s">
        <v>679</v>
      </c>
      <c r="G52" s="7" t="s">
        <v>939</v>
      </c>
      <c r="H52" s="7" t="s">
        <v>868</v>
      </c>
      <c r="I52" s="7"/>
      <c r="J52" s="67">
        <f>VLOOKUP(표4[[#This Row],[Team]],표1[[내역]:[코스트 센터]],2,0)</f>
        <v>100561</v>
      </c>
      <c r="K52" s="67" t="str">
        <f>VLOOKUP(표4[[#This Row],[Project]],표2[],2,0)</f>
        <v>P100010013</v>
      </c>
    </row>
    <row r="53" spans="1:11">
      <c r="A53" s="7" t="s">
        <v>119</v>
      </c>
      <c r="B53" s="7" t="s">
        <v>543</v>
      </c>
      <c r="C53" s="69" t="s">
        <v>542</v>
      </c>
      <c r="D53" s="69" t="s">
        <v>566</v>
      </c>
      <c r="E53" s="136" t="s">
        <v>662</v>
      </c>
      <c r="F53" s="7" t="s">
        <v>663</v>
      </c>
      <c r="G53" s="7" t="s">
        <v>959</v>
      </c>
      <c r="H53" s="7" t="s">
        <v>959</v>
      </c>
      <c r="I53" s="7"/>
      <c r="J53" s="67">
        <f>VLOOKUP(표4[[#This Row],[Team]],표1[[내역]:[코스트 센터]],2,0)</f>
        <v>101695</v>
      </c>
      <c r="K53" s="67" t="str">
        <f>VLOOKUP(표4[[#This Row],[Project]],표2[],2,0)</f>
        <v>I100090821</v>
      </c>
    </row>
    <row r="54" spans="1:11">
      <c r="A54" s="7" t="s">
        <v>960</v>
      </c>
      <c r="B54" s="7" t="s">
        <v>543</v>
      </c>
      <c r="C54" s="69" t="s">
        <v>542</v>
      </c>
      <c r="D54" s="69" t="s">
        <v>568</v>
      </c>
      <c r="E54" s="7" t="s">
        <v>664</v>
      </c>
      <c r="F54" s="7" t="s">
        <v>370</v>
      </c>
      <c r="G54" s="7" t="s">
        <v>961</v>
      </c>
      <c r="H54" s="7" t="s">
        <v>962</v>
      </c>
      <c r="I54" t="s">
        <v>963</v>
      </c>
      <c r="J54" s="67">
        <f>VLOOKUP(표4[[#This Row],[Team]],표1[[내역]:[코스트 센터]],2,0)</f>
        <v>101465</v>
      </c>
      <c r="K54" s="67" t="str">
        <f>VLOOKUP(표4[[#This Row],[Project]],표2[],2,0)</f>
        <v>I100099999</v>
      </c>
    </row>
    <row r="55" spans="1:11">
      <c r="A55" s="7" t="s">
        <v>120</v>
      </c>
      <c r="B55" s="7" t="s">
        <v>543</v>
      </c>
      <c r="C55" s="69" t="s">
        <v>542</v>
      </c>
      <c r="D55" s="69" t="s">
        <v>542</v>
      </c>
      <c r="E55" s="7" t="s">
        <v>592</v>
      </c>
      <c r="F55" s="7" t="s">
        <v>370</v>
      </c>
      <c r="G55" s="7" t="s">
        <v>964</v>
      </c>
      <c r="H55" s="7" t="s">
        <v>964</v>
      </c>
      <c r="J55" s="67">
        <f>VLOOKUP(표4[[#This Row],[Team]],표1[[내역]:[코스트 센터]],2,0)</f>
        <v>100036</v>
      </c>
      <c r="K55" s="67" t="str">
        <f>VLOOKUP(표4[[#This Row],[Project]],표2[],2,0)</f>
        <v>I100099999</v>
      </c>
    </row>
    <row r="56" spans="1:11">
      <c r="A56" s="7" t="s">
        <v>965</v>
      </c>
      <c r="B56" s="7" t="s">
        <v>543</v>
      </c>
      <c r="C56" s="69" t="s">
        <v>542</v>
      </c>
      <c r="D56" s="69" t="s">
        <v>542</v>
      </c>
      <c r="E56" s="7" t="s">
        <v>592</v>
      </c>
      <c r="F56" s="7" t="s">
        <v>370</v>
      </c>
      <c r="G56" s="7" t="s">
        <v>845</v>
      </c>
      <c r="H56" s="7" t="s">
        <v>920</v>
      </c>
      <c r="I56" s="7" t="s">
        <v>966</v>
      </c>
      <c r="J56" s="67">
        <f>VLOOKUP(표4[[#This Row],[Team]],표1[[내역]:[코스트 센터]],2,0)</f>
        <v>100036</v>
      </c>
      <c r="K56" s="67" t="str">
        <f>VLOOKUP(표4[[#This Row],[Project]],표2[],2,0)</f>
        <v>I100099999</v>
      </c>
    </row>
    <row r="57" spans="1:11">
      <c r="A57" s="7" t="s">
        <v>967</v>
      </c>
      <c r="B57" s="7" t="s">
        <v>543</v>
      </c>
      <c r="C57" s="69" t="s">
        <v>542</v>
      </c>
      <c r="D57" s="69" t="s">
        <v>542</v>
      </c>
      <c r="E57" s="7" t="s">
        <v>592</v>
      </c>
      <c r="F57" s="7" t="s">
        <v>370</v>
      </c>
      <c r="G57" s="7" t="s">
        <v>845</v>
      </c>
      <c r="H57" s="7" t="s">
        <v>920</v>
      </c>
      <c r="I57" s="7" t="s">
        <v>966</v>
      </c>
      <c r="J57" s="67">
        <f>VLOOKUP(표4[[#This Row],[Team]],표1[[내역]:[코스트 센터]],2,0)</f>
        <v>100036</v>
      </c>
      <c r="K57" s="67" t="str">
        <f>VLOOKUP(표4[[#This Row],[Project]],표2[],2,0)</f>
        <v>I100099999</v>
      </c>
    </row>
    <row r="58" spans="1:11">
      <c r="A58" s="7" t="s">
        <v>121</v>
      </c>
      <c r="B58" s="7" t="s">
        <v>543</v>
      </c>
      <c r="C58" s="69" t="s">
        <v>542</v>
      </c>
      <c r="D58" s="69" t="s">
        <v>570</v>
      </c>
      <c r="E58" s="7" t="s">
        <v>678</v>
      </c>
      <c r="F58" s="7" t="s">
        <v>679</v>
      </c>
      <c r="G58" s="7" t="s">
        <v>939</v>
      </c>
      <c r="H58" s="7" t="s">
        <v>868</v>
      </c>
      <c r="I58" s="7"/>
      <c r="J58" s="67">
        <f>VLOOKUP(표4[[#This Row],[Team]],표1[[내역]:[코스트 센터]],2,0)</f>
        <v>100561</v>
      </c>
      <c r="K58" s="67" t="str">
        <f>VLOOKUP(표4[[#This Row],[Project]],표2[],2,0)</f>
        <v>P100010013</v>
      </c>
    </row>
    <row r="59" spans="1:11">
      <c r="A59" s="7" t="s">
        <v>122</v>
      </c>
      <c r="B59" s="7" t="s">
        <v>543</v>
      </c>
      <c r="C59" s="69" t="s">
        <v>542</v>
      </c>
      <c r="D59" s="69" t="s">
        <v>570</v>
      </c>
      <c r="E59" s="7" t="s">
        <v>678</v>
      </c>
      <c r="F59" s="7" t="s">
        <v>679</v>
      </c>
      <c r="G59" s="7" t="s">
        <v>939</v>
      </c>
      <c r="H59" s="7" t="s">
        <v>868</v>
      </c>
      <c r="I59" s="7"/>
      <c r="J59" s="67">
        <f>VLOOKUP(표4[[#This Row],[Team]],표1[[내역]:[코스트 센터]],2,0)</f>
        <v>100561</v>
      </c>
      <c r="K59" s="67" t="str">
        <f>VLOOKUP(표4[[#This Row],[Project]],표2[],2,0)</f>
        <v>P100010013</v>
      </c>
    </row>
    <row r="60" spans="1:11">
      <c r="A60" s="7" t="s">
        <v>123</v>
      </c>
      <c r="B60" s="7" t="s">
        <v>543</v>
      </c>
      <c r="C60" s="69" t="s">
        <v>542</v>
      </c>
      <c r="D60" s="69" t="s">
        <v>570</v>
      </c>
      <c r="E60" s="7" t="s">
        <v>678</v>
      </c>
      <c r="F60" s="7" t="s">
        <v>679</v>
      </c>
      <c r="G60" s="7" t="s">
        <v>939</v>
      </c>
      <c r="H60" s="7" t="s">
        <v>868</v>
      </c>
      <c r="I60" s="7"/>
      <c r="J60" s="67">
        <f>VLOOKUP(표4[[#This Row],[Team]],표1[[내역]:[코스트 센터]],2,0)</f>
        <v>100561</v>
      </c>
      <c r="K60" s="67" t="str">
        <f>VLOOKUP(표4[[#This Row],[Project]],표2[],2,0)</f>
        <v>P100010013</v>
      </c>
    </row>
    <row r="61" spans="1:11">
      <c r="A61" s="7" t="s">
        <v>124</v>
      </c>
      <c r="B61" s="7" t="s">
        <v>543</v>
      </c>
      <c r="C61" s="69" t="s">
        <v>542</v>
      </c>
      <c r="D61" s="69" t="s">
        <v>570</v>
      </c>
      <c r="E61" s="7" t="s">
        <v>678</v>
      </c>
      <c r="F61" s="7" t="s">
        <v>679</v>
      </c>
      <c r="G61" s="7" t="s">
        <v>939</v>
      </c>
      <c r="H61" s="7" t="s">
        <v>868</v>
      </c>
      <c r="I61" s="7"/>
      <c r="J61" s="67">
        <f>VLOOKUP(표4[[#This Row],[Team]],표1[[내역]:[코스트 센터]],2,0)</f>
        <v>100561</v>
      </c>
      <c r="K61" s="67" t="str">
        <f>VLOOKUP(표4[[#This Row],[Project]],표2[],2,0)</f>
        <v>P100010013</v>
      </c>
    </row>
    <row r="62" spans="1:11">
      <c r="A62" s="7" t="s">
        <v>968</v>
      </c>
      <c r="B62" s="7" t="s">
        <v>543</v>
      </c>
      <c r="C62" s="69" t="s">
        <v>542</v>
      </c>
      <c r="D62" s="69" t="s">
        <v>568</v>
      </c>
      <c r="E62" s="7" t="s">
        <v>969</v>
      </c>
      <c r="F62" s="7" t="s">
        <v>594</v>
      </c>
      <c r="G62" s="7" t="s">
        <v>924</v>
      </c>
      <c r="H62" s="7" t="s">
        <v>924</v>
      </c>
      <c r="I62" s="7"/>
      <c r="J62" s="67">
        <f>VLOOKUP(표4[[#This Row],[Team]],표1[[내역]:[코스트 센터]],2,0)</f>
        <v>100351</v>
      </c>
      <c r="K62" s="67" t="str">
        <f>VLOOKUP(표4[[#This Row],[Project]],표2[],2,0)</f>
        <v>P100010012</v>
      </c>
    </row>
    <row r="63" spans="1:11">
      <c r="A63" t="s">
        <v>125</v>
      </c>
      <c r="B63" s="7" t="s">
        <v>543</v>
      </c>
      <c r="C63" s="69" t="s">
        <v>542</v>
      </c>
      <c r="D63" s="69" t="s">
        <v>577</v>
      </c>
      <c r="E63" s="7" t="s">
        <v>684</v>
      </c>
      <c r="F63" s="7" t="s">
        <v>370</v>
      </c>
      <c r="G63" s="7" t="s">
        <v>970</v>
      </c>
      <c r="H63" s="7" t="s">
        <v>970</v>
      </c>
      <c r="I63" s="7"/>
      <c r="J63" s="67">
        <f>VLOOKUP(표4[[#This Row],[Team]],표1[[내역]:[코스트 센터]],2,0)</f>
        <v>101214</v>
      </c>
      <c r="K63" s="67" t="str">
        <f>VLOOKUP(표4[[#This Row],[Project]],표2[],2,0)</f>
        <v>I100099999</v>
      </c>
    </row>
    <row r="64" spans="1:11">
      <c r="A64" s="7" t="s">
        <v>126</v>
      </c>
      <c r="B64" s="7" t="s">
        <v>543</v>
      </c>
      <c r="C64" s="69" t="s">
        <v>565</v>
      </c>
      <c r="D64" s="69" t="s">
        <v>565</v>
      </c>
      <c r="E64" s="7" t="s">
        <v>971</v>
      </c>
      <c r="F64" s="7" t="s">
        <v>370</v>
      </c>
      <c r="G64" s="7" t="s">
        <v>972</v>
      </c>
      <c r="H64" s="7" t="s">
        <v>972</v>
      </c>
      <c r="I64" s="7" t="s">
        <v>973</v>
      </c>
      <c r="J64" s="67">
        <f>VLOOKUP(표4[[#This Row],[Team]],표1[[내역]:[코스트 센터]],2,0)</f>
        <v>460121</v>
      </c>
      <c r="K64" s="67" t="str">
        <f>VLOOKUP(표4[[#This Row],[Project]],표2[],2,0)</f>
        <v>I100099999</v>
      </c>
    </row>
    <row r="65" spans="1:11" ht="32">
      <c r="A65" s="7" t="s">
        <v>127</v>
      </c>
      <c r="B65" s="7" t="s">
        <v>543</v>
      </c>
      <c r="C65" s="69" t="s">
        <v>542</v>
      </c>
      <c r="D65" s="69" t="s">
        <v>542</v>
      </c>
      <c r="E65" s="7" t="s">
        <v>626</v>
      </c>
      <c r="F65" s="7" t="s">
        <v>370</v>
      </c>
      <c r="G65" s="7" t="s">
        <v>974</v>
      </c>
      <c r="H65" s="7" t="s">
        <v>974</v>
      </c>
      <c r="I65" s="130" t="s">
        <v>975</v>
      </c>
      <c r="J65" s="67">
        <f>VLOOKUP(표4[[#This Row],[Team]],표1[[내역]:[코스트 센터]],2,0)</f>
        <v>101752</v>
      </c>
      <c r="K65" s="67" t="str">
        <f>VLOOKUP(표4[[#This Row],[Project]],표2[],2,0)</f>
        <v>I100099999</v>
      </c>
    </row>
    <row r="66" spans="1:11">
      <c r="A66" s="7" t="s">
        <v>976</v>
      </c>
      <c r="B66" s="7" t="s">
        <v>543</v>
      </c>
      <c r="C66" s="69" t="s">
        <v>542</v>
      </c>
      <c r="D66" s="69" t="s">
        <v>542</v>
      </c>
      <c r="E66" s="7" t="s">
        <v>977</v>
      </c>
      <c r="F66" s="7" t="s">
        <v>625</v>
      </c>
      <c r="G66" s="7" t="s">
        <v>924</v>
      </c>
      <c r="H66" s="7" t="s">
        <v>924</v>
      </c>
      <c r="I66" s="7" t="s">
        <v>978</v>
      </c>
      <c r="J66" s="67">
        <f>VLOOKUP(표4[[#This Row],[Team]],표1[[내역]:[코스트 센터]],2,0)</f>
        <v>101695</v>
      </c>
      <c r="K66" s="67" t="str">
        <f>VLOOKUP(표4[[#This Row],[Project]],표2[],2,0)</f>
        <v>P100030805</v>
      </c>
    </row>
    <row r="67" spans="1:11">
      <c r="A67" s="7" t="s">
        <v>128</v>
      </c>
      <c r="B67" s="7" t="s">
        <v>543</v>
      </c>
      <c r="C67" s="69" t="s">
        <v>542</v>
      </c>
      <c r="D67" s="69" t="s">
        <v>567</v>
      </c>
      <c r="E67" s="7" t="s">
        <v>628</v>
      </c>
      <c r="F67" s="7" t="s">
        <v>600</v>
      </c>
      <c r="G67" s="7" t="s">
        <v>864</v>
      </c>
      <c r="H67" s="7" t="s">
        <v>864</v>
      </c>
      <c r="I67" s="7" t="s">
        <v>979</v>
      </c>
      <c r="J67" s="67">
        <f>VLOOKUP(표4[[#This Row],[Team]],표1[[내역]:[코스트 센터]],2,0)</f>
        <v>100415</v>
      </c>
      <c r="K67" s="67" t="str">
        <f>VLOOKUP(표4[[#This Row],[Project]],표2[],2,0)</f>
        <v>P100030014</v>
      </c>
    </row>
    <row r="68" spans="1:11">
      <c r="A68" s="7" t="s">
        <v>129</v>
      </c>
      <c r="B68" s="7" t="s">
        <v>543</v>
      </c>
      <c r="C68" s="69" t="s">
        <v>542</v>
      </c>
      <c r="D68" s="69" t="s">
        <v>567</v>
      </c>
      <c r="E68" s="7" t="s">
        <v>628</v>
      </c>
      <c r="F68" s="7" t="s">
        <v>600</v>
      </c>
      <c r="G68" s="7" t="s">
        <v>823</v>
      </c>
      <c r="H68" s="7" t="s">
        <v>824</v>
      </c>
      <c r="I68" s="7"/>
      <c r="J68" s="67">
        <f>VLOOKUP(표4[[#This Row],[Team]],표1[[내역]:[코스트 센터]],2,0)</f>
        <v>100415</v>
      </c>
      <c r="K68" s="67" t="str">
        <f>VLOOKUP(표4[[#This Row],[Project]],표2[],2,0)</f>
        <v>P100030014</v>
      </c>
    </row>
    <row r="69" spans="1:11">
      <c r="A69" s="7" t="s">
        <v>130</v>
      </c>
      <c r="B69" s="7" t="s">
        <v>543</v>
      </c>
      <c r="C69" s="69" t="s">
        <v>542</v>
      </c>
      <c r="D69" s="69" t="s">
        <v>567</v>
      </c>
      <c r="E69" s="7" t="s">
        <v>593</v>
      </c>
      <c r="F69" s="7" t="s">
        <v>600</v>
      </c>
      <c r="G69" s="7" t="s">
        <v>823</v>
      </c>
      <c r="H69" s="7" t="s">
        <v>824</v>
      </c>
      <c r="I69" s="7"/>
      <c r="J69" s="67">
        <f>VLOOKUP(표4[[#This Row],[Team]],표1[[내역]:[코스트 센터]],2,0)</f>
        <v>100414</v>
      </c>
      <c r="K69" s="67" t="str">
        <f>VLOOKUP(표4[[#This Row],[Project]],표2[],2,0)</f>
        <v>P100030014</v>
      </c>
    </row>
    <row r="70" spans="1:11">
      <c r="A70" t="s">
        <v>131</v>
      </c>
      <c r="B70" s="7" t="s">
        <v>543</v>
      </c>
      <c r="C70" s="69" t="s">
        <v>542</v>
      </c>
      <c r="D70" s="69" t="s">
        <v>542</v>
      </c>
      <c r="E70" s="7" t="s">
        <v>951</v>
      </c>
      <c r="F70" s="7" t="s">
        <v>600</v>
      </c>
      <c r="G70" s="7" t="s">
        <v>952</v>
      </c>
      <c r="H70" s="7" t="s">
        <v>952</v>
      </c>
      <c r="I70" s="7"/>
      <c r="J70" s="67">
        <f>VLOOKUP(표4[[#This Row],[Team]],표1[[내역]:[코스트 센터]],2,0)</f>
        <v>100033</v>
      </c>
      <c r="K70" s="67" t="str">
        <f>VLOOKUP(표4[[#This Row],[Project]],표2[],2,0)</f>
        <v>P100030014</v>
      </c>
    </row>
    <row r="71" spans="1:11">
      <c r="A71" s="137" t="s">
        <v>980</v>
      </c>
      <c r="B71" s="137" t="s">
        <v>543</v>
      </c>
      <c r="C71" s="138" t="s">
        <v>542</v>
      </c>
      <c r="D71" s="138" t="s">
        <v>570</v>
      </c>
      <c r="E71" s="137" t="s">
        <v>678</v>
      </c>
      <c r="F71" s="137" t="s">
        <v>679</v>
      </c>
      <c r="G71" s="137" t="s">
        <v>868</v>
      </c>
      <c r="H71" s="137" t="s">
        <v>868</v>
      </c>
      <c r="I71" s="137" t="s">
        <v>981</v>
      </c>
      <c r="J71" s="67">
        <f>VLOOKUP(표4[[#This Row],[Team]],표1[[내역]:[코스트 센터]],2,0)</f>
        <v>100561</v>
      </c>
      <c r="K71" s="67" t="str">
        <f>VLOOKUP(표4[[#This Row],[Project]],표2[],2,0)</f>
        <v>P100010013</v>
      </c>
    </row>
    <row r="72" spans="1:11">
      <c r="A72" t="s">
        <v>159</v>
      </c>
      <c r="B72" s="7" t="s">
        <v>543</v>
      </c>
      <c r="C72" s="69" t="s">
        <v>542</v>
      </c>
      <c r="D72" s="69" t="s">
        <v>542</v>
      </c>
      <c r="E72" s="7" t="s">
        <v>833</v>
      </c>
      <c r="F72" s="7" t="s">
        <v>596</v>
      </c>
      <c r="G72" s="7" t="s">
        <v>901</v>
      </c>
      <c r="H72" s="7" t="s">
        <v>901</v>
      </c>
      <c r="I72" s="7"/>
      <c r="J72" s="67">
        <f>VLOOKUP(표4[[#This Row],[Team]],표1[[내역]:[코스트 센터]],2,0)</f>
        <v>100025</v>
      </c>
      <c r="K72" s="67" t="str">
        <f>VLOOKUP(표4[[#This Row],[Project]],표2[],2,0)</f>
        <v>I100090813</v>
      </c>
    </row>
    <row r="73" spans="1:11">
      <c r="A73" s="7" t="s">
        <v>177</v>
      </c>
      <c r="B73" s="7" t="s">
        <v>543</v>
      </c>
      <c r="C73" s="69" t="s">
        <v>542</v>
      </c>
      <c r="D73" s="69" t="s">
        <v>542</v>
      </c>
      <c r="E73" s="7" t="s">
        <v>610</v>
      </c>
      <c r="F73" s="7" t="s">
        <v>611</v>
      </c>
      <c r="G73" s="7" t="s">
        <v>982</v>
      </c>
      <c r="H73" s="7" t="s">
        <v>982</v>
      </c>
      <c r="I73" s="7" t="s">
        <v>983</v>
      </c>
      <c r="J73" s="67">
        <f>VLOOKUP(표4[[#This Row],[Team]],표1[[내역]:[코스트 센터]],2,0)</f>
        <v>101145</v>
      </c>
      <c r="K73" s="67" t="str">
        <f>VLOOKUP(표4[[#This Row],[Project]],표2[],2,0)</f>
        <v>I100090820</v>
      </c>
    </row>
    <row r="74" spans="1:11">
      <c r="A74" t="s">
        <v>984</v>
      </c>
      <c r="B74" s="7" t="s">
        <v>543</v>
      </c>
      <c r="C74" s="69" t="s">
        <v>985</v>
      </c>
      <c r="D74" s="69" t="s">
        <v>560</v>
      </c>
      <c r="E74" s="7" t="s">
        <v>986</v>
      </c>
      <c r="F74" s="7" t="s">
        <v>987</v>
      </c>
      <c r="G74" s="7" t="s">
        <v>988</v>
      </c>
      <c r="H74" s="7" t="s">
        <v>989</v>
      </c>
      <c r="I74" t="s">
        <v>990</v>
      </c>
      <c r="J74" s="67">
        <f>VLOOKUP(표4[[#This Row],[Team]],표1[[내역]:[코스트 센터]],2,0)</f>
        <v>100931</v>
      </c>
      <c r="K74" s="67" t="e">
        <f>VLOOKUP(표4[[#This Row],[Project]],표2[],2,0)</f>
        <v>#N/A</v>
      </c>
    </row>
    <row r="75" spans="1:11">
      <c r="A75" s="7" t="s">
        <v>991</v>
      </c>
      <c r="B75" s="7" t="s">
        <v>543</v>
      </c>
      <c r="C75" s="69" t="s">
        <v>542</v>
      </c>
      <c r="D75" s="69" t="s">
        <v>542</v>
      </c>
      <c r="E75" s="7" t="s">
        <v>609</v>
      </c>
      <c r="F75" s="7" t="s">
        <v>370</v>
      </c>
      <c r="G75" s="7" t="s">
        <v>874</v>
      </c>
      <c r="H75" s="7" t="s">
        <v>878</v>
      </c>
      <c r="I75" s="7"/>
      <c r="J75" s="67">
        <f>VLOOKUP(표4[[#This Row],[Team]],표1[[내역]:[코스트 센터]],2,0)</f>
        <v>100212</v>
      </c>
      <c r="K75" s="67" t="str">
        <f>VLOOKUP(표4[[#This Row],[Project]],표2[],2,0)</f>
        <v>I100099999</v>
      </c>
    </row>
    <row r="76" spans="1:11">
      <c r="A76" t="s">
        <v>992</v>
      </c>
      <c r="B76" s="7" t="s">
        <v>543</v>
      </c>
      <c r="C76" s="69" t="s">
        <v>542</v>
      </c>
      <c r="D76" s="69" t="s">
        <v>542</v>
      </c>
      <c r="E76" s="7" t="s">
        <v>644</v>
      </c>
      <c r="F76" s="7" t="s">
        <v>370</v>
      </c>
      <c r="G76" s="7" t="s">
        <v>993</v>
      </c>
      <c r="H76" s="7" t="s">
        <v>993</v>
      </c>
      <c r="I76" t="s">
        <v>994</v>
      </c>
      <c r="J76" s="67">
        <f>VLOOKUP(표4[[#This Row],[Team]],표1[[내역]:[코스트 센터]],2,0)</f>
        <v>100810</v>
      </c>
      <c r="K76" s="67" t="str">
        <f>VLOOKUP(표4[[#This Row],[Project]],표2[],2,0)</f>
        <v>I100099999</v>
      </c>
    </row>
    <row r="77" spans="1:11">
      <c r="A77" t="s">
        <v>995</v>
      </c>
      <c r="B77" s="7" t="s">
        <v>543</v>
      </c>
      <c r="C77" s="69" t="s">
        <v>542</v>
      </c>
      <c r="D77" s="69" t="s">
        <v>542</v>
      </c>
      <c r="E77" s="7" t="s">
        <v>592</v>
      </c>
      <c r="F77" s="7" t="s">
        <v>370</v>
      </c>
      <c r="G77" s="7" t="s">
        <v>996</v>
      </c>
      <c r="H77" s="7" t="s">
        <v>996</v>
      </c>
      <c r="I77" s="7"/>
      <c r="J77" s="67">
        <f>VLOOKUP(표4[[#This Row],[Team]],표1[[내역]:[코스트 센터]],2,0)</f>
        <v>100036</v>
      </c>
      <c r="K77" s="67" t="str">
        <f>VLOOKUP(표4[[#This Row],[Project]],표2[],2,0)</f>
        <v>I100099999</v>
      </c>
    </row>
    <row r="78" spans="1:11">
      <c r="A78" s="137" t="s">
        <v>997</v>
      </c>
      <c r="B78" s="137" t="s">
        <v>543</v>
      </c>
      <c r="C78" s="138" t="s">
        <v>542</v>
      </c>
      <c r="D78" s="138" t="s">
        <v>570</v>
      </c>
      <c r="E78" s="137" t="s">
        <v>678</v>
      </c>
      <c r="F78" s="137" t="s">
        <v>679</v>
      </c>
      <c r="G78" s="137" t="s">
        <v>868</v>
      </c>
      <c r="H78" s="137" t="s">
        <v>868</v>
      </c>
      <c r="I78" s="137" t="s">
        <v>981</v>
      </c>
      <c r="J78" s="67">
        <f>VLOOKUP(표4[[#This Row],[Team]],표1[[내역]:[코스트 센터]],2,0)</f>
        <v>100561</v>
      </c>
      <c r="K78" s="67" t="str">
        <f>VLOOKUP(표4[[#This Row],[Project]],표2[],2,0)</f>
        <v>P100010013</v>
      </c>
    </row>
    <row r="79" spans="1:11">
      <c r="A79" t="s">
        <v>998</v>
      </c>
      <c r="B79" s="7" t="s">
        <v>543</v>
      </c>
      <c r="C79" s="69" t="s">
        <v>542</v>
      </c>
      <c r="D79" s="69" t="s">
        <v>568</v>
      </c>
      <c r="E79" s="7" t="s">
        <v>665</v>
      </c>
      <c r="F79" s="7" t="s">
        <v>370</v>
      </c>
      <c r="G79" s="7" t="s">
        <v>999</v>
      </c>
      <c r="H79" s="7" t="s">
        <v>920</v>
      </c>
      <c r="I79" s="7"/>
      <c r="J79" s="67">
        <f>VLOOKUP(표4[[#This Row],[Team]],표1[[내역]:[코스트 센터]],2,0)</f>
        <v>101509</v>
      </c>
      <c r="K79" s="67" t="str">
        <f>VLOOKUP(표4[[#This Row],[Project]],표2[],2,0)</f>
        <v>I100099999</v>
      </c>
    </row>
    <row r="80" spans="1:11">
      <c r="A80" s="8" t="s">
        <v>1000</v>
      </c>
      <c r="B80" s="7" t="s">
        <v>543</v>
      </c>
      <c r="C80" s="69" t="s">
        <v>542</v>
      </c>
      <c r="D80" s="69" t="s">
        <v>568</v>
      </c>
      <c r="E80" s="7" t="s">
        <v>593</v>
      </c>
      <c r="F80" s="7" t="s">
        <v>594</v>
      </c>
      <c r="G80" s="7" t="s">
        <v>839</v>
      </c>
      <c r="H80" s="7" t="s">
        <v>840</v>
      </c>
      <c r="I80" s="7"/>
      <c r="J80" s="67">
        <f>VLOOKUP(표4[[#This Row],[Team]],표1[[내역]:[코스트 센터]],2,0)</f>
        <v>100414</v>
      </c>
      <c r="K80" s="67" t="str">
        <f>VLOOKUP(표4[[#This Row],[Project]],표2[],2,0)</f>
        <v>P100010012</v>
      </c>
    </row>
    <row r="81" spans="1:11">
      <c r="A81" s="8" t="s">
        <v>235</v>
      </c>
      <c r="B81" s="7" t="s">
        <v>543</v>
      </c>
      <c r="C81" s="69" t="s">
        <v>542</v>
      </c>
      <c r="D81" s="69" t="s">
        <v>568</v>
      </c>
      <c r="E81" s="7" t="s">
        <v>668</v>
      </c>
      <c r="F81" s="7" t="s">
        <v>370</v>
      </c>
      <c r="G81" s="7" t="s">
        <v>1001</v>
      </c>
      <c r="H81" s="7" t="s">
        <v>1001</v>
      </c>
      <c r="I81" s="7" t="s">
        <v>1002</v>
      </c>
      <c r="J81" s="67">
        <f>VLOOKUP(표4[[#This Row],[Team]],표1[[내역]:[코스트 센터]],2,0)</f>
        <v>100424</v>
      </c>
      <c r="K81" s="67" t="str">
        <f>VLOOKUP(표4[[#This Row],[Project]],표2[],2,0)</f>
        <v>I100099999</v>
      </c>
    </row>
    <row r="82" spans="1:11">
      <c r="A82" s="137" t="s">
        <v>1003</v>
      </c>
      <c r="B82" s="137" t="s">
        <v>543</v>
      </c>
      <c r="C82" s="138" t="s">
        <v>542</v>
      </c>
      <c r="D82" s="138" t="s">
        <v>570</v>
      </c>
      <c r="E82" s="137" t="s">
        <v>678</v>
      </c>
      <c r="F82" s="137" t="s">
        <v>679</v>
      </c>
      <c r="G82" s="137" t="s">
        <v>868</v>
      </c>
      <c r="H82" s="137" t="s">
        <v>868</v>
      </c>
      <c r="I82" s="137" t="s">
        <v>981</v>
      </c>
      <c r="J82" s="67">
        <f>VLOOKUP(표4[[#This Row],[Team]],표1[[내역]:[코스트 센터]],2,0)</f>
        <v>100561</v>
      </c>
      <c r="K82" s="67" t="str">
        <f>VLOOKUP(표4[[#This Row],[Project]],표2[],2,0)</f>
        <v>P100010013</v>
      </c>
    </row>
    <row r="83" spans="1:11">
      <c r="A83" s="137" t="s">
        <v>1004</v>
      </c>
      <c r="B83" s="137" t="s">
        <v>543</v>
      </c>
      <c r="C83" s="138" t="s">
        <v>542</v>
      </c>
      <c r="D83" s="138" t="s">
        <v>570</v>
      </c>
      <c r="E83" s="137" t="s">
        <v>678</v>
      </c>
      <c r="F83" s="137" t="s">
        <v>679</v>
      </c>
      <c r="G83" s="137" t="s">
        <v>868</v>
      </c>
      <c r="H83" s="137" t="s">
        <v>868</v>
      </c>
      <c r="I83" s="137" t="s">
        <v>981</v>
      </c>
      <c r="J83" s="67">
        <f>VLOOKUP(표4[[#This Row],[Team]],표1[[내역]:[코스트 센터]],2,0)</f>
        <v>100561</v>
      </c>
      <c r="K83" s="67" t="str">
        <f>VLOOKUP(표4[[#This Row],[Project]],표2[],2,0)</f>
        <v>P100010013</v>
      </c>
    </row>
    <row r="84" spans="1:11">
      <c r="A84" s="137" t="s">
        <v>1005</v>
      </c>
      <c r="B84" s="137" t="s">
        <v>543</v>
      </c>
      <c r="C84" s="138" t="s">
        <v>542</v>
      </c>
      <c r="D84" s="138" t="s">
        <v>570</v>
      </c>
      <c r="E84" s="137" t="s">
        <v>678</v>
      </c>
      <c r="F84" s="137" t="s">
        <v>679</v>
      </c>
      <c r="G84" s="137" t="s">
        <v>868</v>
      </c>
      <c r="H84" s="137" t="s">
        <v>868</v>
      </c>
      <c r="I84" s="137" t="s">
        <v>981</v>
      </c>
      <c r="J84" s="67">
        <f>VLOOKUP(표4[[#This Row],[Team]],표1[[내역]:[코스트 센터]],2,0)</f>
        <v>100561</v>
      </c>
      <c r="K84" s="67" t="str">
        <f>VLOOKUP(표4[[#This Row],[Project]],표2[],2,0)</f>
        <v>P100010013</v>
      </c>
    </row>
    <row r="85" spans="1:11">
      <c r="A85" s="137" t="s">
        <v>1006</v>
      </c>
      <c r="B85" s="137" t="s">
        <v>543</v>
      </c>
      <c r="C85" s="138" t="s">
        <v>542</v>
      </c>
      <c r="D85" s="138" t="s">
        <v>570</v>
      </c>
      <c r="E85" s="137" t="s">
        <v>678</v>
      </c>
      <c r="F85" s="137" t="s">
        <v>679</v>
      </c>
      <c r="G85" s="137" t="s">
        <v>868</v>
      </c>
      <c r="H85" s="137" t="s">
        <v>868</v>
      </c>
      <c r="I85" s="137" t="s">
        <v>981</v>
      </c>
      <c r="J85" s="67">
        <f>VLOOKUP(표4[[#This Row],[Team]],표1[[내역]:[코스트 센터]],2,0)</f>
        <v>100561</v>
      </c>
      <c r="K85" s="67" t="str">
        <f>VLOOKUP(표4[[#This Row],[Project]],표2[],2,0)</f>
        <v>P100010013</v>
      </c>
    </row>
    <row r="86" spans="1:11">
      <c r="A86" s="7" t="s">
        <v>1007</v>
      </c>
      <c r="B86" s="7" t="s">
        <v>543</v>
      </c>
      <c r="C86" s="69" t="s">
        <v>542</v>
      </c>
      <c r="D86" s="69" t="s">
        <v>568</v>
      </c>
      <c r="E86" s="7" t="s">
        <v>593</v>
      </c>
      <c r="F86" s="7" t="s">
        <v>594</v>
      </c>
      <c r="G86" s="7" t="s">
        <v>839</v>
      </c>
      <c r="H86" s="7" t="s">
        <v>840</v>
      </c>
      <c r="I86" s="7"/>
      <c r="J86" s="67">
        <f>VLOOKUP(표4[[#This Row],[Team]],표1[[내역]:[코스트 센터]],2,0)</f>
        <v>100414</v>
      </c>
      <c r="K86" s="67" t="str">
        <f>VLOOKUP(표4[[#This Row],[Project]],표2[],2,0)</f>
        <v>P100010012</v>
      </c>
    </row>
    <row r="87" spans="1:11">
      <c r="A87" t="s">
        <v>263</v>
      </c>
      <c r="B87" s="7" t="s">
        <v>543</v>
      </c>
      <c r="C87" s="69" t="s">
        <v>544</v>
      </c>
      <c r="D87" s="69" t="s">
        <v>544</v>
      </c>
      <c r="E87" s="7" t="s">
        <v>1008</v>
      </c>
      <c r="F87" s="7" t="s">
        <v>602</v>
      </c>
      <c r="G87" s="7" t="s">
        <v>1009</v>
      </c>
      <c r="H87" s="7" t="s">
        <v>1010</v>
      </c>
      <c r="I87" s="130" t="s">
        <v>1011</v>
      </c>
      <c r="J87" s="67">
        <f>VLOOKUP(표4[[#This Row],[Team]],표1[[내역]:[코스트 센터]],2,0)</f>
        <v>110024</v>
      </c>
      <c r="K87" s="67" t="str">
        <f>VLOOKUP(표4[[#This Row],[Project]],표2[],2,0)</f>
        <v>P100020001</v>
      </c>
    </row>
    <row r="88" spans="1:11">
      <c r="A88" s="7" t="s">
        <v>264</v>
      </c>
      <c r="B88" s="7" t="s">
        <v>543</v>
      </c>
      <c r="C88" s="69" t="s">
        <v>544</v>
      </c>
      <c r="D88" s="69" t="s">
        <v>544</v>
      </c>
      <c r="E88" s="7" t="s">
        <v>1008</v>
      </c>
      <c r="F88" s="7" t="s">
        <v>602</v>
      </c>
      <c r="G88" s="7" t="s">
        <v>1009</v>
      </c>
      <c r="H88" s="7" t="s">
        <v>1010</v>
      </c>
      <c r="I88" s="7" t="s">
        <v>1012</v>
      </c>
      <c r="J88" s="67">
        <f>VLOOKUP(표4[[#This Row],[Team]],표1[[내역]:[코스트 센터]],2,0)</f>
        <v>110024</v>
      </c>
      <c r="K88" s="67" t="str">
        <f>VLOOKUP(표4[[#This Row],[Project]],표2[],2,0)</f>
        <v>P100020001</v>
      </c>
    </row>
    <row r="89" spans="1:11">
      <c r="A89" t="s">
        <v>1013</v>
      </c>
      <c r="B89" s="7" t="s">
        <v>543</v>
      </c>
      <c r="C89" s="69" t="s">
        <v>542</v>
      </c>
      <c r="D89" s="69" t="s">
        <v>542</v>
      </c>
      <c r="E89" s="7" t="s">
        <v>619</v>
      </c>
      <c r="F89" s="7" t="s">
        <v>370</v>
      </c>
      <c r="G89" s="7" t="s">
        <v>1014</v>
      </c>
      <c r="H89" s="7" t="s">
        <v>1015</v>
      </c>
      <c r="I89" s="7" t="s">
        <v>1016</v>
      </c>
      <c r="J89" s="67">
        <f>VLOOKUP(표4[[#This Row],[Team]],표1[[내역]:[코스트 센터]],2,0)</f>
        <v>101721</v>
      </c>
      <c r="K89" s="67" t="str">
        <f>VLOOKUP(표4[[#This Row],[Project]],표2[],2,0)</f>
        <v>I100099999</v>
      </c>
    </row>
    <row r="90" spans="1:11">
      <c r="A90" t="s">
        <v>1017</v>
      </c>
      <c r="B90" s="7" t="s">
        <v>543</v>
      </c>
      <c r="C90" s="69" t="s">
        <v>542</v>
      </c>
      <c r="D90" s="69" t="s">
        <v>542</v>
      </c>
      <c r="E90" s="7" t="s">
        <v>592</v>
      </c>
      <c r="F90" s="7" t="s">
        <v>370</v>
      </c>
      <c r="G90" s="7" t="s">
        <v>996</v>
      </c>
      <c r="H90" s="7" t="s">
        <v>1018</v>
      </c>
      <c r="I90" s="7" t="s">
        <v>1019</v>
      </c>
      <c r="J90" s="67">
        <f>VLOOKUP(표4[[#This Row],[Team]],표1[[내역]:[코스트 센터]],2,0)</f>
        <v>100036</v>
      </c>
      <c r="K90" s="67" t="str">
        <f>VLOOKUP(표4[[#This Row],[Project]],표2[],2,0)</f>
        <v>I100099999</v>
      </c>
    </row>
    <row r="91" spans="1:11">
      <c r="A91" t="s">
        <v>181</v>
      </c>
      <c r="B91" s="7" t="s">
        <v>543</v>
      </c>
      <c r="C91" s="69" t="s">
        <v>542</v>
      </c>
      <c r="D91" s="69" t="s">
        <v>542</v>
      </c>
      <c r="E91" s="7" t="s">
        <v>833</v>
      </c>
      <c r="F91" s="7" t="s">
        <v>596</v>
      </c>
      <c r="G91" s="7" t="s">
        <v>901</v>
      </c>
      <c r="H91" s="7" t="s">
        <v>901</v>
      </c>
      <c r="I91" s="7"/>
      <c r="J91" s="67">
        <f>VLOOKUP(표4[[#This Row],[Team]],표1[[내역]:[코스트 센터]],2,0)</f>
        <v>100025</v>
      </c>
      <c r="K91" s="67" t="str">
        <f>VLOOKUP(표4[[#This Row],[Project]],표2[],2,0)</f>
        <v>I100090813</v>
      </c>
    </row>
    <row r="92" spans="1:11">
      <c r="A92" t="s">
        <v>266</v>
      </c>
      <c r="B92" s="7" t="s">
        <v>543</v>
      </c>
      <c r="C92" s="69" t="s">
        <v>542</v>
      </c>
      <c r="D92" s="69" t="s">
        <v>568</v>
      </c>
      <c r="E92" s="7" t="s">
        <v>593</v>
      </c>
      <c r="F92" s="7" t="s">
        <v>594</v>
      </c>
      <c r="G92" s="7" t="s">
        <v>1020</v>
      </c>
      <c r="H92" s="7" t="s">
        <v>1021</v>
      </c>
      <c r="I92" s="7"/>
      <c r="J92" s="67">
        <f>VLOOKUP(표4[[#This Row],[Team]],표1[[내역]:[코스트 센터]],2,0)</f>
        <v>100414</v>
      </c>
      <c r="K92" s="67" t="str">
        <f>VLOOKUP(표4[[#This Row],[Project]],표2[],2,0)</f>
        <v>P100010012</v>
      </c>
    </row>
    <row r="93" spans="1:11">
      <c r="A93" s="7" t="s">
        <v>267</v>
      </c>
      <c r="B93" s="7" t="s">
        <v>543</v>
      </c>
      <c r="C93" s="69" t="s">
        <v>542</v>
      </c>
      <c r="D93" s="69" t="s">
        <v>542</v>
      </c>
      <c r="E93" s="7" t="s">
        <v>592</v>
      </c>
      <c r="F93" s="7" t="s">
        <v>370</v>
      </c>
      <c r="G93" s="7" t="s">
        <v>996</v>
      </c>
      <c r="H93" s="7" t="s">
        <v>996</v>
      </c>
      <c r="I93" s="7"/>
      <c r="J93" s="67">
        <f>VLOOKUP(표4[[#This Row],[Team]],표1[[내역]:[코스트 센터]],2,0)</f>
        <v>100036</v>
      </c>
      <c r="K93" s="67" t="str">
        <f>VLOOKUP(표4[[#This Row],[Project]],표2[],2,0)</f>
        <v>I100099999</v>
      </c>
    </row>
    <row r="94" spans="1:11">
      <c r="A94" s="7" t="s">
        <v>1022</v>
      </c>
      <c r="B94" s="7" t="s">
        <v>543</v>
      </c>
      <c r="C94" s="69" t="s">
        <v>542</v>
      </c>
      <c r="D94" s="69" t="s">
        <v>542</v>
      </c>
      <c r="E94" s="7" t="s">
        <v>592</v>
      </c>
      <c r="F94" s="7" t="s">
        <v>370</v>
      </c>
      <c r="G94" s="7" t="s">
        <v>843</v>
      </c>
      <c r="H94" s="7" t="s">
        <v>843</v>
      </c>
      <c r="I94" s="7"/>
      <c r="J94" s="67">
        <f>VLOOKUP(표4[[#This Row],[Team]],표1[[내역]:[코스트 센터]],2,0)</f>
        <v>100036</v>
      </c>
      <c r="K94" s="67" t="str">
        <f>VLOOKUP(표4[[#This Row],[Project]],표2[],2,0)</f>
        <v>I100099999</v>
      </c>
    </row>
    <row r="95" spans="1:11">
      <c r="A95" s="7" t="s">
        <v>270</v>
      </c>
      <c r="B95" s="7" t="s">
        <v>543</v>
      </c>
      <c r="C95" s="69" t="s">
        <v>542</v>
      </c>
      <c r="D95" s="69" t="s">
        <v>542</v>
      </c>
      <c r="E95" s="7" t="s">
        <v>592</v>
      </c>
      <c r="F95" s="7" t="s">
        <v>370</v>
      </c>
      <c r="G95" s="7" t="s">
        <v>843</v>
      </c>
      <c r="H95" s="7" t="s">
        <v>843</v>
      </c>
      <c r="J95" s="67">
        <f>VLOOKUP(표4[[#This Row],[Team]],표1[[내역]:[코스트 센터]],2,0)</f>
        <v>100036</v>
      </c>
      <c r="K95" s="67" t="str">
        <f>VLOOKUP(표4[[#This Row],[Project]],표2[],2,0)</f>
        <v>I100099999</v>
      </c>
    </row>
    <row r="96" spans="1:11">
      <c r="A96" s="7" t="s">
        <v>1023</v>
      </c>
      <c r="B96" s="7" t="s">
        <v>543</v>
      </c>
      <c r="C96" s="69" t="s">
        <v>542</v>
      </c>
      <c r="D96" s="69" t="s">
        <v>542</v>
      </c>
      <c r="E96" s="7" t="s">
        <v>614</v>
      </c>
      <c r="F96" s="7" t="s">
        <v>370</v>
      </c>
      <c r="G96" s="7" t="s">
        <v>1024</v>
      </c>
      <c r="H96" s="7" t="s">
        <v>1025</v>
      </c>
      <c r="I96" s="7"/>
      <c r="J96" s="67">
        <f>VLOOKUP(표4[[#This Row],[Team]],표1[[내역]:[코스트 센터]],2,0)</f>
        <v>100092</v>
      </c>
      <c r="K96" s="67" t="str">
        <f>VLOOKUP(표4[[#This Row],[Project]],표2[],2,0)</f>
        <v>I100099999</v>
      </c>
    </row>
    <row r="97" spans="1:11">
      <c r="A97" s="7" t="s">
        <v>1026</v>
      </c>
      <c r="B97" s="7" t="s">
        <v>543</v>
      </c>
      <c r="C97" s="69" t="s">
        <v>542</v>
      </c>
      <c r="D97" s="69" t="s">
        <v>568</v>
      </c>
      <c r="E97" s="7" t="s">
        <v>593</v>
      </c>
      <c r="F97" s="7" t="s">
        <v>594</v>
      </c>
      <c r="G97" s="7" t="s">
        <v>839</v>
      </c>
      <c r="H97" s="7" t="s">
        <v>840</v>
      </c>
      <c r="I97" s="7"/>
      <c r="J97" s="67">
        <f>VLOOKUP(표4[[#This Row],[Team]],표1[[내역]:[코스트 센터]],2,0)</f>
        <v>100414</v>
      </c>
      <c r="K97" s="67" t="str">
        <f>VLOOKUP(표4[[#This Row],[Project]],표2[],2,0)</f>
        <v>P100010012</v>
      </c>
    </row>
    <row r="98" spans="1:11">
      <c r="A98" t="s">
        <v>276</v>
      </c>
      <c r="B98" s="7" t="s">
        <v>543</v>
      </c>
      <c r="C98" s="69" t="s">
        <v>542</v>
      </c>
      <c r="D98" s="69" t="s">
        <v>542</v>
      </c>
      <c r="E98" s="7" t="s">
        <v>951</v>
      </c>
      <c r="F98" s="7" t="s">
        <v>370</v>
      </c>
      <c r="G98" s="7" t="s">
        <v>952</v>
      </c>
      <c r="H98" s="7" t="s">
        <v>952</v>
      </c>
      <c r="I98" s="7"/>
      <c r="J98" s="67">
        <f>VLOOKUP(표4[[#This Row],[Team]],표1[[내역]:[코스트 센터]],2,0)</f>
        <v>100033</v>
      </c>
      <c r="K98" s="67" t="str">
        <f>VLOOKUP(표4[[#This Row],[Project]],표2[],2,0)</f>
        <v>I100099999</v>
      </c>
    </row>
    <row r="99" spans="1:11" ht="32">
      <c r="A99" s="7" t="s">
        <v>277</v>
      </c>
      <c r="B99" s="7" t="s">
        <v>543</v>
      </c>
      <c r="C99" s="69" t="s">
        <v>544</v>
      </c>
      <c r="D99" s="69" t="s">
        <v>544</v>
      </c>
      <c r="E99" s="7" t="s">
        <v>1008</v>
      </c>
      <c r="F99" s="7" t="s">
        <v>602</v>
      </c>
      <c r="G99" s="7" t="s">
        <v>974</v>
      </c>
      <c r="H99" s="7" t="s">
        <v>974</v>
      </c>
      <c r="I99" s="130" t="s">
        <v>1027</v>
      </c>
      <c r="J99" s="67">
        <f>VLOOKUP(표4[[#This Row],[Team]],표1[[내역]:[코스트 센터]],2,0)</f>
        <v>110024</v>
      </c>
      <c r="K99" s="67" t="str">
        <f>VLOOKUP(표4[[#This Row],[Project]],표2[],2,0)</f>
        <v>P100020001</v>
      </c>
    </row>
    <row r="100" spans="1:11">
      <c r="A100" s="7" t="s">
        <v>1028</v>
      </c>
      <c r="B100" s="7" t="s">
        <v>543</v>
      </c>
      <c r="C100" s="69" t="s">
        <v>542</v>
      </c>
      <c r="D100" s="69" t="s">
        <v>542</v>
      </c>
      <c r="E100" s="7" t="s">
        <v>1029</v>
      </c>
      <c r="F100" s="7" t="s">
        <v>370</v>
      </c>
      <c r="G100" s="7" t="s">
        <v>1030</v>
      </c>
      <c r="H100" s="125" t="s">
        <v>920</v>
      </c>
      <c r="I100" s="7"/>
      <c r="J100" s="67">
        <f>VLOOKUP(표4[[#This Row],[Team]],표1[[내역]:[코스트 센터]],2,0)</f>
        <v>100030</v>
      </c>
      <c r="K100" s="67" t="str">
        <f>VLOOKUP(표4[[#This Row],[Project]],표2[],2,0)</f>
        <v>I100099999</v>
      </c>
    </row>
    <row r="101" spans="1:11">
      <c r="A101" s="7" t="s">
        <v>278</v>
      </c>
      <c r="B101" s="7" t="s">
        <v>543</v>
      </c>
      <c r="C101" s="69" t="s">
        <v>544</v>
      </c>
      <c r="D101" s="69" t="s">
        <v>544</v>
      </c>
      <c r="E101" s="7" t="s">
        <v>601</v>
      </c>
      <c r="F101" s="7" t="s">
        <v>602</v>
      </c>
      <c r="G101" s="248" t="s">
        <v>1031</v>
      </c>
      <c r="H101" s="248" t="s">
        <v>1031</v>
      </c>
      <c r="I101" s="7"/>
      <c r="J101" s="67">
        <f>VLOOKUP(표4[[#This Row],[Team]],표1[[내역]:[코스트 센터]],2,0)</f>
        <v>110119</v>
      </c>
      <c r="K101" s="67" t="str">
        <f>VLOOKUP(표4[[#This Row],[Project]],표2[],2,0)</f>
        <v>P100020001</v>
      </c>
    </row>
    <row r="102" spans="1:11">
      <c r="A102" s="7" t="s">
        <v>279</v>
      </c>
      <c r="B102" s="7" t="s">
        <v>543</v>
      </c>
      <c r="C102" s="69" t="s">
        <v>544</v>
      </c>
      <c r="D102" s="69" t="s">
        <v>544</v>
      </c>
      <c r="E102" s="7" t="s">
        <v>601</v>
      </c>
      <c r="F102" s="7" t="s">
        <v>602</v>
      </c>
      <c r="G102" s="248" t="s">
        <v>1031</v>
      </c>
      <c r="H102" s="248" t="s">
        <v>1031</v>
      </c>
      <c r="I102" s="7"/>
      <c r="J102" s="67">
        <f>VLOOKUP(표4[[#This Row],[Team]],표1[[내역]:[코스트 센터]],2,0)</f>
        <v>110119</v>
      </c>
      <c r="K102" s="67" t="str">
        <f>VLOOKUP(표4[[#This Row],[Project]],표2[],2,0)</f>
        <v>P100020001</v>
      </c>
    </row>
    <row r="103" spans="1:11">
      <c r="A103" s="7" t="s">
        <v>280</v>
      </c>
      <c r="B103" s="7" t="s">
        <v>543</v>
      </c>
      <c r="C103" s="69" t="s">
        <v>544</v>
      </c>
      <c r="D103" s="69" t="s">
        <v>544</v>
      </c>
      <c r="E103" s="7" t="s">
        <v>601</v>
      </c>
      <c r="F103" s="7" t="s">
        <v>1032</v>
      </c>
      <c r="G103" s="7" t="s">
        <v>1033</v>
      </c>
      <c r="H103" s="7" t="s">
        <v>1033</v>
      </c>
      <c r="I103" t="s">
        <v>1034</v>
      </c>
      <c r="J103" s="67">
        <f>VLOOKUP(표4[[#This Row],[Team]],표1[[내역]:[코스트 센터]],2,0)</f>
        <v>110119</v>
      </c>
      <c r="K103" s="67" t="str">
        <f>VLOOKUP(표4[[#This Row],[Project]],표2[],2,0)</f>
        <v>P100020001</v>
      </c>
    </row>
    <row r="104" spans="1:11">
      <c r="A104" s="7" t="s">
        <v>281</v>
      </c>
      <c r="B104" s="7" t="s">
        <v>543</v>
      </c>
      <c r="C104" s="69" t="s">
        <v>542</v>
      </c>
      <c r="D104" s="69" t="s">
        <v>542</v>
      </c>
      <c r="E104" s="7" t="s">
        <v>592</v>
      </c>
      <c r="F104" s="7" t="s">
        <v>370</v>
      </c>
      <c r="G104" s="7" t="s">
        <v>996</v>
      </c>
      <c r="H104" s="7" t="s">
        <v>996</v>
      </c>
      <c r="I104" s="7"/>
      <c r="J104" s="67">
        <f>VLOOKUP(표4[[#This Row],[Team]],표1[[내역]:[코스트 센터]],2,0)</f>
        <v>100036</v>
      </c>
      <c r="K104" s="67" t="str">
        <f>VLOOKUP(표4[[#This Row],[Project]],표2[],2,0)</f>
        <v>I100099999</v>
      </c>
    </row>
    <row r="105" spans="1:11">
      <c r="A105" s="125" t="s">
        <v>1035</v>
      </c>
      <c r="B105" s="125" t="s">
        <v>543</v>
      </c>
      <c r="C105" s="126" t="s">
        <v>542</v>
      </c>
      <c r="D105" s="126" t="s">
        <v>542</v>
      </c>
      <c r="E105" s="125" t="s">
        <v>592</v>
      </c>
      <c r="F105" s="125" t="s">
        <v>370</v>
      </c>
      <c r="G105" s="125" t="s">
        <v>852</v>
      </c>
      <c r="H105" s="125" t="s">
        <v>920</v>
      </c>
      <c r="I105" s="125" t="s">
        <v>1036</v>
      </c>
      <c r="J105" s="67">
        <f>VLOOKUP(표4[[#This Row],[Team]],표1[[내역]:[코스트 센터]],2,0)</f>
        <v>100036</v>
      </c>
      <c r="K105" s="67" t="str">
        <f>VLOOKUP(표4[[#This Row],[Project]],표2[],2,0)</f>
        <v>I100099999</v>
      </c>
    </row>
    <row r="106" spans="1:11">
      <c r="A106" s="125" t="s">
        <v>285</v>
      </c>
      <c r="B106" s="125" t="s">
        <v>543</v>
      </c>
      <c r="C106" s="126" t="s">
        <v>542</v>
      </c>
      <c r="D106" s="126" t="s">
        <v>542</v>
      </c>
      <c r="E106" s="125" t="s">
        <v>609</v>
      </c>
      <c r="F106" s="125" t="s">
        <v>370</v>
      </c>
      <c r="G106" s="125" t="s">
        <v>874</v>
      </c>
      <c r="H106" s="125" t="s">
        <v>878</v>
      </c>
      <c r="I106" t="s">
        <v>1037</v>
      </c>
      <c r="J106" s="67">
        <f>VLOOKUP(표4[[#This Row],[Team]],표1[[내역]:[코스트 센터]],2,0)</f>
        <v>100212</v>
      </c>
      <c r="K106" s="67" t="str">
        <f>VLOOKUP(표4[[#This Row],[Project]],표2[],2,0)</f>
        <v>I100099999</v>
      </c>
    </row>
    <row r="107" spans="1:11">
      <c r="A107" t="s">
        <v>1038</v>
      </c>
      <c r="B107" s="125" t="s">
        <v>543</v>
      </c>
      <c r="C107" s="126" t="s">
        <v>542</v>
      </c>
      <c r="D107" s="126" t="s">
        <v>542</v>
      </c>
      <c r="E107" s="125" t="s">
        <v>816</v>
      </c>
      <c r="F107" s="125" t="s">
        <v>652</v>
      </c>
      <c r="G107" s="125" t="s">
        <v>818</v>
      </c>
      <c r="H107" s="125" t="s">
        <v>1039</v>
      </c>
      <c r="I107" s="125"/>
      <c r="J107" s="67">
        <f>VLOOKUP(표4[[#This Row],[Team]],표1[[내역]:[코스트 센터]],2,0)</f>
        <v>101269</v>
      </c>
      <c r="K107" s="67" t="str">
        <f>VLOOKUP(표4[[#This Row],[Project]],표2[],2,0)</f>
        <v>P100030042</v>
      </c>
    </row>
    <row r="108" spans="1:11">
      <c r="A108" s="125" t="s">
        <v>1040</v>
      </c>
      <c r="B108" s="125" t="s">
        <v>543</v>
      </c>
      <c r="C108" s="133" t="s">
        <v>542</v>
      </c>
      <c r="D108" s="133" t="s">
        <v>542</v>
      </c>
      <c r="E108" s="125" t="s">
        <v>623</v>
      </c>
      <c r="F108" s="127" t="s">
        <v>624</v>
      </c>
      <c r="G108" s="125" t="s">
        <v>904</v>
      </c>
      <c r="H108" s="125" t="s">
        <v>904</v>
      </c>
      <c r="I108" s="139" t="s">
        <v>905</v>
      </c>
      <c r="J108" s="67">
        <f>VLOOKUP(표4[[#This Row],[Team]],표1[[내역]:[코스트 센터]],2,0)</f>
        <v>100033</v>
      </c>
      <c r="K108" s="67" t="str">
        <f>VLOOKUP(표4[[#This Row],[Project]],표2[],2,0)</f>
        <v>P100030012</v>
      </c>
    </row>
    <row r="109" spans="1:11">
      <c r="A109" t="s">
        <v>288</v>
      </c>
      <c r="B109" s="7" t="s">
        <v>543</v>
      </c>
      <c r="C109" s="69" t="s">
        <v>542</v>
      </c>
      <c r="D109" s="69" t="s">
        <v>542</v>
      </c>
      <c r="E109" s="7" t="s">
        <v>951</v>
      </c>
      <c r="F109" s="7" t="s">
        <v>1041</v>
      </c>
      <c r="G109" s="7" t="s">
        <v>952</v>
      </c>
      <c r="H109" s="7" t="s">
        <v>952</v>
      </c>
      <c r="I109" s="7"/>
      <c r="J109" s="67">
        <f>VLOOKUP(표4[[#This Row],[Team]],표1[[내역]:[코스트 센터]],2,0)</f>
        <v>100033</v>
      </c>
      <c r="K109" s="67" t="str">
        <f>VLOOKUP(표4[[#This Row],[Project]],표2[],2,0)</f>
        <v>P100030805</v>
      </c>
    </row>
    <row r="110" spans="1:11">
      <c r="A110" s="8" t="s">
        <v>289</v>
      </c>
      <c r="B110" s="7" t="s">
        <v>543</v>
      </c>
      <c r="C110" s="69" t="s">
        <v>565</v>
      </c>
      <c r="D110" s="69" t="s">
        <v>565</v>
      </c>
      <c r="E110" s="7" t="s">
        <v>836</v>
      </c>
      <c r="F110" s="7" t="s">
        <v>370</v>
      </c>
      <c r="G110" s="7" t="s">
        <v>837</v>
      </c>
      <c r="H110" s="7" t="s">
        <v>837</v>
      </c>
      <c r="I110" s="7"/>
      <c r="J110" s="67">
        <f>VLOOKUP(표4[[#This Row],[Team]],표1[[내역]:[코스트 센터]],2,0)</f>
        <v>460005</v>
      </c>
      <c r="K110" s="67" t="str">
        <f>VLOOKUP(표4[[#This Row],[Project]],표2[],2,0)</f>
        <v>I100099999</v>
      </c>
    </row>
    <row r="111" spans="1:11">
      <c r="A111" s="7" t="s">
        <v>290</v>
      </c>
      <c r="B111" s="7" t="s">
        <v>543</v>
      </c>
      <c r="C111" s="69" t="s">
        <v>542</v>
      </c>
      <c r="D111" s="69" t="s">
        <v>570</v>
      </c>
      <c r="E111" s="7" t="s">
        <v>678</v>
      </c>
      <c r="F111" s="7" t="s">
        <v>679</v>
      </c>
      <c r="G111" s="7" t="s">
        <v>939</v>
      </c>
      <c r="H111" s="7" t="s">
        <v>868</v>
      </c>
      <c r="I111" s="7"/>
      <c r="J111" s="67">
        <f>VLOOKUP(표4[[#This Row],[Team]],표1[[내역]:[코스트 센터]],2,0)</f>
        <v>100561</v>
      </c>
      <c r="K111" s="67" t="str">
        <f>VLOOKUP(표4[[#This Row],[Project]],표2[],2,0)</f>
        <v>P100010013</v>
      </c>
    </row>
    <row r="112" spans="1:11">
      <c r="A112" s="7" t="s">
        <v>291</v>
      </c>
      <c r="B112" s="7" t="s">
        <v>543</v>
      </c>
      <c r="C112" s="69" t="s">
        <v>542</v>
      </c>
      <c r="D112" s="69" t="s">
        <v>567</v>
      </c>
      <c r="E112" s="7" t="s">
        <v>822</v>
      </c>
      <c r="F112" s="7" t="s">
        <v>600</v>
      </c>
      <c r="G112" s="7" t="s">
        <v>823</v>
      </c>
      <c r="H112" s="7" t="s">
        <v>824</v>
      </c>
      <c r="I112" s="7"/>
      <c r="J112" s="67">
        <f>VLOOKUP(표4[[#This Row],[Team]],표1[[내역]:[코스트 센터]],2,0)</f>
        <v>100368</v>
      </c>
      <c r="K112" s="67" t="str">
        <f>VLOOKUP(표4[[#This Row],[Project]],표2[],2,0)</f>
        <v>P100030014</v>
      </c>
    </row>
    <row r="113" spans="1:11">
      <c r="A113" s="7" t="s">
        <v>1042</v>
      </c>
      <c r="B113" s="7" t="s">
        <v>543</v>
      </c>
      <c r="C113" s="69" t="s">
        <v>542</v>
      </c>
      <c r="D113" s="69" t="s">
        <v>568</v>
      </c>
      <c r="E113" s="7" t="s">
        <v>609</v>
      </c>
      <c r="F113" s="7" t="s">
        <v>594</v>
      </c>
      <c r="G113" s="7" t="s">
        <v>1043</v>
      </c>
      <c r="H113" s="7" t="s">
        <v>1043</v>
      </c>
      <c r="I113" s="125" t="s">
        <v>1044</v>
      </c>
      <c r="J113" s="67">
        <f>VLOOKUP(표4[[#This Row],[Team]],표1[[내역]:[코스트 센터]],2,0)</f>
        <v>100212</v>
      </c>
      <c r="K113" s="67" t="str">
        <f>VLOOKUP(표4[[#This Row],[Project]],표2[],2,0)</f>
        <v>P100010012</v>
      </c>
    </row>
    <row r="114" spans="1:11">
      <c r="A114" s="7" t="s">
        <v>292</v>
      </c>
      <c r="B114" s="7" t="s">
        <v>543</v>
      </c>
      <c r="C114" s="69" t="s">
        <v>542</v>
      </c>
      <c r="D114" s="69" t="s">
        <v>568</v>
      </c>
      <c r="E114" s="7" t="s">
        <v>593</v>
      </c>
      <c r="F114" s="7" t="s">
        <v>594</v>
      </c>
      <c r="G114" s="7" t="s">
        <v>874</v>
      </c>
      <c r="H114" s="7" t="s">
        <v>878</v>
      </c>
      <c r="I114" s="125"/>
      <c r="J114" s="67">
        <f>VLOOKUP(표4[[#This Row],[Team]],표1[[내역]:[코스트 센터]],2,0)</f>
        <v>100414</v>
      </c>
      <c r="K114" s="67" t="str">
        <f>VLOOKUP(표4[[#This Row],[Project]],표2[],2,0)</f>
        <v>P100010012</v>
      </c>
    </row>
    <row r="115" spans="1:11">
      <c r="A115" t="s">
        <v>1045</v>
      </c>
      <c r="B115" s="7" t="s">
        <v>543</v>
      </c>
      <c r="C115" s="69" t="s">
        <v>542</v>
      </c>
      <c r="D115" s="69" t="s">
        <v>542</v>
      </c>
      <c r="E115" s="7" t="s">
        <v>609</v>
      </c>
      <c r="F115" s="66" t="s">
        <v>624</v>
      </c>
      <c r="G115" s="7" t="s">
        <v>899</v>
      </c>
      <c r="H115" s="7" t="s">
        <v>899</v>
      </c>
      <c r="I115" s="125" t="s">
        <v>1046</v>
      </c>
      <c r="J115" s="67">
        <f>VLOOKUP(표4[[#This Row],[Team]],표1[[내역]:[코스트 센터]],2,0)</f>
        <v>100212</v>
      </c>
      <c r="K115" s="67" t="str">
        <f>VLOOKUP(표4[[#This Row],[Project]],표2[],2,0)</f>
        <v>P100030012</v>
      </c>
    </row>
    <row r="116" spans="1:11">
      <c r="A116" t="s">
        <v>1047</v>
      </c>
      <c r="B116" s="7" t="s">
        <v>543</v>
      </c>
      <c r="C116" s="69" t="s">
        <v>542</v>
      </c>
      <c r="D116" s="69" t="s">
        <v>542</v>
      </c>
      <c r="E116" s="7" t="s">
        <v>590</v>
      </c>
      <c r="F116" s="66" t="s">
        <v>831</v>
      </c>
      <c r="G116" s="7" t="s">
        <v>827</v>
      </c>
      <c r="H116" s="7" t="s">
        <v>827</v>
      </c>
      <c r="I116" s="125" t="s">
        <v>1048</v>
      </c>
      <c r="J116" s="67">
        <f>VLOOKUP(표4[[#This Row],[Team]],표1[[내역]:[코스트 센터]],2,0)</f>
        <v>100553</v>
      </c>
      <c r="K116" s="67" t="str">
        <f>VLOOKUP(표4[[#This Row],[Project]],표2[],2,0)</f>
        <v>P100130012</v>
      </c>
    </row>
    <row r="117" spans="1:11">
      <c r="A117" s="7" t="s">
        <v>1049</v>
      </c>
      <c r="B117" s="7" t="s">
        <v>543</v>
      </c>
      <c r="C117" s="69" t="s">
        <v>542</v>
      </c>
      <c r="D117" s="69" t="s">
        <v>568</v>
      </c>
      <c r="E117" s="7" t="s">
        <v>593</v>
      </c>
      <c r="F117" s="7" t="s">
        <v>594</v>
      </c>
      <c r="G117" s="7" t="s">
        <v>839</v>
      </c>
      <c r="H117" s="7" t="s">
        <v>840</v>
      </c>
      <c r="I117" s="125"/>
      <c r="J117" s="67">
        <f>VLOOKUP(표4[[#This Row],[Team]],표1[[내역]:[코스트 센터]],2,0)</f>
        <v>100414</v>
      </c>
      <c r="K117" s="67" t="str">
        <f>VLOOKUP(표4[[#This Row],[Project]],표2[],2,0)</f>
        <v>P100010012</v>
      </c>
    </row>
    <row r="118" spans="1:11">
      <c r="A118" s="7" t="s">
        <v>1050</v>
      </c>
      <c r="B118" s="7" t="s">
        <v>543</v>
      </c>
      <c r="C118" s="69" t="s">
        <v>542</v>
      </c>
      <c r="D118" s="69" t="s">
        <v>568</v>
      </c>
      <c r="E118" s="7" t="s">
        <v>593</v>
      </c>
      <c r="F118" s="7" t="s">
        <v>594</v>
      </c>
      <c r="G118" s="7" t="s">
        <v>839</v>
      </c>
      <c r="H118" s="7" t="s">
        <v>840</v>
      </c>
      <c r="I118" s="7"/>
      <c r="J118" s="67">
        <f>VLOOKUP(표4[[#This Row],[Team]],표1[[내역]:[코스트 센터]],2,0)</f>
        <v>100414</v>
      </c>
      <c r="K118" s="67" t="str">
        <f>VLOOKUP(표4[[#This Row],[Project]],표2[],2,0)</f>
        <v>P100010012</v>
      </c>
    </row>
    <row r="119" spans="1:11">
      <c r="A119" s="7" t="s">
        <v>295</v>
      </c>
      <c r="B119" s="7" t="s">
        <v>543</v>
      </c>
      <c r="C119" s="69" t="s">
        <v>542</v>
      </c>
      <c r="D119" s="69" t="s">
        <v>570</v>
      </c>
      <c r="E119" s="7" t="s">
        <v>678</v>
      </c>
      <c r="F119" s="7" t="s">
        <v>679</v>
      </c>
      <c r="G119" s="7" t="s">
        <v>939</v>
      </c>
      <c r="H119" s="7" t="s">
        <v>868</v>
      </c>
      <c r="I119" s="7" t="s">
        <v>1051</v>
      </c>
      <c r="J119" s="67">
        <f>VLOOKUP(표4[[#This Row],[Team]],표1[[내역]:[코스트 센터]],2,0)</f>
        <v>100561</v>
      </c>
      <c r="K119" s="67" t="str">
        <f>VLOOKUP(표4[[#This Row],[Project]],표2[],2,0)</f>
        <v>P100010013</v>
      </c>
    </row>
    <row r="120" spans="1:11">
      <c r="A120" s="7" t="s">
        <v>296</v>
      </c>
      <c r="B120" s="7" t="s">
        <v>543</v>
      </c>
      <c r="C120" s="69" t="s">
        <v>542</v>
      </c>
      <c r="D120" s="69" t="s">
        <v>570</v>
      </c>
      <c r="E120" s="7" t="s">
        <v>678</v>
      </c>
      <c r="F120" s="7" t="s">
        <v>679</v>
      </c>
      <c r="G120" s="7" t="s">
        <v>939</v>
      </c>
      <c r="H120" s="7" t="s">
        <v>868</v>
      </c>
      <c r="I120" s="7"/>
      <c r="J120" s="67">
        <f>VLOOKUP(표4[[#This Row],[Team]],표1[[내역]:[코스트 센터]],2,0)</f>
        <v>100561</v>
      </c>
      <c r="K120" s="67" t="str">
        <f>VLOOKUP(표4[[#This Row],[Project]],표2[],2,0)</f>
        <v>P100010013</v>
      </c>
    </row>
    <row r="121" spans="1:11">
      <c r="A121" s="7" t="s">
        <v>1052</v>
      </c>
      <c r="B121" s="7" t="s">
        <v>543</v>
      </c>
      <c r="C121" s="69" t="s">
        <v>542</v>
      </c>
      <c r="D121" s="69" t="s">
        <v>568</v>
      </c>
      <c r="E121" s="7" t="s">
        <v>969</v>
      </c>
      <c r="F121" s="7" t="s">
        <v>1053</v>
      </c>
      <c r="G121" s="7" t="s">
        <v>924</v>
      </c>
      <c r="H121" s="7" t="s">
        <v>924</v>
      </c>
      <c r="I121" s="7"/>
      <c r="J121" s="67">
        <f>VLOOKUP(표4[[#This Row],[Team]],표1[[내역]:[코스트 센터]],2,0)</f>
        <v>100351</v>
      </c>
      <c r="K121" s="67" t="str">
        <f>VLOOKUP(표4[[#This Row],[Project]],표2[],2,0)</f>
        <v>P100010016</v>
      </c>
    </row>
    <row r="122" spans="1:11">
      <c r="A122" s="7" t="s">
        <v>1054</v>
      </c>
      <c r="B122" s="7" t="s">
        <v>543</v>
      </c>
      <c r="C122" s="69" t="s">
        <v>542</v>
      </c>
      <c r="D122" s="69" t="s">
        <v>568</v>
      </c>
      <c r="E122" s="7" t="s">
        <v>593</v>
      </c>
      <c r="F122" s="7" t="s">
        <v>594</v>
      </c>
      <c r="G122" s="7" t="s">
        <v>839</v>
      </c>
      <c r="H122" s="7" t="s">
        <v>840</v>
      </c>
      <c r="I122" s="7"/>
      <c r="J122" s="67">
        <f>VLOOKUP(표4[[#This Row],[Team]],표1[[내역]:[코스트 센터]],2,0)</f>
        <v>100414</v>
      </c>
      <c r="K122" s="67" t="str">
        <f>VLOOKUP(표4[[#This Row],[Project]],표2[],2,0)</f>
        <v>P100010012</v>
      </c>
    </row>
    <row r="123" spans="1:11">
      <c r="A123" s="7" t="s">
        <v>1055</v>
      </c>
      <c r="B123" s="7" t="s">
        <v>543</v>
      </c>
      <c r="C123" s="67" t="s">
        <v>542</v>
      </c>
      <c r="D123" s="67" t="s">
        <v>568</v>
      </c>
      <c r="E123" s="7" t="s">
        <v>943</v>
      </c>
      <c r="F123" s="7" t="s">
        <v>370</v>
      </c>
      <c r="G123" s="7" t="s">
        <v>944</v>
      </c>
      <c r="H123" s="7" t="s">
        <v>945</v>
      </c>
      <c r="I123" s="8" t="s">
        <v>1056</v>
      </c>
      <c r="J123" s="67">
        <f>VLOOKUP(표4[[#This Row],[Team]],표1[[내역]:[코스트 센터]],2,0)</f>
        <v>100774</v>
      </c>
      <c r="K123" s="67" t="str">
        <f>VLOOKUP(표4[[#This Row],[Project]],표2[],2,0)</f>
        <v>I100099999</v>
      </c>
    </row>
    <row r="124" spans="1:11">
      <c r="A124" t="s">
        <v>1057</v>
      </c>
      <c r="B124" s="7" t="s">
        <v>543</v>
      </c>
      <c r="C124" s="67" t="s">
        <v>542</v>
      </c>
      <c r="D124" s="67" t="s">
        <v>567</v>
      </c>
      <c r="E124" s="7" t="s">
        <v>609</v>
      </c>
      <c r="F124" s="7" t="s">
        <v>600</v>
      </c>
      <c r="G124" s="125" t="s">
        <v>874</v>
      </c>
      <c r="H124" s="125" t="s">
        <v>1058</v>
      </c>
      <c r="I124" t="s">
        <v>1059</v>
      </c>
      <c r="J124" s="67">
        <f>VLOOKUP(표4[[#This Row],[Team]],표1[[내역]:[코스트 센터]],2,0)</f>
        <v>100212</v>
      </c>
      <c r="K124" s="67" t="str">
        <f>VLOOKUP(표4[[#This Row],[Project]],표2[],2,0)</f>
        <v>P100030014</v>
      </c>
    </row>
    <row r="125" spans="1:11">
      <c r="A125" s="7" t="s">
        <v>1060</v>
      </c>
      <c r="B125" s="7" t="s">
        <v>543</v>
      </c>
      <c r="C125" s="67" t="s">
        <v>391</v>
      </c>
      <c r="D125" s="69" t="s">
        <v>391</v>
      </c>
      <c r="E125" s="7" t="s">
        <v>677</v>
      </c>
      <c r="F125" s="7" t="s">
        <v>635</v>
      </c>
      <c r="G125" s="7" t="s">
        <v>1061</v>
      </c>
      <c r="H125" s="7" t="s">
        <v>1061</v>
      </c>
      <c r="I125" s="7"/>
      <c r="J125" s="67">
        <f>VLOOKUP(표4[[#This Row],[Team]],표1[[내역]:[코스트 센터]],2,0)</f>
        <v>100677</v>
      </c>
      <c r="K125" s="67" t="str">
        <f>VLOOKUP(표4[[#This Row],[Project]],표2[],2,0)</f>
        <v>I100090817</v>
      </c>
    </row>
    <row r="126" spans="1:11">
      <c r="A126" t="s">
        <v>319</v>
      </c>
      <c r="B126" s="125" t="s">
        <v>543</v>
      </c>
      <c r="C126" s="132" t="s">
        <v>542</v>
      </c>
      <c r="D126" s="132" t="s">
        <v>542</v>
      </c>
      <c r="E126" s="125" t="s">
        <v>951</v>
      </c>
      <c r="F126" s="125" t="s">
        <v>370</v>
      </c>
      <c r="G126" s="125" t="s">
        <v>952</v>
      </c>
      <c r="H126" s="125" t="s">
        <v>952</v>
      </c>
      <c r="I126" s="125"/>
      <c r="J126" s="67">
        <f>VLOOKUP(표4[[#This Row],[Team]],표1[[내역]:[코스트 센터]],2,0)</f>
        <v>100033</v>
      </c>
      <c r="K126" s="67" t="str">
        <f>VLOOKUP(표4[[#This Row],[Project]],표2[],2,0)</f>
        <v>I100099999</v>
      </c>
    </row>
    <row r="127" spans="1:11">
      <c r="A127" s="125" t="s">
        <v>1062</v>
      </c>
      <c r="B127" s="125" t="s">
        <v>543</v>
      </c>
      <c r="C127" s="125" t="s">
        <v>542</v>
      </c>
      <c r="D127" s="125" t="s">
        <v>542</v>
      </c>
      <c r="E127" s="125" t="s">
        <v>623</v>
      </c>
      <c r="F127" s="125" t="s">
        <v>370</v>
      </c>
      <c r="G127" s="125" t="s">
        <v>904</v>
      </c>
      <c r="H127" s="125" t="s">
        <v>904</v>
      </c>
      <c r="I127" s="139" t="s">
        <v>1063</v>
      </c>
      <c r="J127" s="67">
        <f>VLOOKUP(표4[[#This Row],[Team]],표1[[내역]:[코스트 센터]],2,0)</f>
        <v>100033</v>
      </c>
      <c r="K127" s="67" t="str">
        <f>VLOOKUP(표4[[#This Row],[Project]],표2[],2,0)</f>
        <v>I100099999</v>
      </c>
    </row>
    <row r="128" spans="1:11">
      <c r="A128" t="s">
        <v>287</v>
      </c>
      <c r="B128" s="8" t="s">
        <v>543</v>
      </c>
      <c r="C128" s="67" t="s">
        <v>542</v>
      </c>
      <c r="D128" s="67" t="s">
        <v>542</v>
      </c>
      <c r="E128" s="8" t="s">
        <v>816</v>
      </c>
      <c r="F128" s="8" t="s">
        <v>370</v>
      </c>
      <c r="G128" s="8" t="s">
        <v>819</v>
      </c>
      <c r="H128" s="8" t="s">
        <v>819</v>
      </c>
      <c r="I128" s="140" t="s">
        <v>1064</v>
      </c>
      <c r="J128" s="67">
        <f>VLOOKUP(표4[[#This Row],[Team]],표1[[내역]:[코스트 센터]],2,0)</f>
        <v>101269</v>
      </c>
      <c r="K128" s="67" t="str">
        <f>VLOOKUP(표4[[#This Row],[Project]],표2[],2,0)</f>
        <v>I100099999</v>
      </c>
    </row>
    <row r="129" spans="1:11" ht="120">
      <c r="A129" t="s">
        <v>1065</v>
      </c>
      <c r="B129" s="8" t="s">
        <v>543</v>
      </c>
      <c r="C129" s="121" t="s">
        <v>542</v>
      </c>
      <c r="D129" s="121" t="s">
        <v>542</v>
      </c>
      <c r="E129" s="7" t="s">
        <v>623</v>
      </c>
      <c r="F129" s="7" t="s">
        <v>621</v>
      </c>
      <c r="G129" s="8" t="s">
        <v>904</v>
      </c>
      <c r="H129" s="8" t="s">
        <v>904</v>
      </c>
      <c r="I129" s="178" t="s">
        <v>1066</v>
      </c>
      <c r="J129" s="67">
        <f>VLOOKUP(표4[[#This Row],[Team]],표1[[내역]:[코스트 센터]],2,0)</f>
        <v>100033</v>
      </c>
      <c r="K129" s="67" t="str">
        <f>VLOOKUP(표4[[#This Row],[Project]],표2[],2,0)</f>
        <v>P100010055</v>
      </c>
    </row>
    <row r="130" spans="1:11" ht="72.75" customHeight="1">
      <c r="A130" t="s">
        <v>1067</v>
      </c>
      <c r="B130" s="8" t="s">
        <v>543</v>
      </c>
      <c r="C130" s="121" t="s">
        <v>542</v>
      </c>
      <c r="D130" s="121" t="s">
        <v>542</v>
      </c>
      <c r="E130" s="7" t="s">
        <v>623</v>
      </c>
      <c r="F130" s="7" t="s">
        <v>621</v>
      </c>
      <c r="G130" s="8" t="s">
        <v>904</v>
      </c>
      <c r="H130" s="8" t="s">
        <v>904</v>
      </c>
      <c r="I130" s="141" t="s">
        <v>1068</v>
      </c>
      <c r="J130" s="67">
        <f>VLOOKUP(표4[[#This Row],[Team]],표1[[내역]:[코스트 센터]],2,0)</f>
        <v>100033</v>
      </c>
      <c r="K130" s="67" t="str">
        <f>VLOOKUP(표4[[#This Row],[Project]],표2[],2,0)</f>
        <v>P100010055</v>
      </c>
    </row>
    <row r="131" spans="1:11">
      <c r="A131" s="8" t="s">
        <v>198</v>
      </c>
      <c r="B131" s="8" t="s">
        <v>543</v>
      </c>
      <c r="C131" s="67" t="s">
        <v>542</v>
      </c>
      <c r="D131" s="67" t="s">
        <v>542</v>
      </c>
      <c r="E131" s="7" t="s">
        <v>943</v>
      </c>
      <c r="F131" s="8" t="s">
        <v>370</v>
      </c>
      <c r="G131" s="8" t="s">
        <v>1069</v>
      </c>
      <c r="H131" s="8" t="s">
        <v>1070</v>
      </c>
      <c r="I131" s="8" t="s">
        <v>1056</v>
      </c>
      <c r="J131" s="67">
        <f>VLOOKUP(표4[[#This Row],[Team]],표1[[내역]:[코스트 센터]],2,0)</f>
        <v>100774</v>
      </c>
      <c r="K131" s="67" t="str">
        <f>VLOOKUP(표4[[#This Row],[Project]],표2[],2,0)</f>
        <v>I100099999</v>
      </c>
    </row>
    <row r="132" spans="1:11" ht="46.5" customHeight="1">
      <c r="A132" t="s">
        <v>144</v>
      </c>
      <c r="B132" s="8" t="s">
        <v>543</v>
      </c>
      <c r="C132" s="67" t="s">
        <v>542</v>
      </c>
      <c r="D132" s="67" t="s">
        <v>542</v>
      </c>
      <c r="E132" s="8" t="s">
        <v>816</v>
      </c>
      <c r="F132" s="8" t="s">
        <v>370</v>
      </c>
      <c r="G132" s="8" t="s">
        <v>819</v>
      </c>
      <c r="H132" s="8" t="s">
        <v>819</v>
      </c>
      <c r="I132" s="142" t="s">
        <v>1071</v>
      </c>
      <c r="J132" s="67">
        <f>VLOOKUP(표4[[#This Row],[Team]],표1[[내역]:[코스트 센터]],2,0)</f>
        <v>101269</v>
      </c>
      <c r="K132" s="67" t="str">
        <f>VLOOKUP(표4[[#This Row],[Project]],표2[],2,0)</f>
        <v>I100099999</v>
      </c>
    </row>
    <row r="133" spans="1:11" ht="30">
      <c r="A133" t="s">
        <v>136</v>
      </c>
      <c r="B133" s="8" t="s">
        <v>543</v>
      </c>
      <c r="C133" s="67" t="s">
        <v>542</v>
      </c>
      <c r="D133" s="67" t="s">
        <v>542</v>
      </c>
      <c r="E133" s="8" t="s">
        <v>816</v>
      </c>
      <c r="F133" s="8" t="s">
        <v>370</v>
      </c>
      <c r="G133" s="41" t="s">
        <v>819</v>
      </c>
      <c r="H133" s="125" t="s">
        <v>819</v>
      </c>
      <c r="I133" s="134" t="s">
        <v>1072</v>
      </c>
      <c r="J133" s="67">
        <f>VLOOKUP(표4[[#This Row],[Team]],표1[[내역]:[코스트 센터]],2,0)</f>
        <v>101269</v>
      </c>
      <c r="K133" s="67" t="str">
        <f>VLOOKUP(표4[[#This Row],[Project]],표2[],2,0)</f>
        <v>I100099999</v>
      </c>
    </row>
    <row r="134" spans="1:11">
      <c r="A134" s="8" t="s">
        <v>1073</v>
      </c>
      <c r="B134" s="8" t="s">
        <v>543</v>
      </c>
      <c r="C134" s="67" t="s">
        <v>542</v>
      </c>
      <c r="D134" s="67" t="s">
        <v>542</v>
      </c>
      <c r="E134" s="7" t="s">
        <v>1074</v>
      </c>
      <c r="F134" s="8" t="s">
        <v>370</v>
      </c>
      <c r="G134" s="125" t="s">
        <v>1075</v>
      </c>
      <c r="H134" s="125" t="s">
        <v>1075</v>
      </c>
      <c r="I134" s="125" t="s">
        <v>1076</v>
      </c>
      <c r="J134" s="67">
        <f>VLOOKUP(표4[[#This Row],[Team]],표1[[내역]:[코스트 센터]],2,0)</f>
        <v>100008</v>
      </c>
      <c r="K134" s="67" t="str">
        <f>VLOOKUP(표4[[#This Row],[Project]],표2[],2,0)</f>
        <v>I100099999</v>
      </c>
    </row>
    <row r="135" spans="1:11" ht="45">
      <c r="A135" t="s">
        <v>155</v>
      </c>
      <c r="B135" s="8" t="s">
        <v>543</v>
      </c>
      <c r="C135" s="67" t="s">
        <v>542</v>
      </c>
      <c r="D135" s="67" t="s">
        <v>542</v>
      </c>
      <c r="E135" s="8" t="s">
        <v>816</v>
      </c>
      <c r="F135" s="8" t="s">
        <v>370</v>
      </c>
      <c r="G135" s="125" t="s">
        <v>819</v>
      </c>
      <c r="H135" s="125" t="s">
        <v>819</v>
      </c>
      <c r="I135" s="134" t="s">
        <v>1077</v>
      </c>
      <c r="J135" s="67">
        <f>VLOOKUP(표4[[#This Row],[Team]],표1[[내역]:[코스트 센터]],2,0)</f>
        <v>101269</v>
      </c>
      <c r="K135" s="67" t="str">
        <f>VLOOKUP(표4[[#This Row],[Project]],표2[],2,0)</f>
        <v>I100099999</v>
      </c>
    </row>
    <row r="136" spans="1:11">
      <c r="A136" t="s">
        <v>183</v>
      </c>
      <c r="B136" s="8" t="s">
        <v>543</v>
      </c>
      <c r="C136" s="67" t="s">
        <v>542</v>
      </c>
      <c r="D136" s="67" t="s">
        <v>542</v>
      </c>
      <c r="E136" s="8" t="s">
        <v>816</v>
      </c>
      <c r="F136" s="8" t="s">
        <v>598</v>
      </c>
      <c r="G136" s="8" t="s">
        <v>818</v>
      </c>
      <c r="H136" s="8" t="s">
        <v>818</v>
      </c>
      <c r="I136" s="7" t="s">
        <v>1078</v>
      </c>
      <c r="J136" s="67">
        <f>VLOOKUP(표4[[#This Row],[Team]],표1[[내역]:[코스트 센터]],2,0)</f>
        <v>101269</v>
      </c>
      <c r="K136" s="67" t="str">
        <f>VLOOKUP(표4[[#This Row],[Project]],표2[],2,0)</f>
        <v>P100030073</v>
      </c>
    </row>
    <row r="137" spans="1:11">
      <c r="A137" t="s">
        <v>184</v>
      </c>
      <c r="B137" s="8" t="s">
        <v>543</v>
      </c>
      <c r="C137" s="67" t="s">
        <v>542</v>
      </c>
      <c r="D137" s="67" t="s">
        <v>542</v>
      </c>
      <c r="E137" s="8" t="s">
        <v>816</v>
      </c>
      <c r="F137" s="8" t="s">
        <v>598</v>
      </c>
      <c r="G137" s="8" t="s">
        <v>818</v>
      </c>
      <c r="H137" s="8" t="s">
        <v>818</v>
      </c>
      <c r="I137" s="8"/>
      <c r="J137" s="67">
        <f>VLOOKUP(표4[[#This Row],[Team]],표1[[내역]:[코스트 센터]],2,0)</f>
        <v>101269</v>
      </c>
      <c r="K137" s="67" t="str">
        <f>VLOOKUP(표4[[#This Row],[Project]],표2[],2,0)</f>
        <v>P100030073</v>
      </c>
    </row>
    <row r="138" spans="1:11">
      <c r="A138" t="s">
        <v>145</v>
      </c>
      <c r="B138" s="8" t="s">
        <v>543</v>
      </c>
      <c r="C138" s="67" t="s">
        <v>542</v>
      </c>
      <c r="D138" s="67" t="s">
        <v>542</v>
      </c>
      <c r="E138" s="7" t="s">
        <v>609</v>
      </c>
      <c r="F138" s="8" t="s">
        <v>370</v>
      </c>
      <c r="G138" s="7" t="s">
        <v>874</v>
      </c>
      <c r="H138" s="7" t="s">
        <v>1079</v>
      </c>
      <c r="I138" t="s">
        <v>1080</v>
      </c>
      <c r="J138" s="67">
        <f>VLOOKUP(표4[[#This Row],[Team]],표1[[내역]:[코스트 센터]],2,0)</f>
        <v>100212</v>
      </c>
      <c r="K138" s="67" t="str">
        <f>VLOOKUP(표4[[#This Row],[Project]],표2[],2,0)</f>
        <v>I100099999</v>
      </c>
    </row>
    <row r="139" spans="1:11">
      <c r="A139" s="8" t="s">
        <v>146</v>
      </c>
      <c r="B139" s="8" t="s">
        <v>543</v>
      </c>
      <c r="C139" s="67" t="s">
        <v>542</v>
      </c>
      <c r="D139" s="67" t="s">
        <v>542</v>
      </c>
      <c r="E139" s="7" t="s">
        <v>609</v>
      </c>
      <c r="F139" s="8" t="s">
        <v>370</v>
      </c>
      <c r="G139" s="125" t="s">
        <v>874</v>
      </c>
      <c r="H139" s="8" t="s">
        <v>878</v>
      </c>
      <c r="J139" s="67">
        <f>VLOOKUP(표4[[#This Row],[Team]],표1[[내역]:[코스트 센터]],2,0)</f>
        <v>100212</v>
      </c>
      <c r="K139" s="67" t="str">
        <f>VLOOKUP(표4[[#This Row],[Project]],표2[],2,0)</f>
        <v>I100099999</v>
      </c>
    </row>
    <row r="140" spans="1:11">
      <c r="A140" s="8" t="s">
        <v>239</v>
      </c>
      <c r="B140" s="8" t="s">
        <v>543</v>
      </c>
      <c r="C140" s="67" t="s">
        <v>542</v>
      </c>
      <c r="D140" s="67" t="s">
        <v>542</v>
      </c>
      <c r="E140" s="130" t="s">
        <v>1081</v>
      </c>
      <c r="F140" s="8" t="s">
        <v>1082</v>
      </c>
      <c r="G140" s="8" t="s">
        <v>1083</v>
      </c>
      <c r="H140" s="8" t="s">
        <v>1083</v>
      </c>
      <c r="I140" s="8" t="s">
        <v>1084</v>
      </c>
      <c r="J140" s="67">
        <f>VLOOKUP(표4[[#This Row],[Team]],표1[[내역]:[코스트 센터]],2,0)</f>
        <v>101315</v>
      </c>
      <c r="K140" s="67" t="str">
        <f>VLOOKUP(표4[[#This Row],[Project]],표2[],2,0)</f>
        <v>I100090817</v>
      </c>
    </row>
    <row r="141" spans="1:11">
      <c r="A141" t="s">
        <v>158</v>
      </c>
      <c r="B141" s="8" t="s">
        <v>543</v>
      </c>
      <c r="C141" s="67" t="s">
        <v>560</v>
      </c>
      <c r="D141" s="67" t="s">
        <v>560</v>
      </c>
      <c r="E141" s="7" t="s">
        <v>1085</v>
      </c>
      <c r="G141" s="8" t="s">
        <v>1086</v>
      </c>
      <c r="H141" s="8" t="s">
        <v>1086</v>
      </c>
      <c r="I141" s="8" t="s">
        <v>1087</v>
      </c>
      <c r="J141" s="67">
        <f>VLOOKUP(표4[[#This Row],[Team]],표1[[내역]:[코스트 센터]],2,0)</f>
        <v>480004</v>
      </c>
      <c r="K141" s="67" t="e">
        <f>VLOOKUP(표4[[#This Row],[Project]],표2[],2,0)</f>
        <v>#N/A</v>
      </c>
    </row>
    <row r="142" spans="1:11">
      <c r="A142" t="s">
        <v>269</v>
      </c>
      <c r="B142" s="8" t="s">
        <v>543</v>
      </c>
      <c r="C142" s="67" t="s">
        <v>542</v>
      </c>
      <c r="D142" s="67" t="s">
        <v>542</v>
      </c>
      <c r="E142" s="8" t="s">
        <v>1088</v>
      </c>
      <c r="F142" t="s">
        <v>370</v>
      </c>
      <c r="G142" s="8" t="s">
        <v>1089</v>
      </c>
      <c r="H142" s="8" t="s">
        <v>1089</v>
      </c>
      <c r="J142" s="67">
        <f>VLOOKUP(표4[[#This Row],[Team]],표1[[내역]:[코스트 센터]],2,0)</f>
        <v>100036</v>
      </c>
      <c r="K142" s="67" t="str">
        <f>VLOOKUP(표4[[#This Row],[Project]],표2[],2,0)</f>
        <v>I100099999</v>
      </c>
    </row>
    <row r="143" spans="1:11">
      <c r="A143" t="s">
        <v>178</v>
      </c>
      <c r="B143" s="8" t="s">
        <v>543</v>
      </c>
      <c r="C143" s="67" t="s">
        <v>542</v>
      </c>
      <c r="D143" s="67" t="s">
        <v>542</v>
      </c>
      <c r="E143" s="7" t="s">
        <v>833</v>
      </c>
      <c r="F143" t="s">
        <v>370</v>
      </c>
      <c r="G143" s="8" t="s">
        <v>930</v>
      </c>
      <c r="H143" s="8" t="s">
        <v>930</v>
      </c>
      <c r="I143" s="8"/>
      <c r="J143" s="67">
        <f>VLOOKUP(표4[[#This Row],[Team]],표1[[내역]:[코스트 센터]],2,0)</f>
        <v>100025</v>
      </c>
      <c r="K143" s="67" t="str">
        <f>VLOOKUP(표4[[#This Row],[Project]],표2[],2,0)</f>
        <v>I100099999</v>
      </c>
    </row>
    <row r="144" spans="1:11">
      <c r="A144" s="8" t="s">
        <v>157</v>
      </c>
      <c r="B144" s="8" t="s">
        <v>543</v>
      </c>
      <c r="C144" s="67" t="s">
        <v>560</v>
      </c>
      <c r="D144" s="67" t="s">
        <v>560</v>
      </c>
      <c r="E144" s="121"/>
      <c r="F144" s="121"/>
      <c r="G144" s="121" t="s">
        <v>1090</v>
      </c>
      <c r="H144" s="121" t="s">
        <v>1090</v>
      </c>
      <c r="I144" s="121"/>
      <c r="J144" s="67" t="e">
        <f>VLOOKUP(표4[[#This Row],[Team]],표1[[내역]:[코스트 센터]],2,0)</f>
        <v>#N/A</v>
      </c>
      <c r="K144" s="67" t="e">
        <f>VLOOKUP(표4[[#This Row],[Project]],표2[],2,0)</f>
        <v>#N/A</v>
      </c>
    </row>
    <row r="145" spans="1:11">
      <c r="A145" t="s">
        <v>1091</v>
      </c>
      <c r="B145" s="8" t="s">
        <v>543</v>
      </c>
      <c r="C145" s="67" t="s">
        <v>542</v>
      </c>
      <c r="D145" s="67" t="s">
        <v>568</v>
      </c>
      <c r="E145" s="121" t="s">
        <v>1092</v>
      </c>
      <c r="F145" s="121" t="s">
        <v>370</v>
      </c>
      <c r="G145" s="121" t="s">
        <v>1093</v>
      </c>
      <c r="H145" s="121" t="s">
        <v>1093</v>
      </c>
      <c r="I145" s="121"/>
      <c r="J145" s="67">
        <f>VLOOKUP(표4[[#This Row],[Team]],표1[[내역]:[코스트 센터]],2,0)</f>
        <v>101465</v>
      </c>
      <c r="K145" s="67" t="str">
        <f>VLOOKUP(표4[[#This Row],[Project]],표2[],2,0)</f>
        <v>I100099999</v>
      </c>
    </row>
    <row r="146" spans="1:11">
      <c r="A146" s="8" t="s">
        <v>1094</v>
      </c>
      <c r="B146" s="8" t="s">
        <v>543</v>
      </c>
      <c r="C146" s="67" t="s">
        <v>542</v>
      </c>
      <c r="D146" s="67" t="s">
        <v>934</v>
      </c>
      <c r="E146" s="121" t="s">
        <v>1095</v>
      </c>
      <c r="F146" s="121" t="s">
        <v>370</v>
      </c>
      <c r="G146" s="121" t="s">
        <v>944</v>
      </c>
      <c r="H146" s="121" t="s">
        <v>1093</v>
      </c>
      <c r="I146" s="121"/>
      <c r="J146" s="67">
        <f>VLOOKUP(표4[[#This Row],[Team]],표1[[내역]:[코스트 센터]],2,0)</f>
        <v>101758</v>
      </c>
      <c r="K146" s="67" t="str">
        <f>VLOOKUP(표4[[#This Row],[Project]],표2[],2,0)</f>
        <v>I100099999</v>
      </c>
    </row>
    <row r="147" spans="1:11">
      <c r="A147" s="184" t="s">
        <v>213</v>
      </c>
      <c r="B147" s="8" t="s">
        <v>543</v>
      </c>
      <c r="C147" s="67" t="s">
        <v>542</v>
      </c>
      <c r="D147" s="67" t="s">
        <v>934</v>
      </c>
      <c r="E147" s="121" t="s">
        <v>628</v>
      </c>
      <c r="F147" s="121" t="s">
        <v>1096</v>
      </c>
      <c r="G147" s="249" t="s">
        <v>1097</v>
      </c>
      <c r="H147" s="249" t="s">
        <v>1097</v>
      </c>
      <c r="I147" s="121" t="s">
        <v>1098</v>
      </c>
      <c r="J147" s="67">
        <f>VLOOKUP(표4[[#This Row],[Team]],표1[[내역]:[코스트 센터]],2,0)</f>
        <v>100415</v>
      </c>
      <c r="K147" s="67" t="str">
        <f>VLOOKUP(표4[[#This Row],[Project]],표2[],2,0)</f>
        <v>P100010096</v>
      </c>
    </row>
    <row r="148" spans="1:11">
      <c r="A148" t="s">
        <v>150</v>
      </c>
      <c r="B148" s="8" t="s">
        <v>543</v>
      </c>
      <c r="C148" s="67" t="s">
        <v>542</v>
      </c>
      <c r="D148" s="67" t="s">
        <v>1099</v>
      </c>
      <c r="E148" s="121" t="s">
        <v>647</v>
      </c>
      <c r="F148" s="121" t="s">
        <v>370</v>
      </c>
      <c r="G148" s="249" t="s">
        <v>1100</v>
      </c>
      <c r="H148" s="249" t="s">
        <v>1100</v>
      </c>
      <c r="I148" s="121" t="s">
        <v>1101</v>
      </c>
      <c r="J148" s="67">
        <f>VLOOKUP(표4[[#This Row],[Team]],표1[[내역]:[코스트 센터]],2,0)</f>
        <v>101747</v>
      </c>
      <c r="K148" s="67" t="str">
        <f>VLOOKUP(표4[[#This Row],[Project]],표2[],2,0)</f>
        <v>I100099999</v>
      </c>
    </row>
    <row r="149" spans="1:11">
      <c r="A149" t="s">
        <v>1102</v>
      </c>
      <c r="B149" s="8" t="s">
        <v>543</v>
      </c>
      <c r="C149" s="67" t="s">
        <v>542</v>
      </c>
      <c r="D149" s="67" t="s">
        <v>1099</v>
      </c>
      <c r="E149" s="8" t="s">
        <v>816</v>
      </c>
      <c r="F149" s="121" t="s">
        <v>1103</v>
      </c>
      <c r="G149" s="121" t="s">
        <v>819</v>
      </c>
      <c r="H149" s="121" t="s">
        <v>819</v>
      </c>
      <c r="I149" t="s">
        <v>1104</v>
      </c>
      <c r="J149" s="67">
        <f>VLOOKUP(표4[[#This Row],[Team]],표1[[내역]:[코스트 센터]],2,0)</f>
        <v>101269</v>
      </c>
      <c r="K149" s="67" t="str">
        <f>VLOOKUP(표4[[#This Row],[Project]],표2[],2,0)</f>
        <v>P100030103</v>
      </c>
    </row>
    <row r="150" spans="1:11">
      <c r="A150" t="s">
        <v>1105</v>
      </c>
      <c r="B150" s="8" t="s">
        <v>543</v>
      </c>
      <c r="C150" s="67" t="s">
        <v>542</v>
      </c>
      <c r="D150" s="67" t="s">
        <v>1099</v>
      </c>
      <c r="E150" s="121" t="s">
        <v>628</v>
      </c>
      <c r="F150" s="121" t="s">
        <v>370</v>
      </c>
      <c r="G150" s="121" t="s">
        <v>1106</v>
      </c>
      <c r="H150" s="121" t="s">
        <v>1106</v>
      </c>
      <c r="I150" s="121"/>
      <c r="J150" s="67">
        <f>VLOOKUP(표4[[#This Row],[Team]],표1[[내역]:[코스트 센터]],2,0)</f>
        <v>100415</v>
      </c>
      <c r="K150" s="67" t="str">
        <f>VLOOKUP(표4[[#This Row],[Project]],표2[],2,0)</f>
        <v>I100099999</v>
      </c>
    </row>
    <row r="151" spans="1:11">
      <c r="A151" s="8" t="s">
        <v>1107</v>
      </c>
      <c r="B151" s="8" t="s">
        <v>543</v>
      </c>
      <c r="C151" s="67" t="s">
        <v>745</v>
      </c>
      <c r="D151" s="67" t="s">
        <v>1108</v>
      </c>
      <c r="E151" s="121" t="s">
        <v>1109</v>
      </c>
      <c r="F151" s="121" t="s">
        <v>747</v>
      </c>
      <c r="G151" s="121" t="s">
        <v>1110</v>
      </c>
      <c r="H151" s="121" t="s">
        <v>1110</v>
      </c>
      <c r="I151" s="121" t="s">
        <v>1111</v>
      </c>
      <c r="J151" s="67" t="e">
        <f>VLOOKUP(표4[[#This Row],[Team]],표1[[내역]:[코스트 센터]],2,0)</f>
        <v>#N/A</v>
      </c>
      <c r="K151" s="67" t="e">
        <f>VLOOKUP(표4[[#This Row],[Project]],표2[],2,0)</f>
        <v>#N/A</v>
      </c>
    </row>
    <row r="152" spans="1:11">
      <c r="A152" s="8" t="s">
        <v>1112</v>
      </c>
      <c r="B152" s="8" t="s">
        <v>543</v>
      </c>
      <c r="C152" s="67" t="s">
        <v>542</v>
      </c>
      <c r="D152" s="67" t="s">
        <v>934</v>
      </c>
      <c r="E152" s="121" t="s">
        <v>593</v>
      </c>
      <c r="F152" s="121" t="s">
        <v>594</v>
      </c>
      <c r="G152" s="121" t="s">
        <v>1113</v>
      </c>
      <c r="H152" s="121" t="s">
        <v>1114</v>
      </c>
      <c r="I152" s="121" t="s">
        <v>1115</v>
      </c>
      <c r="J152" s="67">
        <f>VLOOKUP(표4[[#This Row],[Team]],표1[[내역]:[코스트 센터]],2,0)</f>
        <v>100414</v>
      </c>
      <c r="K152" s="67" t="str">
        <f>VLOOKUP(표4[[#This Row],[Project]],표2[],2,0)</f>
        <v>P100010012</v>
      </c>
    </row>
    <row r="153" spans="1:11">
      <c r="A153" s="8" t="s">
        <v>1116</v>
      </c>
      <c r="B153" s="8" t="s">
        <v>543</v>
      </c>
      <c r="C153" s="67" t="s">
        <v>739</v>
      </c>
      <c r="D153" s="67" t="s">
        <v>1117</v>
      </c>
      <c r="E153" s="121" t="s">
        <v>1118</v>
      </c>
      <c r="F153" s="121" t="s">
        <v>743</v>
      </c>
      <c r="G153" s="121" t="s">
        <v>1119</v>
      </c>
      <c r="H153" s="121" t="s">
        <v>1119</v>
      </c>
      <c r="I153" s="121" t="s">
        <v>1120</v>
      </c>
      <c r="J153" s="67" t="e">
        <f>VLOOKUP(표4[[#This Row],[Team]],표1[[내역]:[코스트 센터]],2,0)</f>
        <v>#N/A</v>
      </c>
      <c r="K153" s="67" t="e">
        <f>VLOOKUP(표4[[#This Row],[Project]],표2[],2,0)</f>
        <v>#N/A</v>
      </c>
    </row>
    <row r="154" spans="1:11">
      <c r="A154" s="8" t="s">
        <v>1121</v>
      </c>
      <c r="B154" s="8" t="s">
        <v>543</v>
      </c>
      <c r="C154" s="67" t="s">
        <v>1122</v>
      </c>
      <c r="D154" s="67" t="s">
        <v>1123</v>
      </c>
      <c r="E154" s="121"/>
      <c r="F154" s="121"/>
      <c r="G154" s="121" t="s">
        <v>1124</v>
      </c>
      <c r="H154" s="121" t="s">
        <v>1124</v>
      </c>
      <c r="I154" s="121"/>
      <c r="J154" s="67" t="e">
        <f>VLOOKUP(표4[[#This Row],[Team]],표1[[내역]:[코스트 센터]],2,0)</f>
        <v>#N/A</v>
      </c>
      <c r="K154" s="67" t="e">
        <f>VLOOKUP(표4[[#This Row],[Project]],표2[],2,0)</f>
        <v>#N/A</v>
      </c>
    </row>
    <row r="155" spans="1:11">
      <c r="A155" s="8" t="s">
        <v>1125</v>
      </c>
      <c r="B155" s="8" t="s">
        <v>543</v>
      </c>
      <c r="C155" s="67" t="s">
        <v>745</v>
      </c>
      <c r="D155" s="67" t="s">
        <v>1108</v>
      </c>
      <c r="E155" s="121" t="s">
        <v>1126</v>
      </c>
      <c r="F155" s="121"/>
      <c r="G155" s="121" t="s">
        <v>1110</v>
      </c>
      <c r="H155" s="121" t="s">
        <v>1127</v>
      </c>
      <c r="I155" s="121" t="s">
        <v>1128</v>
      </c>
      <c r="J155" s="67" t="e">
        <f>VLOOKUP(표4[[#This Row],[Team]],표1[[내역]:[코스트 센터]],2,0)</f>
        <v>#N/A</v>
      </c>
      <c r="K155" s="67" t="e">
        <f>VLOOKUP(표4[[#This Row],[Project]],표2[],2,0)</f>
        <v>#N/A</v>
      </c>
    </row>
    <row r="156" spans="1:11">
      <c r="A156" s="8" t="s">
        <v>1129</v>
      </c>
      <c r="B156" s="8" t="s">
        <v>543</v>
      </c>
      <c r="C156" s="67" t="s">
        <v>1122</v>
      </c>
      <c r="D156" s="67" t="s">
        <v>1123</v>
      </c>
      <c r="E156" s="121"/>
      <c r="F156" s="121"/>
      <c r="G156" s="121" t="s">
        <v>1130</v>
      </c>
      <c r="H156" s="121" t="s">
        <v>1130</v>
      </c>
      <c r="I156" s="121"/>
      <c r="J156" s="67" t="e">
        <f>VLOOKUP(표4[[#This Row],[Team]],표1[[내역]:[코스트 센터]],2,0)</f>
        <v>#N/A</v>
      </c>
      <c r="K156" s="67" t="e">
        <f>VLOOKUP(표4[[#This Row],[Project]],표2[],2,0)</f>
        <v>#N/A</v>
      </c>
    </row>
    <row r="157" spans="1:11">
      <c r="A157" t="s">
        <v>1131</v>
      </c>
      <c r="B157" s="8" t="s">
        <v>543</v>
      </c>
      <c r="C157" s="67" t="s">
        <v>745</v>
      </c>
      <c r="D157" s="67" t="s">
        <v>1108</v>
      </c>
      <c r="E157" s="121" t="s">
        <v>1109</v>
      </c>
      <c r="F157" s="121"/>
      <c r="G157" s="121" t="s">
        <v>1127</v>
      </c>
      <c r="H157" s="121" t="s">
        <v>1127</v>
      </c>
      <c r="I157" s="121" t="s">
        <v>1132</v>
      </c>
      <c r="J157" s="67" t="e">
        <f>VLOOKUP(표4[[#This Row],[Team]],표1[[내역]:[코스트 센터]],2,0)</f>
        <v>#N/A</v>
      </c>
      <c r="K157" s="67" t="e">
        <f>VLOOKUP(표4[[#This Row],[Project]],표2[],2,0)</f>
        <v>#N/A</v>
      </c>
    </row>
    <row r="158" spans="1:11">
      <c r="A158" s="8" t="s">
        <v>1133</v>
      </c>
      <c r="B158" s="8" t="s">
        <v>543</v>
      </c>
      <c r="C158" s="67" t="s">
        <v>739</v>
      </c>
      <c r="D158" s="67" t="s">
        <v>1117</v>
      </c>
      <c r="E158" s="121" t="s">
        <v>1118</v>
      </c>
      <c r="F158" s="121" t="s">
        <v>740</v>
      </c>
      <c r="G158" s="121" t="s">
        <v>1134</v>
      </c>
      <c r="H158" s="121" t="s">
        <v>1134</v>
      </c>
      <c r="I158" s="121" t="s">
        <v>1135</v>
      </c>
      <c r="J158" s="67" t="e">
        <f>VLOOKUP(표4[[#This Row],[Team]],표1[[내역]:[코스트 센터]],2,0)</f>
        <v>#N/A</v>
      </c>
      <c r="K158" s="67" t="e">
        <f>VLOOKUP(표4[[#This Row],[Project]],표2[],2,0)</f>
        <v>#N/A</v>
      </c>
    </row>
    <row r="159" spans="1:11">
      <c r="A159" t="s">
        <v>1136</v>
      </c>
      <c r="B159" s="8" t="s">
        <v>543</v>
      </c>
      <c r="C159" s="67" t="s">
        <v>542</v>
      </c>
      <c r="D159" s="67" t="s">
        <v>542</v>
      </c>
      <c r="E159" s="121" t="s">
        <v>631</v>
      </c>
      <c r="F159" s="121" t="s">
        <v>370</v>
      </c>
      <c r="G159" s="121" t="s">
        <v>1137</v>
      </c>
      <c r="H159" s="121" t="s">
        <v>1137</v>
      </c>
      <c r="I159" s="121"/>
      <c r="J159" s="67">
        <f>VLOOKUP(표4[[#This Row],[Team]],표1[[내역]:[코스트 센터]],2,0)</f>
        <v>101712</v>
      </c>
      <c r="K159" s="67" t="str">
        <f>VLOOKUP(표4[[#This Row],[Project]],표2[],2,0)</f>
        <v>I100099999</v>
      </c>
    </row>
    <row r="160" spans="1:11">
      <c r="A160" s="8" t="s">
        <v>1138</v>
      </c>
      <c r="B160" s="8" t="s">
        <v>543</v>
      </c>
      <c r="C160" s="67" t="s">
        <v>745</v>
      </c>
      <c r="D160" s="67" t="s">
        <v>1108</v>
      </c>
      <c r="E160" s="121" t="s">
        <v>1126</v>
      </c>
      <c r="F160" s="121"/>
      <c r="G160" s="121" t="s">
        <v>1127</v>
      </c>
      <c r="H160" s="121" t="s">
        <v>1127</v>
      </c>
      <c r="I160" s="121" t="s">
        <v>1139</v>
      </c>
      <c r="J160" s="67" t="e">
        <f>VLOOKUP(표4[[#This Row],[Team]],표1[[내역]:[코스트 센터]],2,0)</f>
        <v>#N/A</v>
      </c>
      <c r="K160" s="67" t="e">
        <f>VLOOKUP(표4[[#This Row],[Project]],표2[],2,0)</f>
        <v>#N/A</v>
      </c>
    </row>
    <row r="161" spans="1:11">
      <c r="A161" t="s">
        <v>141</v>
      </c>
      <c r="B161" s="8" t="s">
        <v>543</v>
      </c>
      <c r="C161" s="67" t="s">
        <v>542</v>
      </c>
      <c r="D161" s="67" t="s">
        <v>1099</v>
      </c>
      <c r="E161" s="121" t="s">
        <v>590</v>
      </c>
      <c r="F161" s="66" t="s">
        <v>831</v>
      </c>
      <c r="G161" s="121" t="s">
        <v>1140</v>
      </c>
      <c r="H161" s="121" t="s">
        <v>1141</v>
      </c>
      <c r="I161" s="121" t="s">
        <v>1142</v>
      </c>
      <c r="J161" s="67">
        <f>VLOOKUP(표4[[#This Row],[Team]],표1[[내역]:[코스트 센터]],2,0)</f>
        <v>100553</v>
      </c>
      <c r="K161" s="67" t="str">
        <f>VLOOKUP(표4[[#This Row],[Project]],표2[],2,0)</f>
        <v>P100130012</v>
      </c>
    </row>
    <row r="162" spans="1:11">
      <c r="A162" s="8" t="s">
        <v>1143</v>
      </c>
      <c r="B162" s="8" t="s">
        <v>543</v>
      </c>
      <c r="C162" s="67" t="s">
        <v>1122</v>
      </c>
      <c r="D162" s="67" t="s">
        <v>1123</v>
      </c>
      <c r="E162" s="121"/>
      <c r="F162" s="121"/>
      <c r="G162" s="121" t="s">
        <v>1130</v>
      </c>
      <c r="H162" s="121" t="s">
        <v>1130</v>
      </c>
      <c r="I162" s="121"/>
      <c r="J162" s="67" t="e">
        <f>VLOOKUP(표4[[#This Row],[Team]],표1[[내역]:[코스트 센터]],2,0)</f>
        <v>#N/A</v>
      </c>
      <c r="K162" s="67" t="e">
        <f>VLOOKUP(표4[[#This Row],[Project]],표2[],2,0)</f>
        <v>#N/A</v>
      </c>
    </row>
    <row r="163" spans="1:11">
      <c r="A163" s="8" t="s">
        <v>1144</v>
      </c>
      <c r="B163" s="8" t="s">
        <v>543</v>
      </c>
      <c r="C163" s="67" t="s">
        <v>1122</v>
      </c>
      <c r="D163" s="67" t="s">
        <v>1123</v>
      </c>
      <c r="E163" s="121"/>
      <c r="F163" s="121"/>
      <c r="G163" s="121" t="s">
        <v>1130</v>
      </c>
      <c r="H163" s="121" t="s">
        <v>1130</v>
      </c>
      <c r="I163" s="121"/>
      <c r="J163" s="67" t="e">
        <f>VLOOKUP(표4[[#This Row],[Team]],표1[[내역]:[코스트 센터]],2,0)</f>
        <v>#N/A</v>
      </c>
      <c r="K163" s="67" t="e">
        <f>VLOOKUP(표4[[#This Row],[Project]],표2[],2,0)</f>
        <v>#N/A</v>
      </c>
    </row>
    <row r="164" spans="1:11">
      <c r="A164" s="8" t="s">
        <v>1145</v>
      </c>
      <c r="B164" s="8" t="s">
        <v>543</v>
      </c>
      <c r="C164" s="67" t="s">
        <v>739</v>
      </c>
      <c r="D164" s="67" t="s">
        <v>1117</v>
      </c>
      <c r="E164" s="121" t="s">
        <v>1118</v>
      </c>
      <c r="F164" s="121" t="s">
        <v>1146</v>
      </c>
      <c r="G164" s="121" t="s">
        <v>1134</v>
      </c>
      <c r="H164" s="121" t="s">
        <v>1134</v>
      </c>
      <c r="I164" s="121" t="s">
        <v>1147</v>
      </c>
      <c r="J164" s="67" t="e">
        <f>VLOOKUP(표4[[#This Row],[Team]],표1[[내역]:[코스트 센터]],2,0)</f>
        <v>#N/A</v>
      </c>
      <c r="K164" s="67" t="e">
        <f>VLOOKUP(표4[[#This Row],[Project]],표2[],2,0)</f>
        <v>#N/A</v>
      </c>
    </row>
    <row r="165" spans="1:11">
      <c r="A165" s="8" t="s">
        <v>1148</v>
      </c>
      <c r="B165" s="8" t="s">
        <v>543</v>
      </c>
      <c r="C165" s="67" t="s">
        <v>1122</v>
      </c>
      <c r="D165" s="67" t="s">
        <v>1123</v>
      </c>
      <c r="E165" s="121"/>
      <c r="F165" s="121"/>
      <c r="G165" s="121" t="s">
        <v>1130</v>
      </c>
      <c r="H165" s="121" t="s">
        <v>1130</v>
      </c>
      <c r="I165" s="121"/>
      <c r="J165" s="67" t="e">
        <f>VLOOKUP(표4[[#This Row],[Team]],표1[[내역]:[코스트 센터]],2,0)</f>
        <v>#N/A</v>
      </c>
      <c r="K165" s="67" t="e">
        <f>VLOOKUP(표4[[#This Row],[Project]],표2[],2,0)</f>
        <v>#N/A</v>
      </c>
    </row>
    <row r="166" spans="1:11">
      <c r="A166" s="8" t="s">
        <v>49</v>
      </c>
      <c r="B166" s="8" t="s">
        <v>543</v>
      </c>
      <c r="C166" s="67" t="s">
        <v>542</v>
      </c>
      <c r="D166" s="67" t="s">
        <v>542</v>
      </c>
      <c r="E166" s="121" t="s">
        <v>631</v>
      </c>
      <c r="F166" s="121" t="s">
        <v>370</v>
      </c>
      <c r="G166" s="121" t="s">
        <v>1137</v>
      </c>
      <c r="H166" s="121" t="s">
        <v>1137</v>
      </c>
      <c r="I166" s="121"/>
      <c r="J166" s="67">
        <f>VLOOKUP(표4[[#This Row],[Team]],표1[[내역]:[코스트 센터]],2,0)</f>
        <v>101712</v>
      </c>
      <c r="K166" s="67" t="str">
        <f>VLOOKUP(표4[[#This Row],[Project]],표2[],2,0)</f>
        <v>I100099999</v>
      </c>
    </row>
    <row r="167" spans="1:11">
      <c r="A167" s="8" t="s">
        <v>1149</v>
      </c>
      <c r="B167" s="8" t="s">
        <v>543</v>
      </c>
      <c r="C167" s="67" t="s">
        <v>1108</v>
      </c>
      <c r="D167" s="67" t="s">
        <v>1108</v>
      </c>
      <c r="E167" s="121" t="s">
        <v>1109</v>
      </c>
      <c r="F167" s="8" t="s">
        <v>1150</v>
      </c>
      <c r="G167" s="121" t="s">
        <v>1127</v>
      </c>
      <c r="H167" s="121" t="s">
        <v>1127</v>
      </c>
      <c r="I167" s="8"/>
      <c r="J167" s="67" t="e">
        <f>VLOOKUP(표4[[#This Row],[Team]],표1[[내역]:[코스트 센터]],2,0)</f>
        <v>#N/A</v>
      </c>
      <c r="K167" s="67" t="e">
        <f>VLOOKUP(표4[[#This Row],[Project]],표2[],2,0)</f>
        <v>#N/A</v>
      </c>
    </row>
    <row r="168" spans="1:11">
      <c r="A168" s="8" t="s">
        <v>1151</v>
      </c>
      <c r="B168" s="8" t="s">
        <v>543</v>
      </c>
      <c r="C168" s="67" t="s">
        <v>1152</v>
      </c>
      <c r="D168" s="67" t="s">
        <v>1152</v>
      </c>
      <c r="E168" s="121" t="s">
        <v>1153</v>
      </c>
      <c r="F168" s="8"/>
      <c r="G168" s="121" t="s">
        <v>1154</v>
      </c>
      <c r="H168" s="121" t="s">
        <v>1154</v>
      </c>
      <c r="I168" s="8" t="s">
        <v>1155</v>
      </c>
      <c r="J168" s="67" t="e">
        <f>VLOOKUP(표4[[#This Row],[Team]],표1[[내역]:[코스트 센터]],2,0)</f>
        <v>#N/A</v>
      </c>
      <c r="K168" s="67" t="e">
        <f>VLOOKUP(표4[[#This Row],[Project]],표2[],2,0)</f>
        <v>#N/A</v>
      </c>
    </row>
    <row r="169" spans="1:11">
      <c r="A169" s="8" t="s">
        <v>1156</v>
      </c>
      <c r="B169" s="8" t="s">
        <v>543</v>
      </c>
      <c r="C169" s="67" t="s">
        <v>1157</v>
      </c>
      <c r="D169" s="67" t="s">
        <v>1157</v>
      </c>
      <c r="E169" s="121" t="s">
        <v>1158</v>
      </c>
      <c r="F169" s="8"/>
      <c r="G169" s="121" t="s">
        <v>1159</v>
      </c>
      <c r="H169" s="121" t="s">
        <v>1159</v>
      </c>
      <c r="I169" s="8"/>
      <c r="J169" s="67">
        <f>VLOOKUP(표4[[#This Row],[Team]],표1[[내역]:[코스트 센터]],2,0)</f>
        <v>400030</v>
      </c>
      <c r="K169" s="67" t="e">
        <f>VLOOKUP(표4[[#This Row],[Project]],표2[],2,0)</f>
        <v>#N/A</v>
      </c>
    </row>
    <row r="170" spans="1:11">
      <c r="A170" s="8" t="s">
        <v>1160</v>
      </c>
      <c r="B170" s="8" t="s">
        <v>543</v>
      </c>
      <c r="C170" s="67" t="s">
        <v>1157</v>
      </c>
      <c r="D170" s="67" t="s">
        <v>1157</v>
      </c>
      <c r="E170" s="121" t="s">
        <v>1158</v>
      </c>
      <c r="F170" s="8"/>
      <c r="G170" s="121" t="s">
        <v>1161</v>
      </c>
      <c r="H170" s="121" t="s">
        <v>1161</v>
      </c>
      <c r="I170" s="8"/>
      <c r="J170" s="67">
        <f>VLOOKUP(표4[[#This Row],[Team]],표1[[내역]:[코스트 센터]],2,0)</f>
        <v>400030</v>
      </c>
      <c r="K170" s="67" t="e">
        <f>VLOOKUP(표4[[#This Row],[Project]],표2[],2,0)</f>
        <v>#N/A</v>
      </c>
    </row>
    <row r="171" spans="1:11">
      <c r="A171" s="8" t="s">
        <v>1162</v>
      </c>
      <c r="B171" s="8" t="s">
        <v>543</v>
      </c>
      <c r="C171" s="67" t="s">
        <v>1117</v>
      </c>
      <c r="D171" s="67" t="s">
        <v>1117</v>
      </c>
      <c r="E171" s="121" t="s">
        <v>1118</v>
      </c>
      <c r="F171" s="8" t="s">
        <v>1163</v>
      </c>
      <c r="G171" s="121" t="s">
        <v>1134</v>
      </c>
      <c r="H171" s="121" t="s">
        <v>1134</v>
      </c>
      <c r="I171" s="8" t="s">
        <v>1163</v>
      </c>
      <c r="J171" s="67" t="e">
        <f>VLOOKUP(표4[[#This Row],[Team]],표1[[내역]:[코스트 센터]],2,0)</f>
        <v>#N/A</v>
      </c>
      <c r="K171" s="67" t="e">
        <f>VLOOKUP(표4[[#This Row],[Project]],표2[],2,0)</f>
        <v>#N/A</v>
      </c>
    </row>
    <row r="172" spans="1:11">
      <c r="A172" s="8" t="s">
        <v>1164</v>
      </c>
      <c r="B172" s="8" t="s">
        <v>543</v>
      </c>
      <c r="C172" s="67" t="s">
        <v>1108</v>
      </c>
      <c r="D172" s="67" t="s">
        <v>1108</v>
      </c>
      <c r="E172" s="121" t="s">
        <v>1109</v>
      </c>
      <c r="F172" s="8"/>
      <c r="G172" s="121" t="s">
        <v>1110</v>
      </c>
      <c r="H172" s="121" t="s">
        <v>1110</v>
      </c>
      <c r="I172" s="8"/>
      <c r="J172" s="67" t="e">
        <f>VLOOKUP(표4[[#This Row],[Team]],표1[[내역]:[코스트 센터]],2,0)</f>
        <v>#N/A</v>
      </c>
      <c r="K172" s="67" t="e">
        <f>VLOOKUP(표4[[#This Row],[Project]],표2[],2,0)</f>
        <v>#N/A</v>
      </c>
    </row>
    <row r="173" spans="1:11">
      <c r="A173" s="8" t="s">
        <v>1165</v>
      </c>
      <c r="B173" s="8" t="s">
        <v>543</v>
      </c>
      <c r="C173" s="67" t="s">
        <v>1157</v>
      </c>
      <c r="D173" s="67" t="s">
        <v>1157</v>
      </c>
      <c r="E173" s="8" t="s">
        <v>1158</v>
      </c>
      <c r="F173" s="8"/>
      <c r="G173" s="121" t="s">
        <v>1159</v>
      </c>
      <c r="H173" s="121" t="s">
        <v>1159</v>
      </c>
      <c r="I173" s="8" t="s">
        <v>1166</v>
      </c>
      <c r="J173" s="67">
        <f>VLOOKUP(표4[[#This Row],[Team]],표1[[내역]:[코스트 센터]],2,0)</f>
        <v>400030</v>
      </c>
      <c r="K173" s="67" t="e">
        <f>VLOOKUP(표4[[#This Row],[Project]],표2[],2,0)</f>
        <v>#N/A</v>
      </c>
    </row>
    <row r="174" spans="1:11">
      <c r="A174" s="8" t="s">
        <v>1167</v>
      </c>
      <c r="B174" s="8" t="s">
        <v>543</v>
      </c>
      <c r="C174" s="67" t="s">
        <v>1099</v>
      </c>
      <c r="D174" s="67" t="s">
        <v>934</v>
      </c>
      <c r="E174" s="8" t="s">
        <v>628</v>
      </c>
      <c r="F174" s="8" t="s">
        <v>1168</v>
      </c>
      <c r="G174" s="121" t="s">
        <v>1106</v>
      </c>
      <c r="H174" s="121" t="s">
        <v>1106</v>
      </c>
      <c r="I174" s="8" t="s">
        <v>1169</v>
      </c>
      <c r="J174" s="67">
        <f>VLOOKUP(표4[[#This Row],[Team]],표1[[내역]:[코스트 센터]],2,0)</f>
        <v>100415</v>
      </c>
      <c r="K174" s="67" t="str">
        <f>VLOOKUP(표4[[#This Row],[Project]],표2[],2,0)</f>
        <v>P100030092</v>
      </c>
    </row>
    <row r="175" spans="1:11">
      <c r="A175" t="s">
        <v>1170</v>
      </c>
      <c r="B175" s="8" t="s">
        <v>543</v>
      </c>
      <c r="C175" s="67" t="s">
        <v>1123</v>
      </c>
      <c r="D175" s="67" t="s">
        <v>1123</v>
      </c>
      <c r="E175" s="8"/>
      <c r="F175" s="8"/>
      <c r="G175" s="121" t="s">
        <v>1130</v>
      </c>
      <c r="H175" s="121" t="s">
        <v>1130</v>
      </c>
      <c r="I175" s="8"/>
      <c r="J175" s="67" t="e">
        <f>VLOOKUP(표4[[#This Row],[Team]],표1[[내역]:[코스트 센터]],2,0)</f>
        <v>#N/A</v>
      </c>
      <c r="K175" s="67" t="e">
        <f>VLOOKUP(표4[[#This Row],[Project]],표2[],2,0)</f>
        <v>#N/A</v>
      </c>
    </row>
    <row r="176" spans="1:11">
      <c r="A176" s="8" t="s">
        <v>1171</v>
      </c>
      <c r="B176" s="8" t="s">
        <v>543</v>
      </c>
      <c r="C176" s="67" t="s">
        <v>1099</v>
      </c>
      <c r="D176" s="67" t="s">
        <v>1099</v>
      </c>
      <c r="E176" s="8" t="s">
        <v>1172</v>
      </c>
      <c r="F176" s="8" t="s">
        <v>1173</v>
      </c>
      <c r="G176" s="121" t="s">
        <v>890</v>
      </c>
      <c r="H176" s="121" t="s">
        <v>1174</v>
      </c>
      <c r="I176" t="s">
        <v>1175</v>
      </c>
      <c r="J176" s="67">
        <f>VLOOKUP(표4[[#This Row],[Team]],표1[[내역]:[코스트 센터]],2,0)</f>
        <v>101451</v>
      </c>
      <c r="K176" s="67" t="str">
        <f>VLOOKUP(표4[[#This Row],[Project]],표2[],2,0)</f>
        <v>I100099999</v>
      </c>
    </row>
    <row r="177" spans="1:11">
      <c r="A177" s="8" t="s">
        <v>251</v>
      </c>
      <c r="B177" s="8" t="s">
        <v>543</v>
      </c>
      <c r="C177" s="67" t="s">
        <v>1099</v>
      </c>
      <c r="D177" s="67" t="s">
        <v>1099</v>
      </c>
      <c r="E177" s="8" t="s">
        <v>627</v>
      </c>
      <c r="F177" s="8" t="s">
        <v>1173</v>
      </c>
      <c r="G177" s="121" t="s">
        <v>1176</v>
      </c>
      <c r="H177" s="121" t="s">
        <v>1176</v>
      </c>
      <c r="I177" s="8"/>
      <c r="J177" s="67">
        <f>VLOOKUP(표4[[#This Row],[Team]],표1[[내역]:[코스트 센터]],2,0)</f>
        <v>100552</v>
      </c>
      <c r="K177" s="67" t="str">
        <f>VLOOKUP(표4[[#This Row],[Project]],표2[],2,0)</f>
        <v>I100099999</v>
      </c>
    </row>
    <row r="178" spans="1:11">
      <c r="A178" s="8" t="s">
        <v>1177</v>
      </c>
      <c r="B178" s="8" t="s">
        <v>543</v>
      </c>
      <c r="C178" s="67" t="s">
        <v>1099</v>
      </c>
      <c r="D178" s="67" t="s">
        <v>542</v>
      </c>
      <c r="E178" s="8" t="s">
        <v>609</v>
      </c>
      <c r="F178" s="8" t="s">
        <v>370</v>
      </c>
      <c r="G178" s="125" t="s">
        <v>874</v>
      </c>
      <c r="H178" s="121" t="s">
        <v>899</v>
      </c>
      <c r="I178" t="s">
        <v>1178</v>
      </c>
      <c r="J178" s="67">
        <f>VLOOKUP(표4[[#This Row],[Team]],표1[[내역]:[코스트 센터]],2,0)</f>
        <v>100212</v>
      </c>
      <c r="K178" s="67" t="str">
        <f>VLOOKUP(표4[[#This Row],[Project]],표2[],2,0)</f>
        <v>I100099999</v>
      </c>
    </row>
    <row r="179" spans="1:11">
      <c r="A179" t="s">
        <v>1179</v>
      </c>
      <c r="B179" s="8" t="s">
        <v>543</v>
      </c>
      <c r="C179" s="67" t="s">
        <v>1099</v>
      </c>
      <c r="D179" s="67" t="s">
        <v>575</v>
      </c>
      <c r="E179" s="8" t="s">
        <v>682</v>
      </c>
      <c r="F179" s="8" t="s">
        <v>1173</v>
      </c>
      <c r="G179" s="121" t="s">
        <v>892</v>
      </c>
      <c r="H179" s="121" t="s">
        <v>892</v>
      </c>
      <c r="I179" t="s">
        <v>1180</v>
      </c>
      <c r="J179" s="67">
        <f>VLOOKUP(표4[[#This Row],[Team]],표1[[내역]:[코스트 센터]],2,0)</f>
        <v>490003</v>
      </c>
      <c r="K179" s="67" t="str">
        <f>VLOOKUP(표4[[#This Row],[Project]],표2[],2,0)</f>
        <v>I100099999</v>
      </c>
    </row>
    <row r="180" spans="1:11" ht="36">
      <c r="A180" t="s">
        <v>1181</v>
      </c>
      <c r="B180" s="8" t="s">
        <v>543</v>
      </c>
      <c r="C180" s="67" t="s">
        <v>542</v>
      </c>
      <c r="D180" s="67" t="s">
        <v>542</v>
      </c>
      <c r="E180" s="67" t="s">
        <v>891</v>
      </c>
      <c r="F180" t="s">
        <v>620</v>
      </c>
      <c r="G180" s="121" t="s">
        <v>892</v>
      </c>
      <c r="H180" s="121" t="s">
        <v>892</v>
      </c>
      <c r="I180" s="148" t="s">
        <v>1182</v>
      </c>
      <c r="J180" s="67">
        <f>VLOOKUP(표4[[#This Row],[Team]],표1[[내역]:[코스트 센터]],2,0)</f>
        <v>101721</v>
      </c>
      <c r="K180" s="67" t="str">
        <f>VLOOKUP(표4[[#This Row],[Project]],표2[],2,0)</f>
        <v>P100010066</v>
      </c>
    </row>
    <row r="181" spans="1:11">
      <c r="A181" s="8" t="s">
        <v>228</v>
      </c>
      <c r="B181" s="8" t="s">
        <v>543</v>
      </c>
      <c r="C181" s="67" t="s">
        <v>542</v>
      </c>
      <c r="D181" s="67" t="s">
        <v>568</v>
      </c>
      <c r="E181" s="8" t="s">
        <v>671</v>
      </c>
      <c r="F181" s="8" t="s">
        <v>370</v>
      </c>
      <c r="G181" s="121" t="s">
        <v>944</v>
      </c>
      <c r="H181" s="121" t="s">
        <v>1183</v>
      </c>
      <c r="I181" t="s">
        <v>1184</v>
      </c>
      <c r="J181" s="67">
        <f>VLOOKUP(표4[[#This Row],[Team]],표1[[내역]:[코스트 센터]],2,0)</f>
        <v>101758</v>
      </c>
      <c r="K181" s="67" t="str">
        <f>VLOOKUP(표4[[#This Row],[Project]],표2[],2,0)</f>
        <v>I100099999</v>
      </c>
    </row>
    <row r="182" spans="1:11">
      <c r="A182" t="s">
        <v>1185</v>
      </c>
      <c r="B182" s="8" t="s">
        <v>543</v>
      </c>
      <c r="C182" s="67" t="s">
        <v>542</v>
      </c>
      <c r="D182" s="67" t="s">
        <v>542</v>
      </c>
      <c r="E182" s="8" t="s">
        <v>595</v>
      </c>
      <c r="F182" s="8" t="s">
        <v>370</v>
      </c>
      <c r="G182" s="121" t="s">
        <v>930</v>
      </c>
      <c r="H182" s="121" t="s">
        <v>930</v>
      </c>
      <c r="I182" t="s">
        <v>1186</v>
      </c>
      <c r="J182" s="67">
        <f>VLOOKUP(표4[[#This Row],[Team]],표1[[내역]:[코스트 센터]],2,0)</f>
        <v>100025</v>
      </c>
      <c r="K182" s="67" t="str">
        <f>VLOOKUP(표4[[#This Row],[Project]],표2[],2,0)</f>
        <v>I100099999</v>
      </c>
    </row>
    <row r="183" spans="1:11">
      <c r="A183" t="s">
        <v>1187</v>
      </c>
      <c r="B183" s="8" t="s">
        <v>543</v>
      </c>
      <c r="C183" s="67" t="s">
        <v>542</v>
      </c>
      <c r="D183" s="67" t="s">
        <v>568</v>
      </c>
      <c r="E183" s="7" t="s">
        <v>943</v>
      </c>
      <c r="F183" s="8" t="s">
        <v>370</v>
      </c>
      <c r="G183" s="121" t="s">
        <v>944</v>
      </c>
      <c r="H183" s="121" t="s">
        <v>945</v>
      </c>
      <c r="I183" t="s">
        <v>1188</v>
      </c>
      <c r="J183" s="67">
        <f>VLOOKUP(표4[[#This Row],[Team]],표1[[내역]:[코스트 센터]],2,0)</f>
        <v>100774</v>
      </c>
      <c r="K183" s="67" t="str">
        <f>VLOOKUP(표4[[#This Row],[Project]],표2[],2,0)</f>
        <v>I100099999</v>
      </c>
    </row>
    <row r="184" spans="1:11">
      <c r="A184" t="s">
        <v>1189</v>
      </c>
      <c r="B184" s="8" t="s">
        <v>543</v>
      </c>
      <c r="C184" s="121" t="s">
        <v>542</v>
      </c>
      <c r="D184" s="121" t="s">
        <v>542</v>
      </c>
      <c r="E184" s="8" t="s">
        <v>1190</v>
      </c>
      <c r="F184" s="8" t="s">
        <v>1191</v>
      </c>
      <c r="G184" s="121" t="s">
        <v>904</v>
      </c>
      <c r="H184" s="121" t="s">
        <v>904</v>
      </c>
      <c r="I184" t="s">
        <v>1192</v>
      </c>
      <c r="J184" s="67">
        <f>VLOOKUP(표4[[#This Row],[Team]],표1[[내역]:[코스트 센터]],2,0)</f>
        <v>100033</v>
      </c>
      <c r="K184" s="67" t="str">
        <f>VLOOKUP(표4[[#This Row],[Project]],표2[],2,0)</f>
        <v>P100010055</v>
      </c>
    </row>
    <row r="185" spans="1:11">
      <c r="A185" t="s">
        <v>1193</v>
      </c>
      <c r="B185" s="8" t="s">
        <v>543</v>
      </c>
      <c r="C185" s="121" t="s">
        <v>542</v>
      </c>
      <c r="D185" s="121" t="s">
        <v>542</v>
      </c>
      <c r="E185" s="8" t="s">
        <v>1190</v>
      </c>
      <c r="F185" s="8" t="s">
        <v>1191</v>
      </c>
      <c r="G185" s="121" t="s">
        <v>1194</v>
      </c>
      <c r="H185" s="121" t="s">
        <v>1194</v>
      </c>
      <c r="I185" t="s">
        <v>1192</v>
      </c>
      <c r="J185" s="67">
        <f>VLOOKUP(표4[[#This Row],[Team]],표1[[내역]:[코스트 센터]],2,0)</f>
        <v>100033</v>
      </c>
      <c r="K185" s="67" t="str">
        <f>VLOOKUP(표4[[#This Row],[Project]],표2[],2,0)</f>
        <v>P100010055</v>
      </c>
    </row>
    <row r="186" spans="1:11">
      <c r="A186" t="s">
        <v>1195</v>
      </c>
      <c r="B186" s="8" t="s">
        <v>543</v>
      </c>
      <c r="C186" s="67" t="s">
        <v>542</v>
      </c>
      <c r="D186" s="67" t="s">
        <v>568</v>
      </c>
      <c r="E186" s="7" t="s">
        <v>943</v>
      </c>
      <c r="F186" s="8" t="s">
        <v>370</v>
      </c>
      <c r="G186" s="121" t="s">
        <v>944</v>
      </c>
      <c r="H186" s="121" t="s">
        <v>945</v>
      </c>
      <c r="I186" t="s">
        <v>1196</v>
      </c>
      <c r="J186" s="67">
        <f>VLOOKUP(표4[[#This Row],[Team]],표1[[내역]:[코스트 센터]],2,0)</f>
        <v>100774</v>
      </c>
      <c r="K186" s="67" t="str">
        <f>VLOOKUP(표4[[#This Row],[Project]],표2[],2,0)</f>
        <v>I100099999</v>
      </c>
    </row>
    <row r="187" spans="1:11">
      <c r="A187" t="s">
        <v>1197</v>
      </c>
      <c r="B187" s="8" t="s">
        <v>543</v>
      </c>
      <c r="C187" s="67" t="s">
        <v>542</v>
      </c>
      <c r="D187" s="67" t="s">
        <v>568</v>
      </c>
      <c r="E187" s="8" t="s">
        <v>664</v>
      </c>
      <c r="F187" s="8" t="s">
        <v>370</v>
      </c>
      <c r="G187" s="121" t="s">
        <v>944</v>
      </c>
      <c r="H187" s="121" t="s">
        <v>1093</v>
      </c>
      <c r="I187" t="s">
        <v>1198</v>
      </c>
      <c r="J187" s="67">
        <f>VLOOKUP(표4[[#This Row],[Team]],표1[[내역]:[코스트 센터]],2,0)</f>
        <v>101465</v>
      </c>
      <c r="K187" s="67" t="str">
        <f>VLOOKUP(표4[[#This Row],[Project]],표2[],2,0)</f>
        <v>I100099999</v>
      </c>
    </row>
    <row r="188" spans="1:11">
      <c r="A188" t="s">
        <v>1199</v>
      </c>
      <c r="B188" s="8" t="s">
        <v>543</v>
      </c>
      <c r="C188" s="67" t="s">
        <v>542</v>
      </c>
      <c r="D188" s="67" t="s">
        <v>542</v>
      </c>
      <c r="E188" s="67" t="s">
        <v>891</v>
      </c>
      <c r="F188" t="s">
        <v>1200</v>
      </c>
      <c r="G188" s="121" t="s">
        <v>1201</v>
      </c>
      <c r="H188" s="121" t="s">
        <v>1201</v>
      </c>
      <c r="I188" t="s">
        <v>1202</v>
      </c>
      <c r="J188" s="67">
        <f>VLOOKUP(표4[[#This Row],[Team]],표1[[내역]:[코스트 센터]],2,0)</f>
        <v>101721</v>
      </c>
      <c r="K188" s="67" t="str">
        <f>VLOOKUP(표4[[#This Row],[Project]],표2[],2,0)</f>
        <v>P100010842</v>
      </c>
    </row>
    <row r="189" spans="1:11">
      <c r="A189" t="s">
        <v>1203</v>
      </c>
      <c r="B189" s="8" t="s">
        <v>543</v>
      </c>
      <c r="C189" s="67" t="s">
        <v>542</v>
      </c>
      <c r="D189" s="67" t="s">
        <v>542</v>
      </c>
      <c r="E189" s="8" t="s">
        <v>609</v>
      </c>
      <c r="F189" s="8" t="s">
        <v>1173</v>
      </c>
      <c r="G189" s="125" t="s">
        <v>874</v>
      </c>
      <c r="H189" s="121" t="s">
        <v>878</v>
      </c>
      <c r="I189" t="s">
        <v>1204</v>
      </c>
      <c r="J189" s="67">
        <f>VLOOKUP(표4[[#This Row],[Team]],표1[[내역]:[코스트 센터]],2,0)</f>
        <v>100212</v>
      </c>
      <c r="K189" s="67" t="str">
        <f>VLOOKUP(표4[[#This Row],[Project]],표2[],2,0)</f>
        <v>I100099999</v>
      </c>
    </row>
    <row r="190" spans="1:11">
      <c r="A190" t="s">
        <v>1205</v>
      </c>
      <c r="B190" s="8" t="s">
        <v>543</v>
      </c>
      <c r="C190" s="67" t="s">
        <v>542</v>
      </c>
      <c r="D190" s="67" t="s">
        <v>568</v>
      </c>
      <c r="E190" s="8" t="s">
        <v>943</v>
      </c>
      <c r="F190" s="8" t="s">
        <v>370</v>
      </c>
      <c r="G190" s="121" t="s">
        <v>944</v>
      </c>
      <c r="H190" s="121" t="s">
        <v>1070</v>
      </c>
      <c r="I190" t="s">
        <v>1206</v>
      </c>
      <c r="J190" s="67">
        <f>VLOOKUP(표4[[#This Row],[Team]],표1[[내역]:[코스트 센터]],2,0)</f>
        <v>100774</v>
      </c>
      <c r="K190" s="67" t="str">
        <f>VLOOKUP(표4[[#This Row],[Project]],표2[],2,0)</f>
        <v>I100099999</v>
      </c>
    </row>
    <row r="191" spans="1:11">
      <c r="A191" t="s">
        <v>1207</v>
      </c>
      <c r="B191" s="8" t="s">
        <v>543</v>
      </c>
      <c r="C191" s="67" t="s">
        <v>542</v>
      </c>
      <c r="D191" s="67" t="s">
        <v>568</v>
      </c>
      <c r="E191" s="7" t="s">
        <v>943</v>
      </c>
      <c r="F191" t="s">
        <v>370</v>
      </c>
      <c r="G191" s="121" t="s">
        <v>944</v>
      </c>
      <c r="H191" s="121" t="s">
        <v>945</v>
      </c>
      <c r="I191" t="s">
        <v>1208</v>
      </c>
      <c r="J191" s="67">
        <f>VLOOKUP(표4[[#This Row],[Team]],표1[[내역]:[코스트 센터]],2,0)</f>
        <v>100774</v>
      </c>
      <c r="K191" s="67" t="str">
        <f>VLOOKUP(표4[[#This Row],[Project]],표2[],2,0)</f>
        <v>I100099999</v>
      </c>
    </row>
    <row r="192" spans="1:11">
      <c r="A192" s="143" t="s">
        <v>231</v>
      </c>
      <c r="B192" s="8" t="s">
        <v>543</v>
      </c>
      <c r="C192" s="67" t="s">
        <v>542</v>
      </c>
      <c r="D192" s="67" t="s">
        <v>568</v>
      </c>
      <c r="E192" s="7" t="s">
        <v>943</v>
      </c>
      <c r="F192" t="s">
        <v>370</v>
      </c>
      <c r="G192" s="121" t="s">
        <v>944</v>
      </c>
      <c r="H192" s="121" t="s">
        <v>945</v>
      </c>
      <c r="I192" t="s">
        <v>1209</v>
      </c>
      <c r="J192" s="67">
        <f>VLOOKUP(표4[[#This Row],[Team]],표1[[내역]:[코스트 센터]],2,0)</f>
        <v>100774</v>
      </c>
      <c r="K192" s="67" t="str">
        <f>VLOOKUP(표4[[#This Row],[Project]],표2[],2,0)</f>
        <v>I100099999</v>
      </c>
    </row>
    <row r="193" spans="1:11">
      <c r="A193" t="s">
        <v>1210</v>
      </c>
      <c r="B193" s="8" t="s">
        <v>543</v>
      </c>
      <c r="C193" s="67" t="s">
        <v>542</v>
      </c>
      <c r="D193" s="67" t="s">
        <v>568</v>
      </c>
      <c r="E193" t="s">
        <v>671</v>
      </c>
      <c r="F193" t="s">
        <v>370</v>
      </c>
      <c r="G193" s="121" t="s">
        <v>944</v>
      </c>
      <c r="H193" s="121" t="s">
        <v>1183</v>
      </c>
      <c r="I193" t="s">
        <v>1209</v>
      </c>
      <c r="J193" s="67">
        <f>VLOOKUP(표4[[#This Row],[Team]],표1[[내역]:[코스트 센터]],2,0)</f>
        <v>101758</v>
      </c>
      <c r="K193" s="67" t="str">
        <f>VLOOKUP(표4[[#This Row],[Project]],표2[],2,0)</f>
        <v>I100099999</v>
      </c>
    </row>
    <row r="194" spans="1:11">
      <c r="A194" t="s">
        <v>1211</v>
      </c>
      <c r="B194" s="8" t="s">
        <v>543</v>
      </c>
      <c r="C194" s="67" t="s">
        <v>542</v>
      </c>
      <c r="D194" s="67" t="s">
        <v>568</v>
      </c>
      <c r="E194" t="s">
        <v>664</v>
      </c>
      <c r="F194" t="s">
        <v>370</v>
      </c>
      <c r="G194" s="121" t="s">
        <v>1069</v>
      </c>
      <c r="H194" s="121" t="s">
        <v>1183</v>
      </c>
      <c r="I194" t="s">
        <v>1209</v>
      </c>
      <c r="J194" s="67">
        <f>VLOOKUP(표4[[#This Row],[Team]],표1[[내역]:[코스트 센터]],2,0)</f>
        <v>101465</v>
      </c>
      <c r="K194" s="67" t="str">
        <f>VLOOKUP(표4[[#This Row],[Project]],표2[],2,0)</f>
        <v>I100099999</v>
      </c>
    </row>
    <row r="195" spans="1:11">
      <c r="A195" t="s">
        <v>174</v>
      </c>
      <c r="B195" s="8" t="s">
        <v>543</v>
      </c>
      <c r="C195" s="67" t="s">
        <v>542</v>
      </c>
      <c r="D195" s="67" t="s">
        <v>542</v>
      </c>
      <c r="E195" t="s">
        <v>1088</v>
      </c>
      <c r="F195" s="67" t="s">
        <v>370</v>
      </c>
      <c r="G195" s="67" t="s">
        <v>1212</v>
      </c>
      <c r="H195" s="67" t="s">
        <v>1212</v>
      </c>
      <c r="I195" s="67"/>
      <c r="J195" s="67">
        <f>VLOOKUP(표4[[#This Row],[Team]],표1[[내역]:[코스트 센터]],2,0)</f>
        <v>100036</v>
      </c>
      <c r="K195" s="67" t="str">
        <f>VLOOKUP(표4[[#This Row],[Project]],표2[],2,0)</f>
        <v>I100099999</v>
      </c>
    </row>
    <row r="196" spans="1:11">
      <c r="A196" t="s">
        <v>1213</v>
      </c>
      <c r="B196" s="8" t="s">
        <v>543</v>
      </c>
      <c r="C196" s="67" t="s">
        <v>542</v>
      </c>
      <c r="D196" s="67" t="s">
        <v>542</v>
      </c>
      <c r="E196" t="s">
        <v>649</v>
      </c>
      <c r="F196" s="67" t="s">
        <v>650</v>
      </c>
      <c r="G196" s="67" t="s">
        <v>1214</v>
      </c>
      <c r="H196" s="67" t="s">
        <v>1214</v>
      </c>
      <c r="I196" s="67"/>
      <c r="J196" s="67">
        <f>VLOOKUP(표4[[#This Row],[Team]],표1[[내역]:[코스트 센터]],2,0)</f>
        <v>102096</v>
      </c>
      <c r="K196" s="67" t="str">
        <f>VLOOKUP(표4[[#This Row],[Project]],표2[],2,0)</f>
        <v>I100090801</v>
      </c>
    </row>
    <row r="197" spans="1:11">
      <c r="A197" t="s">
        <v>1215</v>
      </c>
      <c r="B197" s="8" t="s">
        <v>543</v>
      </c>
      <c r="C197" s="121" t="s">
        <v>542</v>
      </c>
      <c r="D197" s="121" t="s">
        <v>542</v>
      </c>
      <c r="E197" s="8" t="s">
        <v>623</v>
      </c>
      <c r="F197" s="67" t="s">
        <v>621</v>
      </c>
      <c r="G197" s="67" t="s">
        <v>904</v>
      </c>
      <c r="H197" s="67" t="s">
        <v>904</v>
      </c>
      <c r="I197" s="144" t="s">
        <v>1216</v>
      </c>
      <c r="J197" s="67">
        <f>VLOOKUP(표4[[#This Row],[Team]],표1[[내역]:[코스트 센터]],2,0)</f>
        <v>100033</v>
      </c>
      <c r="K197" s="67" t="str">
        <f>VLOOKUP(표4[[#This Row],[Project]],표2[],2,0)</f>
        <v>P100010055</v>
      </c>
    </row>
    <row r="198" spans="1:11">
      <c r="A198" t="s">
        <v>1217</v>
      </c>
      <c r="B198" t="s">
        <v>543</v>
      </c>
      <c r="C198" s="67" t="s">
        <v>542</v>
      </c>
      <c r="D198" s="67" t="s">
        <v>542</v>
      </c>
      <c r="E198" t="s">
        <v>615</v>
      </c>
      <c r="F198" s="67" t="s">
        <v>1173</v>
      </c>
      <c r="G198" s="67" t="s">
        <v>792</v>
      </c>
      <c r="H198" s="67" t="s">
        <v>792</v>
      </c>
      <c r="I198" s="67" t="s">
        <v>1218</v>
      </c>
      <c r="J198" s="67">
        <f>VLOOKUP(표4[[#This Row],[Team]],표1[[내역]:[코스트 센터]],2,0)</f>
        <v>100022</v>
      </c>
      <c r="K198" s="67" t="str">
        <f>VLOOKUP(표4[[#This Row],[Project]],표2[],2,0)</f>
        <v>I100099999</v>
      </c>
    </row>
    <row r="199" spans="1:11">
      <c r="A199" t="s">
        <v>1219</v>
      </c>
      <c r="B199" t="s">
        <v>543</v>
      </c>
      <c r="C199" s="67" t="s">
        <v>542</v>
      </c>
      <c r="D199" s="67" t="s">
        <v>542</v>
      </c>
      <c r="E199" t="s">
        <v>633</v>
      </c>
      <c r="F199" s="67" t="s">
        <v>370</v>
      </c>
      <c r="G199" s="67" t="s">
        <v>1220</v>
      </c>
      <c r="H199" s="67" t="s">
        <v>1220</v>
      </c>
      <c r="I199" t="s">
        <v>1221</v>
      </c>
      <c r="J199" s="67">
        <f>VLOOKUP(표4[[#This Row],[Team]],표1[[내역]:[코스트 센터]],2,0)</f>
        <v>100156</v>
      </c>
      <c r="K199" s="67" t="str">
        <f>VLOOKUP(표4[[#This Row],[Project]],표2[],2,0)</f>
        <v>I100099999</v>
      </c>
    </row>
    <row r="200" spans="1:11">
      <c r="A200" t="s">
        <v>1222</v>
      </c>
      <c r="B200" t="s">
        <v>543</v>
      </c>
      <c r="C200" s="67" t="s">
        <v>542</v>
      </c>
      <c r="D200" s="67" t="s">
        <v>568</v>
      </c>
      <c r="E200" t="s">
        <v>671</v>
      </c>
      <c r="F200" s="67" t="s">
        <v>370</v>
      </c>
      <c r="G200" s="67" t="s">
        <v>1093</v>
      </c>
      <c r="H200" s="67" t="s">
        <v>1183</v>
      </c>
      <c r="I200" t="s">
        <v>1223</v>
      </c>
      <c r="J200" s="67">
        <f>VLOOKUP(표4[[#This Row],[Team]],표1[[내역]:[코스트 센터]],2,0)</f>
        <v>101758</v>
      </c>
      <c r="K200" s="67" t="str">
        <f>VLOOKUP(표4[[#This Row],[Project]],표2[],2,0)</f>
        <v>I100099999</v>
      </c>
    </row>
    <row r="201" spans="1:11">
      <c r="A201" s="251" t="s">
        <v>1224</v>
      </c>
      <c r="B201" t="s">
        <v>543</v>
      </c>
      <c r="C201" s="67" t="s">
        <v>749</v>
      </c>
      <c r="D201" s="67" t="s">
        <v>749</v>
      </c>
      <c r="F201" s="67"/>
      <c r="G201" s="67" t="s">
        <v>1225</v>
      </c>
      <c r="H201" s="67" t="s">
        <v>1225</v>
      </c>
      <c r="I201" s="67"/>
      <c r="J201" s="67" t="e">
        <f>VLOOKUP(표4[[#This Row],[Team]],표1[[내역]:[코스트 센터]],2,0)</f>
        <v>#N/A</v>
      </c>
      <c r="K201" s="67" t="e">
        <f>VLOOKUP(표4[[#This Row],[Project]],표2[],2,0)</f>
        <v>#N/A</v>
      </c>
    </row>
    <row r="202" spans="1:11">
      <c r="A202" t="s">
        <v>1226</v>
      </c>
      <c r="B202" t="s">
        <v>543</v>
      </c>
      <c r="C202" s="67" t="s">
        <v>391</v>
      </c>
      <c r="D202" s="67" t="s">
        <v>769</v>
      </c>
      <c r="E202" t="s">
        <v>1227</v>
      </c>
      <c r="F202" s="67" t="s">
        <v>370</v>
      </c>
      <c r="G202" s="67" t="s">
        <v>1228</v>
      </c>
      <c r="H202" s="67" t="s">
        <v>1228</v>
      </c>
      <c r="I202" t="s">
        <v>1229</v>
      </c>
      <c r="J202" s="67">
        <f>VLOOKUP(표4[[#This Row],[Team]],표1[[내역]:[코스트 센터]],2,0)</f>
        <v>100677</v>
      </c>
      <c r="K202" s="67" t="str">
        <f>VLOOKUP(표4[[#This Row],[Project]],표2[],2,0)</f>
        <v>I100099999</v>
      </c>
    </row>
    <row r="203" spans="1:11">
      <c r="A203" t="s">
        <v>1230</v>
      </c>
      <c r="B203" t="s">
        <v>543</v>
      </c>
      <c r="C203" s="67" t="s">
        <v>542</v>
      </c>
      <c r="D203" s="67" t="s">
        <v>568</v>
      </c>
      <c r="E203" t="s">
        <v>1092</v>
      </c>
      <c r="F203" s="67" t="s">
        <v>370</v>
      </c>
      <c r="G203" s="67" t="s">
        <v>1093</v>
      </c>
      <c r="H203" s="67" t="s">
        <v>1093</v>
      </c>
      <c r="I203" t="s">
        <v>1223</v>
      </c>
      <c r="J203" s="67">
        <f>VLOOKUP(표4[[#This Row],[Team]],표1[[내역]:[코스트 센터]],2,0)</f>
        <v>101465</v>
      </c>
      <c r="K203" s="67" t="str">
        <f>VLOOKUP(표4[[#This Row],[Project]],표2[],2,0)</f>
        <v>I100099999</v>
      </c>
    </row>
    <row r="204" spans="1:11">
      <c r="A204" t="s">
        <v>1231</v>
      </c>
      <c r="B204" t="s">
        <v>543</v>
      </c>
      <c r="C204" s="67" t="s">
        <v>542</v>
      </c>
      <c r="D204" s="67" t="s">
        <v>542</v>
      </c>
      <c r="E204" s="8" t="s">
        <v>816</v>
      </c>
      <c r="F204" s="67" t="s">
        <v>1173</v>
      </c>
      <c r="G204" s="67" t="s">
        <v>819</v>
      </c>
      <c r="H204" s="67" t="s">
        <v>819</v>
      </c>
      <c r="I204" t="s">
        <v>1232</v>
      </c>
      <c r="J204" s="67">
        <f>VLOOKUP(표4[[#This Row],[Team]],표1[[내역]:[코스트 센터]],2,0)</f>
        <v>101269</v>
      </c>
      <c r="K204" s="67" t="str">
        <f>VLOOKUP(표4[[#This Row],[Project]],표2[],2,0)</f>
        <v>I100099999</v>
      </c>
    </row>
    <row r="205" spans="1:11">
      <c r="A205" t="s">
        <v>1233</v>
      </c>
      <c r="B205" t="s">
        <v>543</v>
      </c>
      <c r="C205" s="67" t="s">
        <v>542</v>
      </c>
      <c r="D205" s="67" t="s">
        <v>542</v>
      </c>
      <c r="E205" s="67" t="s">
        <v>891</v>
      </c>
      <c r="F205" t="s">
        <v>620</v>
      </c>
      <c r="G205" s="67" t="s">
        <v>892</v>
      </c>
      <c r="H205" s="67" t="s">
        <v>892</v>
      </c>
      <c r="I205" s="184" t="s">
        <v>1234</v>
      </c>
      <c r="J205" s="67">
        <f>VLOOKUP(표4[[#This Row],[Team]],표1[[내역]:[코스트 센터]],2,0)</f>
        <v>101721</v>
      </c>
      <c r="K205" s="67" t="str">
        <f>VLOOKUP(표4[[#This Row],[Project]],표2[],2,0)</f>
        <v>P100010066</v>
      </c>
    </row>
    <row r="206" spans="1:11">
      <c r="A206" t="s">
        <v>1235</v>
      </c>
      <c r="B206" t="s">
        <v>543</v>
      </c>
      <c r="C206" s="67" t="s">
        <v>542</v>
      </c>
      <c r="D206" s="67" t="s">
        <v>568</v>
      </c>
      <c r="E206" s="7" t="s">
        <v>943</v>
      </c>
      <c r="F206" t="s">
        <v>1168</v>
      </c>
      <c r="G206" s="67" t="s">
        <v>1069</v>
      </c>
      <c r="H206" s="67" t="s">
        <v>1236</v>
      </c>
      <c r="I206" t="s">
        <v>1223</v>
      </c>
      <c r="J206" s="67">
        <f>VLOOKUP(표4[[#This Row],[Team]],표1[[내역]:[코스트 센터]],2,0)</f>
        <v>100774</v>
      </c>
      <c r="K206" s="67" t="str">
        <f>VLOOKUP(표4[[#This Row],[Project]],표2[],2,0)</f>
        <v>P100030092</v>
      </c>
    </row>
    <row r="207" spans="1:11">
      <c r="A207" s="251" t="s">
        <v>1237</v>
      </c>
      <c r="B207" t="s">
        <v>543</v>
      </c>
      <c r="C207" s="67" t="s">
        <v>542</v>
      </c>
      <c r="D207" s="67" t="s">
        <v>568</v>
      </c>
      <c r="E207" s="7" t="s">
        <v>943</v>
      </c>
      <c r="F207" s="67" t="s">
        <v>370</v>
      </c>
      <c r="G207" s="67" t="s">
        <v>1093</v>
      </c>
      <c r="H207" s="67" t="s">
        <v>945</v>
      </c>
      <c r="I207" t="s">
        <v>1223</v>
      </c>
      <c r="J207" s="67">
        <f>VLOOKUP(표4[[#This Row],[Team]],표1[[내역]:[코스트 센터]],2,0)</f>
        <v>100774</v>
      </c>
      <c r="K207" s="67" t="str">
        <f>VLOOKUP(표4[[#This Row],[Project]],표2[],2,0)</f>
        <v>I100099999</v>
      </c>
    </row>
    <row r="208" spans="1:11">
      <c r="A208" t="s">
        <v>1238</v>
      </c>
      <c r="B208" t="s">
        <v>543</v>
      </c>
      <c r="C208" s="67" t="s">
        <v>542</v>
      </c>
      <c r="D208" s="67" t="s">
        <v>562</v>
      </c>
      <c r="E208" t="s">
        <v>1239</v>
      </c>
      <c r="F208" s="67" t="s">
        <v>370</v>
      </c>
      <c r="G208" s="67" t="s">
        <v>1240</v>
      </c>
      <c r="H208" t="s">
        <v>1240</v>
      </c>
      <c r="I208" t="s">
        <v>1241</v>
      </c>
      <c r="J208" s="67">
        <f>VLOOKUP(표4[[#This Row],[Team]],표1[[내역]:[코스트 센터]],2,0)</f>
        <v>131035</v>
      </c>
      <c r="K208" s="67" t="str">
        <f>VLOOKUP(표4[[#This Row],[Project]],표2[],2,0)</f>
        <v>I100099999</v>
      </c>
    </row>
    <row r="209" spans="1:11">
      <c r="A209" t="s">
        <v>1242</v>
      </c>
      <c r="B209" t="s">
        <v>543</v>
      </c>
      <c r="C209" s="67" t="s">
        <v>542</v>
      </c>
      <c r="D209" s="67" t="s">
        <v>542</v>
      </c>
      <c r="E209" t="s">
        <v>636</v>
      </c>
      <c r="F209" s="67" t="s">
        <v>370</v>
      </c>
      <c r="G209" t="s">
        <v>1243</v>
      </c>
      <c r="H209" t="s">
        <v>1243</v>
      </c>
      <c r="I209" t="s">
        <v>1244</v>
      </c>
      <c r="J209" s="67">
        <f>VLOOKUP(표4[[#This Row],[Team]],표1[[내역]:[코스트 센터]],2,0)</f>
        <v>100038</v>
      </c>
      <c r="K209" s="67" t="str">
        <f>VLOOKUP(표4[[#This Row],[Project]],표2[],2,0)</f>
        <v>I100099999</v>
      </c>
    </row>
    <row r="210" spans="1:11">
      <c r="A210" t="s">
        <v>1245</v>
      </c>
      <c r="B210" t="s">
        <v>543</v>
      </c>
      <c r="C210" s="67" t="s">
        <v>745</v>
      </c>
      <c r="D210" s="67" t="s">
        <v>745</v>
      </c>
      <c r="E210" t="s">
        <v>1246</v>
      </c>
      <c r="F210" t="s">
        <v>746</v>
      </c>
      <c r="G210" t="s">
        <v>1127</v>
      </c>
      <c r="H210" t="s">
        <v>1127</v>
      </c>
      <c r="I210" t="s">
        <v>1247</v>
      </c>
      <c r="J210" s="67" t="e">
        <f>VLOOKUP(표4[[#This Row],[Team]],표1[[내역]:[코스트 센터]],2,0)</f>
        <v>#N/A</v>
      </c>
      <c r="K210" s="67" t="e">
        <f>VLOOKUP(표4[[#This Row],[Project]],표2[],2,0)</f>
        <v>#N/A</v>
      </c>
    </row>
    <row r="211" spans="1:11">
      <c r="A211" t="s">
        <v>1248</v>
      </c>
      <c r="B211" t="s">
        <v>543</v>
      </c>
      <c r="C211" s="67" t="s">
        <v>542</v>
      </c>
      <c r="D211" s="67" t="s">
        <v>578</v>
      </c>
      <c r="E211" t="s">
        <v>1249</v>
      </c>
      <c r="F211" t="s">
        <v>580</v>
      </c>
      <c r="G211" t="s">
        <v>1250</v>
      </c>
      <c r="H211" t="s">
        <v>1251</v>
      </c>
      <c r="I211" t="s">
        <v>1252</v>
      </c>
      <c r="J211" s="67">
        <f>VLOOKUP(표4[[#This Row],[Team]],표1[[내역]:[코스트 센터]],2,0)</f>
        <v>330046</v>
      </c>
      <c r="K211" s="67" t="e">
        <f>VLOOKUP(표4[[#This Row],[Project]],표2[],2,0)</f>
        <v>#N/A</v>
      </c>
    </row>
    <row r="212" spans="1:11">
      <c r="A212" t="s">
        <v>1253</v>
      </c>
      <c r="B212" t="s">
        <v>543</v>
      </c>
      <c r="C212" s="67" t="s">
        <v>542</v>
      </c>
      <c r="D212" s="67" t="s">
        <v>542</v>
      </c>
      <c r="E212" t="s">
        <v>1254</v>
      </c>
      <c r="G212" t="s">
        <v>884</v>
      </c>
      <c r="H212" t="s">
        <v>885</v>
      </c>
      <c r="I212" t="s">
        <v>1255</v>
      </c>
      <c r="J212" s="67">
        <f>VLOOKUP(표4[[#This Row],[Team]],표1[[내역]:[코스트 센터]],2,0)</f>
        <v>100810</v>
      </c>
      <c r="K212" s="67" t="e">
        <f>VLOOKUP(표4[[#This Row],[Project]],표2[],2,0)</f>
        <v>#N/A</v>
      </c>
    </row>
    <row r="213" spans="1:11">
      <c r="A213" t="s">
        <v>84</v>
      </c>
      <c r="B213" t="s">
        <v>543</v>
      </c>
      <c r="C213" s="145" t="s">
        <v>744</v>
      </c>
      <c r="D213" s="145" t="s">
        <v>744</v>
      </c>
      <c r="J213" s="67" t="e">
        <f>VLOOKUP(표4[[#This Row],[Team]],표1[[내역]:[코스트 센터]],2,0)</f>
        <v>#N/A</v>
      </c>
      <c r="K213" s="67" t="e">
        <f>VLOOKUP(표4[[#This Row],[Project]],표2[],2,0)</f>
        <v>#N/A</v>
      </c>
    </row>
    <row r="214" spans="1:11">
      <c r="A214" t="s">
        <v>86</v>
      </c>
      <c r="B214" t="s">
        <v>543</v>
      </c>
      <c r="C214" s="145" t="s">
        <v>744</v>
      </c>
      <c r="D214" s="145" t="s">
        <v>744</v>
      </c>
      <c r="J214" s="67" t="e">
        <f>VLOOKUP(표4[[#This Row],[Team]],표1[[내역]:[코스트 센터]],2,0)</f>
        <v>#N/A</v>
      </c>
      <c r="K214" s="67" t="e">
        <f>VLOOKUP(표4[[#This Row],[Project]],표2[],2,0)</f>
        <v>#N/A</v>
      </c>
    </row>
    <row r="215" spans="1:11">
      <c r="A215" t="s">
        <v>83</v>
      </c>
      <c r="B215" t="s">
        <v>543</v>
      </c>
      <c r="C215" s="145" t="s">
        <v>744</v>
      </c>
      <c r="D215" s="145" t="s">
        <v>744</v>
      </c>
      <c r="J215" s="67" t="e">
        <f>VLOOKUP(표4[[#This Row],[Team]],표1[[내역]:[코스트 센터]],2,0)</f>
        <v>#N/A</v>
      </c>
      <c r="K215" s="67" t="e">
        <f>VLOOKUP(표4[[#This Row],[Project]],표2[],2,0)</f>
        <v>#N/A</v>
      </c>
    </row>
    <row r="216" spans="1:11">
      <c r="A216" t="s">
        <v>142</v>
      </c>
      <c r="B216" t="s">
        <v>543</v>
      </c>
      <c r="C216" s="67" t="s">
        <v>774</v>
      </c>
      <c r="D216" s="67" t="s">
        <v>774</v>
      </c>
      <c r="E216" s="145" t="s">
        <v>1256</v>
      </c>
      <c r="F216" s="67" t="s">
        <v>1173</v>
      </c>
      <c r="G216" t="s">
        <v>1257</v>
      </c>
      <c r="H216" t="s">
        <v>1257</v>
      </c>
      <c r="I216" t="s">
        <v>1258</v>
      </c>
      <c r="J216" s="67">
        <f>VLOOKUP(표4[[#This Row],[Team]],표1[[내역]:[코스트 센터]],2,0)</f>
        <v>110069</v>
      </c>
      <c r="K216" s="67" t="str">
        <f>VLOOKUP(표4[[#This Row],[Project]],표2[],2,0)</f>
        <v>I100099999</v>
      </c>
    </row>
    <row r="217" spans="1:11">
      <c r="A217" t="s">
        <v>87</v>
      </c>
      <c r="B217" t="s">
        <v>543</v>
      </c>
      <c r="C217" s="145" t="s">
        <v>744</v>
      </c>
      <c r="D217" s="145" t="s">
        <v>744</v>
      </c>
      <c r="J217" s="67" t="e">
        <f>VLOOKUP(표4[[#This Row],[Team]],표1[[내역]:[코스트 센터]],2,0)</f>
        <v>#N/A</v>
      </c>
      <c r="K217" s="67" t="e">
        <f>VLOOKUP(표4[[#This Row],[Project]],표2[],2,0)</f>
        <v>#N/A</v>
      </c>
    </row>
    <row r="218" spans="1:11">
      <c r="A218" t="s">
        <v>79</v>
      </c>
      <c r="B218" t="s">
        <v>543</v>
      </c>
      <c r="C218" s="145" t="s">
        <v>744</v>
      </c>
      <c r="D218" s="145" t="s">
        <v>744</v>
      </c>
      <c r="J218" s="67" t="e">
        <f>VLOOKUP(표4[[#This Row],[Team]],표1[[내역]:[코스트 센터]],2,0)</f>
        <v>#N/A</v>
      </c>
      <c r="K218" s="67" t="e">
        <f>VLOOKUP(표4[[#This Row],[Project]],표2[],2,0)</f>
        <v>#N/A</v>
      </c>
    </row>
    <row r="219" spans="1:11">
      <c r="A219" t="s">
        <v>45</v>
      </c>
      <c r="B219" t="s">
        <v>543</v>
      </c>
      <c r="C219" s="145" t="s">
        <v>744</v>
      </c>
      <c r="D219" s="145" t="s">
        <v>744</v>
      </c>
      <c r="J219" s="67" t="e">
        <f>VLOOKUP(표4[[#This Row],[Team]],표1[[내역]:[코스트 센터]],2,0)</f>
        <v>#N/A</v>
      </c>
      <c r="K219" s="67" t="e">
        <f>VLOOKUP(표4[[#This Row],[Project]],표2[],2,0)</f>
        <v>#N/A</v>
      </c>
    </row>
    <row r="220" spans="1:11">
      <c r="A220" t="s">
        <v>44</v>
      </c>
      <c r="B220" t="s">
        <v>543</v>
      </c>
      <c r="C220" s="145" t="s">
        <v>744</v>
      </c>
      <c r="D220" s="145" t="s">
        <v>744</v>
      </c>
      <c r="J220" s="67" t="e">
        <f>VLOOKUP(표4[[#This Row],[Team]],표1[[내역]:[코스트 센터]],2,0)</f>
        <v>#N/A</v>
      </c>
      <c r="K220" s="67" t="e">
        <f>VLOOKUP(표4[[#This Row],[Project]],표2[],2,0)</f>
        <v>#N/A</v>
      </c>
    </row>
    <row r="221" spans="1:11">
      <c r="A221" t="s">
        <v>258</v>
      </c>
      <c r="B221" t="s">
        <v>543</v>
      </c>
      <c r="C221" s="145" t="s">
        <v>744</v>
      </c>
      <c r="D221" s="145" t="s">
        <v>744</v>
      </c>
      <c r="J221" s="67" t="e">
        <f>VLOOKUP(표4[[#This Row],[Team]],표1[[내역]:[코스트 센터]],2,0)</f>
        <v>#N/A</v>
      </c>
      <c r="K221" s="67" t="e">
        <f>VLOOKUP(표4[[#This Row],[Project]],표2[],2,0)</f>
        <v>#N/A</v>
      </c>
    </row>
    <row r="222" spans="1:11">
      <c r="A222" t="s">
        <v>76</v>
      </c>
      <c r="B222" t="s">
        <v>543</v>
      </c>
      <c r="C222" s="145" t="s">
        <v>744</v>
      </c>
      <c r="D222" s="145" t="s">
        <v>744</v>
      </c>
      <c r="J222" s="67" t="e">
        <f>VLOOKUP(표4[[#This Row],[Team]],표1[[내역]:[코스트 센터]],2,0)</f>
        <v>#N/A</v>
      </c>
      <c r="K222" s="67" t="e">
        <f>VLOOKUP(표4[[#This Row],[Project]],표2[],2,0)</f>
        <v>#N/A</v>
      </c>
    </row>
    <row r="223" spans="1:11">
      <c r="A223" t="s">
        <v>186</v>
      </c>
      <c r="B223" t="s">
        <v>543</v>
      </c>
      <c r="C223" s="67" t="s">
        <v>542</v>
      </c>
      <c r="D223" s="67" t="s">
        <v>542</v>
      </c>
      <c r="E223" s="145" t="s">
        <v>542</v>
      </c>
      <c r="F223" s="67" t="s">
        <v>1173</v>
      </c>
      <c r="G223" t="s">
        <v>1257</v>
      </c>
      <c r="H223" t="s">
        <v>1257</v>
      </c>
      <c r="I223" t="s">
        <v>1258</v>
      </c>
      <c r="J223" s="67">
        <f>VLOOKUP(표4[[#This Row],[Team]],표1[[내역]:[코스트 센터]],2,0)</f>
        <v>100009</v>
      </c>
      <c r="K223" s="67" t="str">
        <f>VLOOKUP(표4[[#This Row],[Project]],표2[],2,0)</f>
        <v>I100099999</v>
      </c>
    </row>
    <row r="224" spans="1:11">
      <c r="A224" t="s">
        <v>152</v>
      </c>
      <c r="B224" t="s">
        <v>543</v>
      </c>
      <c r="C224" s="67" t="s">
        <v>542</v>
      </c>
      <c r="D224" s="67" t="s">
        <v>542</v>
      </c>
      <c r="E224" s="67" t="s">
        <v>1259</v>
      </c>
      <c r="F224" s="67" t="s">
        <v>1082</v>
      </c>
      <c r="G224" t="s">
        <v>1260</v>
      </c>
      <c r="H224" t="s">
        <v>1260</v>
      </c>
      <c r="I224" t="s">
        <v>1261</v>
      </c>
      <c r="J224" s="67">
        <f>VLOOKUP(표4[[#This Row],[Team]],표1[[내역]:[코스트 센터]],2,0)</f>
        <v>101216</v>
      </c>
      <c r="K224" s="67" t="str">
        <f>VLOOKUP(표4[[#This Row],[Project]],표2[],2,0)</f>
        <v>I100090817</v>
      </c>
    </row>
    <row r="225" spans="1:11">
      <c r="A225" t="s">
        <v>93</v>
      </c>
      <c r="B225" t="s">
        <v>543</v>
      </c>
      <c r="C225" s="145" t="s">
        <v>744</v>
      </c>
      <c r="D225" s="145" t="s">
        <v>744</v>
      </c>
      <c r="J225" s="67" t="e">
        <f>VLOOKUP(표4[[#This Row],[Team]],표1[[내역]:[코스트 센터]],2,0)</f>
        <v>#N/A</v>
      </c>
      <c r="K225" s="67" t="e">
        <f>VLOOKUP(표4[[#This Row],[Project]],표2[],2,0)</f>
        <v>#N/A</v>
      </c>
    </row>
    <row r="226" spans="1:11">
      <c r="A226" t="s">
        <v>259</v>
      </c>
      <c r="B226" t="s">
        <v>543</v>
      </c>
      <c r="C226" s="145" t="s">
        <v>744</v>
      </c>
      <c r="D226" s="145" t="s">
        <v>744</v>
      </c>
      <c r="J226" s="67" t="e">
        <f>VLOOKUP(표4[[#This Row],[Team]],표1[[내역]:[코스트 센터]],2,0)</f>
        <v>#N/A</v>
      </c>
      <c r="K226" s="67" t="e">
        <f>VLOOKUP(표4[[#This Row],[Project]],표2[],2,0)</f>
        <v>#N/A</v>
      </c>
    </row>
    <row r="227" spans="1:11">
      <c r="A227" t="s">
        <v>41</v>
      </c>
      <c r="B227" t="s">
        <v>543</v>
      </c>
      <c r="C227" s="145" t="s">
        <v>744</v>
      </c>
      <c r="D227" s="145" t="s">
        <v>744</v>
      </c>
      <c r="J227" s="67" t="e">
        <f>VLOOKUP(표4[[#This Row],[Team]],표1[[내역]:[코스트 센터]],2,0)</f>
        <v>#N/A</v>
      </c>
      <c r="K227" s="67" t="e">
        <f>VLOOKUP(표4[[#This Row],[Project]],표2[],2,0)</f>
        <v>#N/A</v>
      </c>
    </row>
    <row r="228" spans="1:11">
      <c r="A228" t="s">
        <v>85</v>
      </c>
      <c r="B228" t="s">
        <v>543</v>
      </c>
      <c r="C228" s="145" t="s">
        <v>744</v>
      </c>
      <c r="D228" s="145" t="s">
        <v>744</v>
      </c>
      <c r="J228" s="67" t="e">
        <f>VLOOKUP(표4[[#This Row],[Team]],표1[[내역]:[코스트 센터]],2,0)</f>
        <v>#N/A</v>
      </c>
      <c r="K228" s="67" t="e">
        <f>VLOOKUP(표4[[#This Row],[Project]],표2[],2,0)</f>
        <v>#N/A</v>
      </c>
    </row>
    <row r="229" spans="1:11">
      <c r="A229" t="s">
        <v>173</v>
      </c>
      <c r="B229" t="s">
        <v>543</v>
      </c>
      <c r="C229" s="67" t="s">
        <v>542</v>
      </c>
      <c r="D229" s="67" t="s">
        <v>542</v>
      </c>
      <c r="E229" t="s">
        <v>1088</v>
      </c>
      <c r="F229" s="67" t="s">
        <v>1173</v>
      </c>
      <c r="G229" t="s">
        <v>1257</v>
      </c>
      <c r="H229" t="s">
        <v>1257</v>
      </c>
      <c r="I229" t="s">
        <v>1262</v>
      </c>
      <c r="J229" s="67">
        <f>VLOOKUP(표4[[#This Row],[Team]],표1[[내역]:[코스트 센터]],2,0)</f>
        <v>100036</v>
      </c>
      <c r="K229" s="67" t="str">
        <f>VLOOKUP(표4[[#This Row],[Project]],표2[],2,0)</f>
        <v>I100099999</v>
      </c>
    </row>
    <row r="230" spans="1:11">
      <c r="A230" t="s">
        <v>229</v>
      </c>
      <c r="B230" t="s">
        <v>543</v>
      </c>
      <c r="C230" s="67" t="s">
        <v>542</v>
      </c>
      <c r="D230" s="67" t="s">
        <v>934</v>
      </c>
      <c r="E230" s="145" t="s">
        <v>542</v>
      </c>
      <c r="F230" s="67" t="s">
        <v>1173</v>
      </c>
      <c r="G230" t="s">
        <v>1257</v>
      </c>
      <c r="H230" t="s">
        <v>1257</v>
      </c>
      <c r="I230" t="s">
        <v>1258</v>
      </c>
      <c r="J230" s="67">
        <f>VLOOKUP(표4[[#This Row],[Team]],표1[[내역]:[코스트 센터]],2,0)</f>
        <v>100009</v>
      </c>
      <c r="K230" s="67" t="str">
        <f>VLOOKUP(표4[[#This Row],[Project]],표2[],2,0)</f>
        <v>I100099999</v>
      </c>
    </row>
    <row r="231" spans="1:11">
      <c r="A231" t="s">
        <v>78</v>
      </c>
      <c r="B231" t="s">
        <v>543</v>
      </c>
      <c r="C231" s="145" t="s">
        <v>744</v>
      </c>
      <c r="D231" s="145" t="s">
        <v>744</v>
      </c>
      <c r="J231" s="67" t="e">
        <f>VLOOKUP(표4[[#This Row],[Team]],표1[[내역]:[코스트 센터]],2,0)</f>
        <v>#N/A</v>
      </c>
      <c r="K231" s="67" t="e">
        <f>VLOOKUP(표4[[#This Row],[Project]],표2[],2,0)</f>
        <v>#N/A</v>
      </c>
    </row>
    <row r="232" spans="1:11">
      <c r="A232" t="s">
        <v>81</v>
      </c>
      <c r="B232" t="s">
        <v>543</v>
      </c>
      <c r="C232" s="145" t="s">
        <v>744</v>
      </c>
      <c r="D232" s="145" t="s">
        <v>744</v>
      </c>
      <c r="J232" s="67" t="e">
        <f>VLOOKUP(표4[[#This Row],[Team]],표1[[내역]:[코스트 센터]],2,0)</f>
        <v>#N/A</v>
      </c>
      <c r="K232" s="67" t="e">
        <f>VLOOKUP(표4[[#This Row],[Project]],표2[],2,0)</f>
        <v>#N/A</v>
      </c>
    </row>
    <row r="233" spans="1:11">
      <c r="A233" t="s">
        <v>46</v>
      </c>
      <c r="B233" t="s">
        <v>543</v>
      </c>
      <c r="C233" s="145" t="s">
        <v>744</v>
      </c>
      <c r="D233" s="145" t="s">
        <v>744</v>
      </c>
      <c r="J233" s="67" t="e">
        <f>VLOOKUP(표4[[#This Row],[Team]],표1[[내역]:[코스트 센터]],2,0)</f>
        <v>#N/A</v>
      </c>
      <c r="K233" s="67" t="e">
        <f>VLOOKUP(표4[[#This Row],[Project]],표2[],2,0)</f>
        <v>#N/A</v>
      </c>
    </row>
    <row r="234" spans="1:11">
      <c r="A234" t="s">
        <v>257</v>
      </c>
      <c r="B234" t="s">
        <v>543</v>
      </c>
      <c r="C234" s="145" t="s">
        <v>744</v>
      </c>
      <c r="D234" s="145" t="s">
        <v>744</v>
      </c>
      <c r="J234" s="67" t="e">
        <f>VLOOKUP(표4[[#This Row],[Team]],표1[[내역]:[코스트 센터]],2,0)</f>
        <v>#N/A</v>
      </c>
      <c r="K234" s="67" t="e">
        <f>VLOOKUP(표4[[#This Row],[Project]],표2[],2,0)</f>
        <v>#N/A</v>
      </c>
    </row>
    <row r="235" spans="1:11">
      <c r="A235" t="s">
        <v>82</v>
      </c>
      <c r="B235" t="s">
        <v>543</v>
      </c>
      <c r="C235" s="145" t="s">
        <v>744</v>
      </c>
      <c r="D235" s="145" t="s">
        <v>744</v>
      </c>
      <c r="J235" s="67" t="e">
        <f>VLOOKUP(표4[[#This Row],[Team]],표1[[내역]:[코스트 센터]],2,0)</f>
        <v>#N/A</v>
      </c>
      <c r="K235" s="67" t="e">
        <f>VLOOKUP(표4[[#This Row],[Project]],표2[],2,0)</f>
        <v>#N/A</v>
      </c>
    </row>
    <row r="236" spans="1:11">
      <c r="A236" t="s">
        <v>171</v>
      </c>
      <c r="B236" t="s">
        <v>543</v>
      </c>
      <c r="C236" s="67" t="s">
        <v>542</v>
      </c>
      <c r="D236" s="67" t="s">
        <v>542</v>
      </c>
      <c r="E236" s="67" t="s">
        <v>645</v>
      </c>
      <c r="F236" s="67" t="s">
        <v>1173</v>
      </c>
      <c r="G236" t="s">
        <v>1263</v>
      </c>
      <c r="H236" t="s">
        <v>1263</v>
      </c>
      <c r="I236" t="s">
        <v>1264</v>
      </c>
      <c r="J236" s="67">
        <f>VLOOKUP(표4[[#This Row],[Team]],표1[[내역]:[코스트 센터]],2,0)</f>
        <v>100024</v>
      </c>
      <c r="K236" s="67" t="str">
        <f>VLOOKUP(표4[[#This Row],[Project]],표2[],2,0)</f>
        <v>I100099999</v>
      </c>
    </row>
    <row r="237" spans="1:11">
      <c r="A237" t="s">
        <v>161</v>
      </c>
      <c r="B237" t="s">
        <v>543</v>
      </c>
      <c r="C237" s="67" t="s">
        <v>542</v>
      </c>
      <c r="D237" s="67" t="s">
        <v>542</v>
      </c>
      <c r="E237" t="s">
        <v>1265</v>
      </c>
      <c r="F237" s="67" t="s">
        <v>1173</v>
      </c>
      <c r="G237" t="s">
        <v>1106</v>
      </c>
      <c r="H237" t="s">
        <v>1106</v>
      </c>
      <c r="I237" t="s">
        <v>1266</v>
      </c>
      <c r="J237" s="67">
        <f>VLOOKUP(표4[[#This Row],[Team]],표1[[내역]:[코스트 센터]],2,0)</f>
        <v>100415</v>
      </c>
      <c r="K237" s="67" t="str">
        <f>VLOOKUP(표4[[#This Row],[Project]],표2[],2,0)</f>
        <v>I100099999</v>
      </c>
    </row>
    <row r="238" spans="1:11">
      <c r="A238" t="s">
        <v>80</v>
      </c>
      <c r="B238" t="s">
        <v>543</v>
      </c>
      <c r="C238" s="145" t="s">
        <v>744</v>
      </c>
      <c r="D238" s="145" t="s">
        <v>744</v>
      </c>
      <c r="J238" s="67" t="e">
        <f>VLOOKUP(표4[[#This Row],[Team]],표1[[내역]:[코스트 센터]],2,0)</f>
        <v>#N/A</v>
      </c>
      <c r="K238" s="67" t="e">
        <f>VLOOKUP(표4[[#This Row],[Project]],표2[],2,0)</f>
        <v>#N/A</v>
      </c>
    </row>
    <row r="239" spans="1:11">
      <c r="A239" t="s">
        <v>260</v>
      </c>
      <c r="B239" t="s">
        <v>543</v>
      </c>
      <c r="C239" s="145" t="s">
        <v>744</v>
      </c>
      <c r="D239" s="145" t="s">
        <v>744</v>
      </c>
      <c r="J239" s="67" t="e">
        <f>VLOOKUP(표4[[#This Row],[Team]],표1[[내역]:[코스트 센터]],2,0)</f>
        <v>#N/A</v>
      </c>
      <c r="K239" s="67" t="e">
        <f>VLOOKUP(표4[[#This Row],[Project]],표2[],2,0)</f>
        <v>#N/A</v>
      </c>
    </row>
    <row r="240" spans="1:11">
      <c r="A240" t="s">
        <v>94</v>
      </c>
      <c r="B240" t="s">
        <v>543</v>
      </c>
      <c r="C240" s="145" t="s">
        <v>744</v>
      </c>
      <c r="D240" s="145" t="s">
        <v>744</v>
      </c>
      <c r="J240" s="67" t="e">
        <f>VLOOKUP(표4[[#This Row],[Team]],표1[[내역]:[코스트 센터]],2,0)</f>
        <v>#N/A</v>
      </c>
      <c r="K240" s="67" t="e">
        <f>VLOOKUP(표4[[#This Row],[Project]],표2[],2,0)</f>
        <v>#N/A</v>
      </c>
    </row>
    <row r="241" spans="1:11">
      <c r="A241" t="s">
        <v>43</v>
      </c>
      <c r="B241" t="s">
        <v>543</v>
      </c>
      <c r="C241" s="145" t="s">
        <v>744</v>
      </c>
      <c r="D241" s="145" t="s">
        <v>744</v>
      </c>
      <c r="J241" s="67" t="e">
        <f>VLOOKUP(표4[[#This Row],[Team]],표1[[내역]:[코스트 센터]],2,0)</f>
        <v>#N/A</v>
      </c>
      <c r="K241" s="67" t="e">
        <f>VLOOKUP(표4[[#This Row],[Project]],표2[],2,0)</f>
        <v>#N/A</v>
      </c>
    </row>
    <row r="242" spans="1:11">
      <c r="A242" t="s">
        <v>151</v>
      </c>
      <c r="B242" t="s">
        <v>543</v>
      </c>
      <c r="C242" s="67" t="s">
        <v>542</v>
      </c>
      <c r="D242" s="67" t="s">
        <v>542</v>
      </c>
      <c r="E242" t="s">
        <v>914</v>
      </c>
      <c r="F242" s="67" t="s">
        <v>1173</v>
      </c>
      <c r="G242" t="s">
        <v>916</v>
      </c>
      <c r="H242" t="s">
        <v>916</v>
      </c>
      <c r="I242" t="s">
        <v>1267</v>
      </c>
      <c r="J242" s="67">
        <f>VLOOKUP(표4[[#This Row],[Team]],표1[[내역]:[코스트 센터]],2,0)</f>
        <v>102159</v>
      </c>
      <c r="K242" s="67" t="str">
        <f>VLOOKUP(표4[[#This Row],[Project]],표2[],2,0)</f>
        <v>I100099999</v>
      </c>
    </row>
    <row r="243" spans="1:11">
      <c r="A243" t="s">
        <v>172</v>
      </c>
      <c r="B243" t="s">
        <v>543</v>
      </c>
      <c r="C243" s="67" t="s">
        <v>542</v>
      </c>
      <c r="D243" s="67" t="s">
        <v>542</v>
      </c>
      <c r="E243" t="s">
        <v>1088</v>
      </c>
      <c r="F243" s="67" t="s">
        <v>1173</v>
      </c>
      <c r="G243" t="s">
        <v>1257</v>
      </c>
      <c r="H243" t="s">
        <v>1257</v>
      </c>
      <c r="I243" t="s">
        <v>1262</v>
      </c>
      <c r="J243" s="67">
        <f>VLOOKUP(표4[[#This Row],[Team]],표1[[내역]:[코스트 센터]],2,0)</f>
        <v>100036</v>
      </c>
      <c r="K243" s="67" t="str">
        <f>VLOOKUP(표4[[#This Row],[Project]],표2[],2,0)</f>
        <v>I100099999</v>
      </c>
    </row>
    <row r="244" spans="1:11">
      <c r="A244" t="s">
        <v>42</v>
      </c>
      <c r="B244" t="s">
        <v>543</v>
      </c>
      <c r="C244" s="145" t="s">
        <v>744</v>
      </c>
      <c r="D244" s="145" t="s">
        <v>744</v>
      </c>
      <c r="J244" s="67" t="e">
        <f>VLOOKUP(표4[[#This Row],[Team]],표1[[내역]:[코스트 센터]],2,0)</f>
        <v>#N/A</v>
      </c>
      <c r="K244" s="67" t="e">
        <f>VLOOKUP(표4[[#This Row],[Project]],표2[],2,0)</f>
        <v>#N/A</v>
      </c>
    </row>
    <row r="245" spans="1:11">
      <c r="A245" t="s">
        <v>223</v>
      </c>
      <c r="B245" t="s">
        <v>543</v>
      </c>
      <c r="C245" s="67" t="s">
        <v>542</v>
      </c>
      <c r="D245" s="145" t="s">
        <v>934</v>
      </c>
      <c r="E245" t="s">
        <v>673</v>
      </c>
      <c r="F245" s="66" t="s">
        <v>624</v>
      </c>
      <c r="G245" t="s">
        <v>1268</v>
      </c>
      <c r="H245" t="s">
        <v>1268</v>
      </c>
      <c r="I245" t="s">
        <v>1269</v>
      </c>
      <c r="J245" s="67">
        <f>VLOOKUP(표4[[#This Row],[Team]],표1[[내역]:[코스트 센터]],2,0)</f>
        <v>101294</v>
      </c>
      <c r="K245" s="67" t="str">
        <f>VLOOKUP(표4[[#This Row],[Project]],표2[],2,0)</f>
        <v>P100030012</v>
      </c>
    </row>
    <row r="246" spans="1:11">
      <c r="A246" t="s">
        <v>140</v>
      </c>
      <c r="B246" t="s">
        <v>543</v>
      </c>
      <c r="C246" s="67" t="s">
        <v>542</v>
      </c>
      <c r="D246" s="67" t="s">
        <v>542</v>
      </c>
      <c r="E246" t="s">
        <v>628</v>
      </c>
      <c r="F246" t="s">
        <v>935</v>
      </c>
      <c r="G246" t="s">
        <v>1106</v>
      </c>
      <c r="H246" t="s">
        <v>1106</v>
      </c>
      <c r="J246" s="67">
        <f>VLOOKUP(표4[[#This Row],[Team]],표1[[내역]:[코스트 센터]],2,0)</f>
        <v>100415</v>
      </c>
      <c r="K246" s="67" t="str">
        <f>VLOOKUP(표4[[#This Row],[Project]],표2[],2,0)</f>
        <v>P100010048</v>
      </c>
    </row>
    <row r="247" spans="1:11">
      <c r="A247" t="s">
        <v>77</v>
      </c>
      <c r="B247" t="s">
        <v>543</v>
      </c>
      <c r="C247" s="145" t="s">
        <v>744</v>
      </c>
      <c r="D247" s="145" t="s">
        <v>744</v>
      </c>
      <c r="J247" s="67" t="e">
        <f>VLOOKUP(표4[[#This Row],[Team]],표1[[내역]:[코스트 센터]],2,0)</f>
        <v>#N/A</v>
      </c>
      <c r="K247" s="67" t="e">
        <f>VLOOKUP(표4[[#This Row],[Project]],표2[],2,0)</f>
        <v>#N/A</v>
      </c>
    </row>
    <row r="248" spans="1:11">
      <c r="A248" t="s">
        <v>1270</v>
      </c>
      <c r="B248" t="s">
        <v>543</v>
      </c>
      <c r="C248" s="67" t="s">
        <v>1099</v>
      </c>
      <c r="D248" s="67" t="s">
        <v>926</v>
      </c>
      <c r="E248" s="67" t="s">
        <v>1271</v>
      </c>
      <c r="F248" s="67" t="s">
        <v>927</v>
      </c>
      <c r="G248" t="s">
        <v>1272</v>
      </c>
      <c r="H248" t="s">
        <v>1272</v>
      </c>
      <c r="I248" t="s">
        <v>1273</v>
      </c>
      <c r="J248" s="67">
        <f>VLOOKUP(표4[[#This Row],[Team]],표1[[내역]:[코스트 센터]],2,0)</f>
        <v>150107</v>
      </c>
      <c r="K248" s="67" t="str">
        <f>VLOOKUP(표4[[#This Row],[Project]],표2[],2,0)</f>
        <v>P100020081</v>
      </c>
    </row>
    <row r="249" spans="1:11">
      <c r="A249" t="s">
        <v>149</v>
      </c>
      <c r="B249" t="s">
        <v>543</v>
      </c>
      <c r="C249" s="67" t="s">
        <v>563</v>
      </c>
      <c r="D249" s="67" t="s">
        <v>563</v>
      </c>
      <c r="E249" t="s">
        <v>1274</v>
      </c>
      <c r="F249" s="67" t="s">
        <v>1275</v>
      </c>
      <c r="G249" s="67" t="s">
        <v>1276</v>
      </c>
      <c r="H249" s="67" t="s">
        <v>1277</v>
      </c>
      <c r="I249" t="s">
        <v>1278</v>
      </c>
      <c r="J249" s="67">
        <f>VLOOKUP(표4[[#This Row],[Team]],표1[[내역]:[코스트 센터]],2,0)</f>
        <v>102035</v>
      </c>
      <c r="K249" s="67" t="str">
        <f>VLOOKUP(표4[[#This Row],[Project]],표2[],2,0)</f>
        <v>I100090134</v>
      </c>
    </row>
    <row r="250" spans="1:11">
      <c r="A250" t="s">
        <v>47</v>
      </c>
      <c r="B250" t="s">
        <v>543</v>
      </c>
      <c r="C250" s="145" t="s">
        <v>744</v>
      </c>
      <c r="D250" s="145" t="s">
        <v>744</v>
      </c>
      <c r="J250" s="67" t="e">
        <f>VLOOKUP(표4[[#This Row],[Team]],표1[[내역]:[코스트 센터]],2,0)</f>
        <v>#N/A</v>
      </c>
      <c r="K250" s="67" t="e">
        <f>VLOOKUP(표4[[#This Row],[Project]],표2[],2,0)</f>
        <v>#N/A</v>
      </c>
    </row>
    <row r="251" spans="1:11">
      <c r="A251" t="s">
        <v>170</v>
      </c>
      <c r="B251" t="s">
        <v>543</v>
      </c>
      <c r="C251" s="67" t="s">
        <v>542</v>
      </c>
      <c r="D251" s="67" t="s">
        <v>869</v>
      </c>
      <c r="E251" t="s">
        <v>1279</v>
      </c>
      <c r="F251" s="67" t="s">
        <v>1173</v>
      </c>
      <c r="G251" t="s">
        <v>1018</v>
      </c>
      <c r="H251" t="s">
        <v>1018</v>
      </c>
      <c r="I251" t="s">
        <v>1280</v>
      </c>
      <c r="J251" s="67">
        <f>VLOOKUP(표4[[#This Row],[Team]],표1[[내역]:[코스트 센터]],2,0)</f>
        <v>500001</v>
      </c>
      <c r="K251" s="67" t="str">
        <f>VLOOKUP(표4[[#This Row],[Project]],표2[],2,0)</f>
        <v>I100099999</v>
      </c>
    </row>
    <row r="252" spans="1:11">
      <c r="A252" t="s">
        <v>243</v>
      </c>
      <c r="B252" t="s">
        <v>543</v>
      </c>
      <c r="C252" s="67" t="s">
        <v>1099</v>
      </c>
      <c r="D252" s="67" t="s">
        <v>542</v>
      </c>
      <c r="E252" s="67" t="s">
        <v>1172</v>
      </c>
      <c r="F252" s="67" t="s">
        <v>1173</v>
      </c>
      <c r="G252" s="67" t="s">
        <v>1281</v>
      </c>
      <c r="H252" s="67" t="s">
        <v>1281</v>
      </c>
      <c r="I252" t="s">
        <v>1282</v>
      </c>
      <c r="J252" s="67">
        <f>VLOOKUP(표4[[#This Row],[Team]],표1[[내역]:[코스트 센터]],2,0)</f>
        <v>101451</v>
      </c>
      <c r="K252" s="67" t="str">
        <f>VLOOKUP(표4[[#This Row],[Project]],표2[],2,0)</f>
        <v>I100099999</v>
      </c>
    </row>
    <row r="253" spans="1:11">
      <c r="A253" t="s">
        <v>246</v>
      </c>
      <c r="B253" t="s">
        <v>543</v>
      </c>
      <c r="C253" s="67" t="s">
        <v>1099</v>
      </c>
      <c r="D253" s="67" t="s">
        <v>542</v>
      </c>
      <c r="E253" s="67" t="s">
        <v>891</v>
      </c>
      <c r="F253" s="67" t="s">
        <v>1173</v>
      </c>
      <c r="G253" s="67" t="s">
        <v>1201</v>
      </c>
      <c r="H253" s="67" t="s">
        <v>1201</v>
      </c>
      <c r="I253" t="s">
        <v>1283</v>
      </c>
      <c r="J253" s="67">
        <f>VLOOKUP(표4[[#This Row],[Team]],표1[[내역]:[코스트 센터]],2,0)</f>
        <v>101721</v>
      </c>
      <c r="K253" s="67" t="str">
        <f>VLOOKUP(표4[[#This Row],[Project]],표2[],2,0)</f>
        <v>I100099999</v>
      </c>
    </row>
    <row r="254" spans="1:11">
      <c r="A254" t="s">
        <v>1284</v>
      </c>
      <c r="B254" t="s">
        <v>543</v>
      </c>
      <c r="C254" s="67" t="s">
        <v>1099</v>
      </c>
      <c r="D254" s="67" t="s">
        <v>542</v>
      </c>
      <c r="E254" s="67" t="s">
        <v>891</v>
      </c>
      <c r="F254" s="8" t="s">
        <v>1191</v>
      </c>
      <c r="G254" s="67" t="s">
        <v>1201</v>
      </c>
      <c r="H254" s="67" t="s">
        <v>1201</v>
      </c>
      <c r="I254" t="s">
        <v>1285</v>
      </c>
      <c r="J254" s="67">
        <f>VLOOKUP(표4[[#This Row],[Team]],표1[[내역]:[코스트 센터]],2,0)</f>
        <v>101721</v>
      </c>
      <c r="K254" s="67" t="str">
        <f>VLOOKUP(표4[[#This Row],[Project]],표2[],2,0)</f>
        <v>P100010055</v>
      </c>
    </row>
    <row r="255" spans="1:11">
      <c r="A255" t="s">
        <v>1286</v>
      </c>
      <c r="B255" t="s">
        <v>543</v>
      </c>
      <c r="C255" s="67" t="s">
        <v>1099</v>
      </c>
      <c r="D255" s="67" t="s">
        <v>542</v>
      </c>
      <c r="E255" s="67" t="s">
        <v>1287</v>
      </c>
      <c r="F255" s="67" t="s">
        <v>1173</v>
      </c>
      <c r="G255" s="67" t="s">
        <v>1018</v>
      </c>
      <c r="H255" s="67" t="s">
        <v>1018</v>
      </c>
      <c r="I255" t="s">
        <v>1288</v>
      </c>
      <c r="J255" s="67">
        <f>VLOOKUP(표4[[#This Row],[Team]],표1[[내역]:[코스트 센터]],2,0)</f>
        <v>100037</v>
      </c>
      <c r="K255" s="67" t="str">
        <f>VLOOKUP(표4[[#This Row],[Project]],표2[],2,0)</f>
        <v>I100099999</v>
      </c>
    </row>
    <row r="256" spans="1:11">
      <c r="A256" t="s">
        <v>1289</v>
      </c>
      <c r="B256" t="s">
        <v>543</v>
      </c>
      <c r="C256" s="67" t="s">
        <v>774</v>
      </c>
      <c r="D256" s="67" t="s">
        <v>774</v>
      </c>
      <c r="E256" s="67" t="s">
        <v>1290</v>
      </c>
      <c r="F256" s="67" t="s">
        <v>1291</v>
      </c>
      <c r="G256" s="67" t="s">
        <v>1292</v>
      </c>
      <c r="H256" s="67" t="s">
        <v>1292</v>
      </c>
      <c r="I256" t="s">
        <v>1293</v>
      </c>
      <c r="J256" s="67">
        <f>VLOOKUP(표4[[#This Row],[Team]],표1[[내역]:[코스트 센터]],2,0)</f>
        <v>110202</v>
      </c>
      <c r="K256" s="67" t="str">
        <f>VLOOKUP(표4[[#This Row],[Project]],표2[],2,0)</f>
        <v>P110010137</v>
      </c>
    </row>
    <row r="257" spans="1:11">
      <c r="A257" t="s">
        <v>133</v>
      </c>
      <c r="B257" t="s">
        <v>543</v>
      </c>
      <c r="C257" s="67" t="s">
        <v>1099</v>
      </c>
      <c r="D257" s="67" t="s">
        <v>542</v>
      </c>
      <c r="E257" s="67" t="s">
        <v>1294</v>
      </c>
      <c r="F257" s="67" t="s">
        <v>1173</v>
      </c>
      <c r="G257" s="67" t="s">
        <v>1295</v>
      </c>
      <c r="H257" s="67" t="s">
        <v>1295</v>
      </c>
      <c r="I257" t="s">
        <v>1296</v>
      </c>
      <c r="J257" s="67">
        <f>VLOOKUP(표4[[#This Row],[Team]],표1[[내역]:[코스트 센터]],2,0)</f>
        <v>101651</v>
      </c>
      <c r="K257" s="67" t="str">
        <f>VLOOKUP(표4[[#This Row],[Project]],표2[],2,0)</f>
        <v>I100099999</v>
      </c>
    </row>
    <row r="258" spans="1:11">
      <c r="A258" t="s">
        <v>143</v>
      </c>
      <c r="B258" t="s">
        <v>543</v>
      </c>
      <c r="C258" s="67" t="s">
        <v>1099</v>
      </c>
      <c r="D258" s="67" t="s">
        <v>542</v>
      </c>
      <c r="E258" s="67" t="s">
        <v>646</v>
      </c>
      <c r="F258" s="8" t="s">
        <v>370</v>
      </c>
      <c r="G258" s="67" t="s">
        <v>1297</v>
      </c>
      <c r="H258" s="67" t="s">
        <v>1297</v>
      </c>
      <c r="I258" t="s">
        <v>1298</v>
      </c>
      <c r="J258" s="67">
        <f>VLOOKUP(표4[[#This Row],[Team]],표1[[내역]:[코스트 센터]],2,0)</f>
        <v>100935</v>
      </c>
      <c r="K258" s="67" t="str">
        <f>VLOOKUP(표4[[#This Row],[Project]],표2[],2,0)</f>
        <v>I100099999</v>
      </c>
    </row>
    <row r="259" spans="1:11">
      <c r="A259" t="s">
        <v>1299</v>
      </c>
      <c r="B259" t="s">
        <v>543</v>
      </c>
      <c r="C259" s="67" t="s">
        <v>1099</v>
      </c>
      <c r="D259" s="67" t="s">
        <v>542</v>
      </c>
      <c r="E259" s="67" t="s">
        <v>1172</v>
      </c>
      <c r="F259" s="8" t="s">
        <v>370</v>
      </c>
      <c r="G259" s="67" t="s">
        <v>1281</v>
      </c>
      <c r="H259" s="67" t="s">
        <v>1281</v>
      </c>
      <c r="I259" t="s">
        <v>1300</v>
      </c>
      <c r="J259" s="67">
        <f>VLOOKUP(표4[[#This Row],[Team]],표1[[내역]:[코스트 센터]],2,0)</f>
        <v>101451</v>
      </c>
      <c r="K259" s="67" t="str">
        <f>VLOOKUP(표4[[#This Row],[Project]],표2[],2,0)</f>
        <v>I100099999</v>
      </c>
    </row>
    <row r="260" spans="1:11">
      <c r="A260" t="s">
        <v>1301</v>
      </c>
      <c r="B260" t="s">
        <v>543</v>
      </c>
      <c r="C260" s="67" t="s">
        <v>563</v>
      </c>
      <c r="D260" s="67" t="s">
        <v>563</v>
      </c>
      <c r="E260" s="67" t="s">
        <v>1274</v>
      </c>
      <c r="F260" s="8" t="s">
        <v>1275</v>
      </c>
      <c r="G260" s="67" t="s">
        <v>1302</v>
      </c>
      <c r="H260" s="67" t="s">
        <v>1277</v>
      </c>
      <c r="I260" t="s">
        <v>1303</v>
      </c>
      <c r="J260" s="67">
        <f>VLOOKUP(표4[[#This Row],[Team]],표1[[내역]:[코스트 센터]],2,0)</f>
        <v>102035</v>
      </c>
      <c r="K260" s="67" t="str">
        <f>VLOOKUP(표4[[#This Row],[Project]],표2[],2,0)</f>
        <v>I100090134</v>
      </c>
    </row>
    <row r="261" spans="1:11">
      <c r="A261" t="s">
        <v>139</v>
      </c>
      <c r="B261" t="s">
        <v>543</v>
      </c>
      <c r="C261" s="67" t="s">
        <v>1099</v>
      </c>
      <c r="D261" s="67" t="s">
        <v>1099</v>
      </c>
      <c r="E261" s="67" t="s">
        <v>1081</v>
      </c>
      <c r="F261" s="8" t="s">
        <v>1082</v>
      </c>
      <c r="G261" s="67" t="s">
        <v>1304</v>
      </c>
      <c r="H261" s="67" t="s">
        <v>1304</v>
      </c>
      <c r="I261" t="s">
        <v>1305</v>
      </c>
      <c r="J261" s="67">
        <f>VLOOKUP(표4[[#This Row],[Team]],표1[[내역]:[코스트 센터]],2,0)</f>
        <v>101315</v>
      </c>
      <c r="K261" s="67" t="str">
        <f>VLOOKUP(표4[[#This Row],[Project]],표2[],2,0)</f>
        <v>I100090817</v>
      </c>
    </row>
    <row r="262" spans="1:11">
      <c r="A262" t="s">
        <v>1306</v>
      </c>
      <c r="B262" t="s">
        <v>543</v>
      </c>
      <c r="C262" s="67" t="s">
        <v>1099</v>
      </c>
      <c r="D262" s="67" t="s">
        <v>542</v>
      </c>
      <c r="E262" s="67" t="s">
        <v>1294</v>
      </c>
      <c r="F262" s="67" t="s">
        <v>1173</v>
      </c>
      <c r="G262" s="67" t="s">
        <v>1295</v>
      </c>
      <c r="H262" s="67" t="s">
        <v>1295</v>
      </c>
      <c r="I262" t="s">
        <v>1307</v>
      </c>
      <c r="J262" s="67">
        <f>VLOOKUP(표4[[#This Row],[Team]],표1[[내역]:[코스트 센터]],2,0)</f>
        <v>101651</v>
      </c>
      <c r="K262" s="67" t="str">
        <f>VLOOKUP(표4[[#This Row],[Project]],표2[],2,0)</f>
        <v>I100099999</v>
      </c>
    </row>
    <row r="263" spans="1:11">
      <c r="A263" t="s">
        <v>1308</v>
      </c>
      <c r="B263" t="s">
        <v>543</v>
      </c>
      <c r="C263" s="145" t="s">
        <v>744</v>
      </c>
      <c r="D263" s="145" t="s">
        <v>744</v>
      </c>
      <c r="J263" s="67" t="e">
        <f>VLOOKUP(표4[[#This Row],[Team]],표1[[내역]:[코스트 센터]],2,0)</f>
        <v>#N/A</v>
      </c>
      <c r="K263" s="67" t="e">
        <f>VLOOKUP(표4[[#This Row],[Project]],표2[],2,0)</f>
        <v>#N/A</v>
      </c>
    </row>
    <row r="264" spans="1:11">
      <c r="A264" t="s">
        <v>244</v>
      </c>
      <c r="B264" t="s">
        <v>543</v>
      </c>
      <c r="C264" s="67" t="s">
        <v>1099</v>
      </c>
      <c r="D264" s="67" t="s">
        <v>542</v>
      </c>
      <c r="E264" s="67" t="s">
        <v>651</v>
      </c>
      <c r="F264" s="67" t="s">
        <v>1173</v>
      </c>
      <c r="G264" s="67" t="s">
        <v>1309</v>
      </c>
      <c r="H264" s="67" t="s">
        <v>1309</v>
      </c>
      <c r="I264" t="s">
        <v>1310</v>
      </c>
      <c r="J264" s="67">
        <f>VLOOKUP(표4[[#This Row],[Team]],표1[[내역]:[코스트 센터]],2,0)</f>
        <v>101940</v>
      </c>
      <c r="K264" s="67" t="str">
        <f>VLOOKUP(표4[[#This Row],[Project]],표2[],2,0)</f>
        <v>I100099999</v>
      </c>
    </row>
    <row r="265" spans="1:11">
      <c r="A265" t="s">
        <v>254</v>
      </c>
      <c r="B265" t="s">
        <v>543</v>
      </c>
      <c r="C265" s="67" t="s">
        <v>1099</v>
      </c>
      <c r="D265" s="67" t="s">
        <v>542</v>
      </c>
      <c r="E265" s="67" t="s">
        <v>891</v>
      </c>
      <c r="F265" s="67" t="s">
        <v>1200</v>
      </c>
      <c r="G265" s="67" t="s">
        <v>1201</v>
      </c>
      <c r="H265" s="67" t="s">
        <v>1201</v>
      </c>
      <c r="I265" t="s">
        <v>1311</v>
      </c>
      <c r="J265" s="67">
        <f>VLOOKUP(표4[[#This Row],[Team]],표1[[내역]:[코스트 센터]],2,0)</f>
        <v>101721</v>
      </c>
      <c r="K265" s="67" t="str">
        <f>VLOOKUP(표4[[#This Row],[Project]],표2[],2,0)</f>
        <v>P100010842</v>
      </c>
    </row>
    <row r="266" spans="1:11">
      <c r="A266" t="s">
        <v>175</v>
      </c>
      <c r="B266" t="s">
        <v>543</v>
      </c>
      <c r="C266" s="67" t="s">
        <v>1099</v>
      </c>
      <c r="D266" s="67" t="s">
        <v>542</v>
      </c>
      <c r="E266" s="67" t="s">
        <v>1312</v>
      </c>
      <c r="F266" s="67" t="s">
        <v>1173</v>
      </c>
      <c r="G266" s="67" t="s">
        <v>1313</v>
      </c>
      <c r="H266" s="67" t="s">
        <v>1313</v>
      </c>
      <c r="I266" t="s">
        <v>1314</v>
      </c>
      <c r="J266" s="67">
        <f>VLOOKUP(표4[[#This Row],[Team]],표1[[내역]:[코스트 센터]],2,0)</f>
        <v>101505</v>
      </c>
      <c r="K266" s="67" t="str">
        <f>VLOOKUP(표4[[#This Row],[Project]],표2[],2,0)</f>
        <v>I100099999</v>
      </c>
    </row>
    <row r="267" spans="1:11">
      <c r="A267" t="s">
        <v>138</v>
      </c>
      <c r="B267" t="s">
        <v>543</v>
      </c>
      <c r="C267" s="67" t="s">
        <v>1099</v>
      </c>
      <c r="D267" s="67" t="s">
        <v>542</v>
      </c>
      <c r="E267" s="67" t="s">
        <v>1315</v>
      </c>
      <c r="F267" s="67" t="s">
        <v>1173</v>
      </c>
      <c r="G267" s="67" t="s">
        <v>1316</v>
      </c>
      <c r="H267" s="67" t="s">
        <v>1316</v>
      </c>
      <c r="I267" t="s">
        <v>1317</v>
      </c>
      <c r="J267" s="67">
        <f>VLOOKUP(표4[[#This Row],[Team]],표1[[내역]:[코스트 센터]],2,0)</f>
        <v>105019</v>
      </c>
      <c r="K267" s="67" t="str">
        <f>VLOOKUP(표4[[#This Row],[Project]],표2[],2,0)</f>
        <v>I100099999</v>
      </c>
    </row>
    <row r="268" spans="1:11">
      <c r="A268" t="s">
        <v>153</v>
      </c>
      <c r="B268" t="s">
        <v>543</v>
      </c>
      <c r="C268" s="67" t="s">
        <v>1099</v>
      </c>
      <c r="D268" s="67" t="s">
        <v>542</v>
      </c>
      <c r="E268" s="67" t="s">
        <v>914</v>
      </c>
      <c r="F268" s="8" t="s">
        <v>1082</v>
      </c>
      <c r="G268" s="67" t="s">
        <v>1318</v>
      </c>
      <c r="H268" s="67" t="s">
        <v>1318</v>
      </c>
      <c r="I268" t="s">
        <v>1319</v>
      </c>
      <c r="J268" s="67">
        <f>VLOOKUP(표4[[#This Row],[Team]],표1[[내역]:[코스트 센터]],2,0)</f>
        <v>102159</v>
      </c>
      <c r="K268" s="67" t="str">
        <f>VLOOKUP(표4[[#This Row],[Project]],표2[],2,0)</f>
        <v>I100090817</v>
      </c>
    </row>
    <row r="269" spans="1:11">
      <c r="A269" t="s">
        <v>237</v>
      </c>
      <c r="B269" t="s">
        <v>543</v>
      </c>
      <c r="C269" s="67" t="s">
        <v>1099</v>
      </c>
      <c r="D269" s="67" t="s">
        <v>542</v>
      </c>
      <c r="E269" s="67" t="s">
        <v>613</v>
      </c>
      <c r="F269" s="67" t="s">
        <v>1173</v>
      </c>
      <c r="G269" s="67" t="s">
        <v>1320</v>
      </c>
      <c r="H269" s="67" t="s">
        <v>1320</v>
      </c>
      <c r="I269" t="s">
        <v>1321</v>
      </c>
      <c r="J269" s="67">
        <f>VLOOKUP(표4[[#This Row],[Team]],표1[[내역]:[코스트 센터]],2,0)</f>
        <v>101323</v>
      </c>
      <c r="K269" s="67" t="str">
        <f>VLOOKUP(표4[[#This Row],[Project]],표2[],2,0)</f>
        <v>I100099999</v>
      </c>
    </row>
    <row r="270" spans="1:11">
      <c r="A270" t="s">
        <v>205</v>
      </c>
      <c r="B270" t="s">
        <v>543</v>
      </c>
      <c r="C270" s="67" t="s">
        <v>1099</v>
      </c>
      <c r="D270" s="67" t="s">
        <v>934</v>
      </c>
      <c r="E270" s="67" t="s">
        <v>674</v>
      </c>
      <c r="F270" t="s">
        <v>935</v>
      </c>
      <c r="G270" t="s">
        <v>1322</v>
      </c>
      <c r="H270" t="s">
        <v>1322</v>
      </c>
      <c r="I270" t="s">
        <v>1323</v>
      </c>
      <c r="J270" s="67">
        <f>VLOOKUP(표4[[#This Row],[Team]],표1[[내역]:[코스트 센터]],2,0)</f>
        <v>101609</v>
      </c>
      <c r="K270" s="67" t="str">
        <f>VLOOKUP(표4[[#This Row],[Project]],표2[],2,0)</f>
        <v>P100010048</v>
      </c>
    </row>
    <row r="271" spans="1:11">
      <c r="A271" t="s">
        <v>1324</v>
      </c>
      <c r="B271" t="s">
        <v>543</v>
      </c>
      <c r="C271" s="67" t="s">
        <v>1108</v>
      </c>
      <c r="D271" s="67" t="s">
        <v>1108</v>
      </c>
      <c r="E271" s="67" t="s">
        <v>1325</v>
      </c>
      <c r="G271" t="s">
        <v>1110</v>
      </c>
      <c r="H271" t="s">
        <v>1110</v>
      </c>
      <c r="I271" t="s">
        <v>1326</v>
      </c>
      <c r="J271" s="67" t="e">
        <f>VLOOKUP(표4[[#This Row],[Team]],표1[[내역]:[코스트 센터]],2,0)</f>
        <v>#N/A</v>
      </c>
      <c r="K271" s="67" t="e">
        <f>VLOOKUP(표4[[#This Row],[Project]],표2[],2,0)</f>
        <v>#N/A</v>
      </c>
    </row>
    <row r="272" spans="1:11">
      <c r="A272" t="s">
        <v>201</v>
      </c>
      <c r="B272" t="s">
        <v>543</v>
      </c>
      <c r="C272" s="67" t="s">
        <v>1099</v>
      </c>
      <c r="D272" s="67" t="s">
        <v>1327</v>
      </c>
      <c r="E272" s="67" t="s">
        <v>1328</v>
      </c>
      <c r="F272" s="67" t="s">
        <v>1173</v>
      </c>
      <c r="G272" t="s">
        <v>1329</v>
      </c>
      <c r="H272" t="s">
        <v>1329</v>
      </c>
      <c r="I272" t="s">
        <v>1330</v>
      </c>
      <c r="J272" s="67">
        <f>VLOOKUP(표4[[#This Row],[Team]],표1[[내역]:[코스트 센터]],2,0)</f>
        <v>102078</v>
      </c>
      <c r="K272" s="67" t="str">
        <f>VLOOKUP(표4[[#This Row],[Project]],표2[],2,0)</f>
        <v>I100099999</v>
      </c>
    </row>
    <row r="273" spans="1:11">
      <c r="A273" t="s">
        <v>164</v>
      </c>
      <c r="B273" t="s">
        <v>543</v>
      </c>
      <c r="C273" s="67" t="s">
        <v>1099</v>
      </c>
      <c r="D273" s="67" t="s">
        <v>1331</v>
      </c>
      <c r="E273" s="67" t="s">
        <v>1332</v>
      </c>
      <c r="F273" s="67" t="s">
        <v>1173</v>
      </c>
      <c r="G273" t="s">
        <v>1333</v>
      </c>
      <c r="H273" t="s">
        <v>1334</v>
      </c>
      <c r="I273" t="s">
        <v>1335</v>
      </c>
      <c r="J273" s="67">
        <f>VLOOKUP(표4[[#This Row],[Team]],표1[[내역]:[코스트 센터]],2,0)</f>
        <v>290008</v>
      </c>
      <c r="K273" s="67" t="str">
        <f>VLOOKUP(표4[[#This Row],[Project]],표2[],2,0)</f>
        <v>I100099999</v>
      </c>
    </row>
    <row r="274" spans="1:11">
      <c r="A274" t="s">
        <v>241</v>
      </c>
      <c r="B274" t="s">
        <v>543</v>
      </c>
      <c r="C274" s="67" t="s">
        <v>1108</v>
      </c>
      <c r="D274" s="67" t="s">
        <v>1108</v>
      </c>
      <c r="E274" s="67" t="s">
        <v>1325</v>
      </c>
      <c r="G274" t="s">
        <v>1110</v>
      </c>
      <c r="H274" t="s">
        <v>1110</v>
      </c>
      <c r="I274" t="s">
        <v>1326</v>
      </c>
      <c r="J274" s="67" t="e">
        <f>VLOOKUP(표4[[#This Row],[Team]],표1[[내역]:[코스트 센터]],2,0)</f>
        <v>#N/A</v>
      </c>
      <c r="K274" s="67" t="e">
        <f>VLOOKUP(표4[[#This Row],[Project]],표2[],2,0)</f>
        <v>#N/A</v>
      </c>
    </row>
    <row r="275" spans="1:11">
      <c r="A275" t="s">
        <v>65</v>
      </c>
      <c r="B275" t="s">
        <v>543</v>
      </c>
      <c r="C275" s="67" t="s">
        <v>1099</v>
      </c>
      <c r="D275" s="67" t="s">
        <v>542</v>
      </c>
      <c r="E275" s="67" t="s">
        <v>645</v>
      </c>
      <c r="F275" s="67" t="s">
        <v>1173</v>
      </c>
      <c r="G275" s="67" t="s">
        <v>1263</v>
      </c>
      <c r="H275" s="67" t="s">
        <v>1263</v>
      </c>
      <c r="I275" s="251" t="s">
        <v>1336</v>
      </c>
      <c r="J275" s="67">
        <f>VLOOKUP(표4[[#This Row],[Team]],표1[[내역]:[코스트 센터]],2,0)</f>
        <v>100024</v>
      </c>
      <c r="K275" s="67" t="str">
        <f>VLOOKUP(표4[[#This Row],[Project]],표2[],2,0)</f>
        <v>I100099999</v>
      </c>
    </row>
    <row r="276" spans="1:11">
      <c r="A276" t="s">
        <v>66</v>
      </c>
      <c r="B276" t="s">
        <v>543</v>
      </c>
      <c r="C276" s="67" t="s">
        <v>1099</v>
      </c>
      <c r="D276" s="67" t="s">
        <v>542</v>
      </c>
      <c r="E276" s="67" t="s">
        <v>645</v>
      </c>
      <c r="F276" s="67" t="s">
        <v>1173</v>
      </c>
      <c r="G276" s="67" t="s">
        <v>1263</v>
      </c>
      <c r="H276" s="67" t="s">
        <v>1263</v>
      </c>
      <c r="I276" s="251" t="s">
        <v>1336</v>
      </c>
      <c r="J276" s="67">
        <f>VLOOKUP(표4[[#This Row],[Team]],표1[[내역]:[코스트 센터]],2,0)</f>
        <v>100024</v>
      </c>
      <c r="K276" s="67" t="str">
        <f>VLOOKUP(표4[[#This Row],[Project]],표2[],2,0)</f>
        <v>I100099999</v>
      </c>
    </row>
    <row r="277" spans="1:11">
      <c r="A277" t="s">
        <v>67</v>
      </c>
      <c r="B277" t="s">
        <v>543</v>
      </c>
      <c r="C277" s="67" t="s">
        <v>1099</v>
      </c>
      <c r="D277" s="67" t="s">
        <v>542</v>
      </c>
      <c r="E277" s="67" t="s">
        <v>645</v>
      </c>
      <c r="F277" s="67" t="s">
        <v>1173</v>
      </c>
      <c r="G277" s="67" t="s">
        <v>1263</v>
      </c>
      <c r="H277" s="67" t="s">
        <v>1263</v>
      </c>
      <c r="I277" s="251" t="s">
        <v>1336</v>
      </c>
      <c r="J277" s="67">
        <f>VLOOKUP(표4[[#This Row],[Team]],표1[[내역]:[코스트 센터]],2,0)</f>
        <v>100024</v>
      </c>
      <c r="K277" s="67" t="str">
        <f>VLOOKUP(표4[[#This Row],[Project]],표2[],2,0)</f>
        <v>I100099999</v>
      </c>
    </row>
    <row r="278" spans="1:11">
      <c r="A278" s="251" t="s">
        <v>1337</v>
      </c>
      <c r="B278" t="s">
        <v>543</v>
      </c>
      <c r="C278" s="67" t="s">
        <v>1099</v>
      </c>
      <c r="D278" s="67" t="s">
        <v>542</v>
      </c>
      <c r="E278" s="67" t="s">
        <v>645</v>
      </c>
      <c r="F278" s="67" t="s">
        <v>1173</v>
      </c>
      <c r="G278" s="67" t="s">
        <v>1263</v>
      </c>
      <c r="H278" s="67" t="s">
        <v>1263</v>
      </c>
      <c r="I278" s="251" t="s">
        <v>1336</v>
      </c>
      <c r="J278" s="67">
        <f>VLOOKUP(표4[[#This Row],[Team]],표1[[내역]:[코스트 센터]],2,0)</f>
        <v>100024</v>
      </c>
      <c r="K278" s="67" t="str">
        <f>VLOOKUP(표4[[#This Row],[Project]],표2[],2,0)</f>
        <v>I100099999</v>
      </c>
    </row>
    <row r="279" spans="1:11">
      <c r="A279" t="s">
        <v>197</v>
      </c>
      <c r="B279" t="s">
        <v>543</v>
      </c>
      <c r="C279" s="67" t="s">
        <v>1099</v>
      </c>
      <c r="D279" s="67" t="s">
        <v>542</v>
      </c>
      <c r="E279" s="67" t="s">
        <v>943</v>
      </c>
      <c r="F279" s="67" t="s">
        <v>1173</v>
      </c>
      <c r="G279" s="67" t="s">
        <v>1069</v>
      </c>
      <c r="H279" s="67" t="s">
        <v>1070</v>
      </c>
      <c r="I279" t="s">
        <v>1338</v>
      </c>
      <c r="J279" s="67">
        <f>VLOOKUP(표4[[#This Row],[Team]],표1[[내역]:[코스트 센터]],2,0)</f>
        <v>100774</v>
      </c>
      <c r="K279" s="67" t="str">
        <f>VLOOKUP(표4[[#This Row],[Project]],표2[],2,0)</f>
        <v>I100099999</v>
      </c>
    </row>
    <row r="280" spans="1:11">
      <c r="A280" t="s">
        <v>1339</v>
      </c>
      <c r="B280" t="s">
        <v>543</v>
      </c>
      <c r="C280" s="67" t="s">
        <v>1099</v>
      </c>
      <c r="D280" s="67" t="s">
        <v>934</v>
      </c>
      <c r="E280" s="67" t="s">
        <v>1340</v>
      </c>
      <c r="F280" s="67" t="s">
        <v>1173</v>
      </c>
      <c r="G280" s="67" t="s">
        <v>1341</v>
      </c>
      <c r="H280" s="67" t="s">
        <v>1341</v>
      </c>
      <c r="I280" t="s">
        <v>1342</v>
      </c>
      <c r="J280" s="67">
        <f>VLOOKUP(표4[[#This Row],[Team]],표1[[내역]:[코스트 센터]],2,0)</f>
        <v>100424</v>
      </c>
      <c r="K280" s="67" t="str">
        <f>VLOOKUP(표4[[#This Row],[Project]],표2[],2,0)</f>
        <v>I100099999</v>
      </c>
    </row>
    <row r="281" spans="1:11">
      <c r="A281" t="s">
        <v>68</v>
      </c>
      <c r="B281" t="s">
        <v>543</v>
      </c>
      <c r="C281" s="67" t="s">
        <v>1099</v>
      </c>
      <c r="D281" s="67" t="s">
        <v>542</v>
      </c>
      <c r="E281" s="67" t="s">
        <v>645</v>
      </c>
      <c r="F281" s="67" t="s">
        <v>1173</v>
      </c>
      <c r="G281" s="67" t="s">
        <v>1263</v>
      </c>
      <c r="H281" s="67" t="s">
        <v>1263</v>
      </c>
      <c r="I281" t="s">
        <v>1343</v>
      </c>
      <c r="J281" s="67">
        <f>VLOOKUP(표4[[#This Row],[Team]],표1[[내역]:[코스트 센터]],2,0)</f>
        <v>100024</v>
      </c>
      <c r="K281" s="67" t="str">
        <f>VLOOKUP(표4[[#This Row],[Project]],표2[],2,0)</f>
        <v>I100099999</v>
      </c>
    </row>
    <row r="282" spans="1:11">
      <c r="A282" t="s">
        <v>196</v>
      </c>
      <c r="B282" t="s">
        <v>543</v>
      </c>
      <c r="C282" s="67" t="s">
        <v>1099</v>
      </c>
      <c r="D282" s="67" t="s">
        <v>542</v>
      </c>
      <c r="E282" s="67" t="s">
        <v>1315</v>
      </c>
      <c r="F282" s="67" t="s">
        <v>1173</v>
      </c>
      <c r="G282" s="67" t="s">
        <v>1316</v>
      </c>
      <c r="H282" s="67" t="s">
        <v>1316</v>
      </c>
      <c r="I282" t="s">
        <v>1344</v>
      </c>
      <c r="J282" s="67">
        <f>VLOOKUP(표4[[#This Row],[Team]],표1[[내역]:[코스트 센터]],2,0)</f>
        <v>105019</v>
      </c>
      <c r="K282" s="67" t="str">
        <f>VLOOKUP(표4[[#This Row],[Project]],표2[],2,0)</f>
        <v>I100099999</v>
      </c>
    </row>
    <row r="283" spans="1:11">
      <c r="A283" t="s">
        <v>1345</v>
      </c>
      <c r="B283" t="s">
        <v>543</v>
      </c>
      <c r="C283" s="67" t="s">
        <v>1099</v>
      </c>
      <c r="D283" s="67" t="s">
        <v>581</v>
      </c>
      <c r="E283" s="67" t="s">
        <v>1346</v>
      </c>
      <c r="F283" s="67" t="s">
        <v>1347</v>
      </c>
      <c r="G283" s="67" t="s">
        <v>1348</v>
      </c>
      <c r="H283" s="67" t="s">
        <v>1348</v>
      </c>
      <c r="I283" t="s">
        <v>1349</v>
      </c>
      <c r="J283" s="67">
        <f>VLOOKUP(표4[[#This Row],[Team]],표1[[내역]:[코스트 센터]],2,0)</f>
        <v>290062</v>
      </c>
      <c r="K283" s="67" t="str">
        <f>VLOOKUP(표4[[#This Row],[Project]],표2[],2,0)</f>
        <v>P100130183</v>
      </c>
    </row>
    <row r="284" spans="1:11">
      <c r="A284" s="146" t="s">
        <v>236</v>
      </c>
      <c r="B284" t="s">
        <v>543</v>
      </c>
      <c r="C284" s="67" t="s">
        <v>1099</v>
      </c>
      <c r="D284" s="67" t="s">
        <v>542</v>
      </c>
      <c r="E284" s="67" t="s">
        <v>1312</v>
      </c>
      <c r="F284" s="67" t="s">
        <v>1173</v>
      </c>
      <c r="G284" s="67" t="s">
        <v>1350</v>
      </c>
      <c r="H284" s="67" t="s">
        <v>1350</v>
      </c>
      <c r="I284" t="s">
        <v>1351</v>
      </c>
      <c r="J284" s="67">
        <f>VLOOKUP(표4[[#This Row],[Team]],표1[[내역]:[코스트 센터]],2,0)</f>
        <v>101505</v>
      </c>
      <c r="K284" s="67" t="str">
        <f>VLOOKUP(표4[[#This Row],[Project]],표2[],2,0)</f>
        <v>I100099999</v>
      </c>
    </row>
    <row r="285" spans="1:11">
      <c r="A285" s="182" t="s">
        <v>1352</v>
      </c>
      <c r="B285" t="s">
        <v>543</v>
      </c>
      <c r="C285" s="67" t="s">
        <v>1099</v>
      </c>
      <c r="D285" s="67" t="s">
        <v>1353</v>
      </c>
      <c r="E285" s="67" t="s">
        <v>1354</v>
      </c>
      <c r="F285" s="67" t="s">
        <v>1173</v>
      </c>
      <c r="G285" s="67" t="s">
        <v>1355</v>
      </c>
      <c r="H285" s="67" t="s">
        <v>1355</v>
      </c>
      <c r="I285" t="s">
        <v>1356</v>
      </c>
      <c r="J285" s="67">
        <f>VLOOKUP(표4[[#This Row],[Team]],표1[[내역]:[코스트 센터]],2,0)</f>
        <v>540002</v>
      </c>
      <c r="K285" s="67" t="str">
        <f>VLOOKUP(표4[[#This Row],[Project]],표2[],2,0)</f>
        <v>I100099999</v>
      </c>
    </row>
    <row r="286" spans="1:11">
      <c r="A286" t="s">
        <v>1357</v>
      </c>
      <c r="B286" t="s">
        <v>543</v>
      </c>
      <c r="C286" s="67" t="s">
        <v>1099</v>
      </c>
      <c r="D286" s="67" t="s">
        <v>934</v>
      </c>
      <c r="E286" t="s">
        <v>1340</v>
      </c>
      <c r="F286" s="67" t="s">
        <v>1173</v>
      </c>
      <c r="G286" s="67" t="s">
        <v>1341</v>
      </c>
      <c r="H286" s="67" t="s">
        <v>1341</v>
      </c>
      <c r="I286" t="s">
        <v>1342</v>
      </c>
      <c r="J286" s="67">
        <f>VLOOKUP(표4[[#This Row],[Team]],표1[[내역]:[코스트 센터]],2,0)</f>
        <v>100424</v>
      </c>
      <c r="K286" s="67" t="str">
        <f>VLOOKUP(표4[[#This Row],[Project]],표2[],2,0)</f>
        <v>I100099999</v>
      </c>
    </row>
    <row r="287" spans="1:11">
      <c r="A287" t="s">
        <v>1358</v>
      </c>
      <c r="B287" t="s">
        <v>543</v>
      </c>
      <c r="C287" s="67" t="s">
        <v>1099</v>
      </c>
      <c r="D287" s="67" t="s">
        <v>542</v>
      </c>
      <c r="E287" t="s">
        <v>1359</v>
      </c>
      <c r="F287" s="67" t="s">
        <v>1173</v>
      </c>
      <c r="G287" s="67" t="s">
        <v>1360</v>
      </c>
      <c r="H287" s="67" t="s">
        <v>1360</v>
      </c>
      <c r="I287" t="s">
        <v>1361</v>
      </c>
      <c r="J287" s="67">
        <f>VLOOKUP(표4[[#This Row],[Team]],표1[[내역]:[코스트 센터]],2,0)</f>
        <v>101050</v>
      </c>
      <c r="K287" s="67" t="str">
        <f>VLOOKUP(표4[[#This Row],[Project]],표2[],2,0)</f>
        <v>I100099999</v>
      </c>
    </row>
    <row r="288" spans="1:11">
      <c r="A288" t="s">
        <v>1362</v>
      </c>
      <c r="B288" t="s">
        <v>543</v>
      </c>
      <c r="C288" s="145" t="s">
        <v>744</v>
      </c>
      <c r="D288" s="145" t="s">
        <v>744</v>
      </c>
      <c r="J288" s="67" t="e">
        <f>VLOOKUP(표4[[#This Row],[Team]],표1[[내역]:[코스트 센터]],2,0)</f>
        <v>#N/A</v>
      </c>
      <c r="K288" s="67" t="e">
        <f>VLOOKUP(표4[[#This Row],[Project]],표2[],2,0)</f>
        <v>#N/A</v>
      </c>
    </row>
    <row r="289" spans="1:11">
      <c r="A289" s="251" t="s">
        <v>284</v>
      </c>
      <c r="B289" t="s">
        <v>543</v>
      </c>
      <c r="C289" s="67" t="s">
        <v>1099</v>
      </c>
      <c r="D289" s="67" t="s">
        <v>542</v>
      </c>
      <c r="E289" s="67" t="s">
        <v>542</v>
      </c>
      <c r="F289" s="67" t="s">
        <v>1173</v>
      </c>
      <c r="G289" s="67" t="s">
        <v>792</v>
      </c>
      <c r="H289" s="67" t="s">
        <v>792</v>
      </c>
      <c r="J289" s="67">
        <f>VLOOKUP(표4[[#This Row],[Team]],표1[[내역]:[코스트 센터]],2,0)</f>
        <v>100009</v>
      </c>
      <c r="K289" s="67" t="str">
        <f>VLOOKUP(표4[[#This Row],[Project]],표2[],2,0)</f>
        <v>I100099999</v>
      </c>
    </row>
    <row r="290" spans="1:11">
      <c r="A290" s="251" t="s">
        <v>232</v>
      </c>
      <c r="B290" t="s">
        <v>543</v>
      </c>
      <c r="C290" s="67" t="s">
        <v>1099</v>
      </c>
      <c r="D290" s="67" t="s">
        <v>934</v>
      </c>
      <c r="E290" t="s">
        <v>943</v>
      </c>
      <c r="F290" s="67" t="s">
        <v>1168</v>
      </c>
      <c r="G290" s="67" t="s">
        <v>1093</v>
      </c>
      <c r="H290" s="67" t="s">
        <v>1093</v>
      </c>
      <c r="I290" s="251" t="s">
        <v>1363</v>
      </c>
      <c r="J290" s="67">
        <f>VLOOKUP(표4[[#This Row],[Team]],표1[[내역]:[코스트 센터]],2,0)</f>
        <v>100774</v>
      </c>
      <c r="K290" s="67" t="str">
        <f>VLOOKUP(표4[[#This Row],[Project]],표2[],2,0)</f>
        <v>P100030092</v>
      </c>
    </row>
    <row r="291" spans="1:11">
      <c r="A291" s="251" t="s">
        <v>162</v>
      </c>
      <c r="B291" t="s">
        <v>543</v>
      </c>
      <c r="C291" s="67" t="s">
        <v>1099</v>
      </c>
      <c r="D291" s="67" t="s">
        <v>1331</v>
      </c>
      <c r="E291" t="s">
        <v>1346</v>
      </c>
      <c r="F291" s="67" t="s">
        <v>1347</v>
      </c>
      <c r="G291" s="67" t="s">
        <v>1364</v>
      </c>
      <c r="H291" s="67" t="s">
        <v>1364</v>
      </c>
      <c r="I291" s="251" t="s">
        <v>1365</v>
      </c>
      <c r="J291" s="67">
        <f>VLOOKUP(표4[[#This Row],[Team]],표1[[내역]:[코스트 센터]],2,0)</f>
        <v>290062</v>
      </c>
      <c r="K291" s="67" t="str">
        <f>VLOOKUP(표4[[#This Row],[Project]],표2[],2,0)</f>
        <v>P100130183</v>
      </c>
    </row>
    <row r="292" spans="1:11">
      <c r="A292" s="251" t="s">
        <v>216</v>
      </c>
      <c r="B292" t="s">
        <v>543</v>
      </c>
      <c r="C292" s="67" t="s">
        <v>1099</v>
      </c>
      <c r="D292" s="67" t="s">
        <v>934</v>
      </c>
      <c r="E292" t="s">
        <v>943</v>
      </c>
      <c r="F292" s="67" t="s">
        <v>1366</v>
      </c>
      <c r="G292" s="67" t="s">
        <v>1093</v>
      </c>
      <c r="H292" s="67" t="s">
        <v>1093</v>
      </c>
      <c r="I292" s="251" t="s">
        <v>1363</v>
      </c>
      <c r="J292" s="67">
        <f>VLOOKUP(표4[[#This Row],[Team]],표1[[내역]:[코스트 센터]],2,0)</f>
        <v>100774</v>
      </c>
      <c r="K292" s="67" t="str">
        <f>VLOOKUP(표4[[#This Row],[Project]],표2[],2,0)</f>
        <v>P100010091</v>
      </c>
    </row>
    <row r="293" spans="1:11">
      <c r="A293" s="251" t="s">
        <v>89</v>
      </c>
      <c r="B293" t="s">
        <v>543</v>
      </c>
      <c r="C293" s="145" t="s">
        <v>744</v>
      </c>
      <c r="D293" s="145" t="s">
        <v>744</v>
      </c>
      <c r="F293" s="67"/>
      <c r="G293" s="67"/>
      <c r="H293" s="67"/>
      <c r="J293" s="67" t="e">
        <f>VLOOKUP(표4[[#This Row],[Team]],표1[[내역]:[코스트 센터]],2,0)</f>
        <v>#N/A</v>
      </c>
      <c r="K293" s="67" t="e">
        <f>VLOOKUP(표4[[#This Row],[Project]],표2[],2,0)</f>
        <v>#N/A</v>
      </c>
    </row>
    <row r="294" spans="1:11">
      <c r="A294" s="251" t="s">
        <v>154</v>
      </c>
      <c r="B294" t="s">
        <v>543</v>
      </c>
      <c r="C294" s="67" t="s">
        <v>1117</v>
      </c>
      <c r="D294" s="67" t="s">
        <v>1117</v>
      </c>
      <c r="F294" s="67"/>
      <c r="G294" s="67" t="s">
        <v>1119</v>
      </c>
      <c r="H294" s="67" t="s">
        <v>1119</v>
      </c>
      <c r="I294" s="251" t="s">
        <v>1367</v>
      </c>
      <c r="J294" s="67" t="e">
        <f>VLOOKUP(표4[[#This Row],[Team]],표1[[내역]:[코스트 센터]],2,0)</f>
        <v>#N/A</v>
      </c>
      <c r="K294" s="67" t="e">
        <f>VLOOKUP(표4[[#This Row],[Project]],표2[],2,0)</f>
        <v>#N/A</v>
      </c>
    </row>
    <row r="295" spans="1:11">
      <c r="A295" s="251" t="s">
        <v>249</v>
      </c>
      <c r="B295" t="s">
        <v>543</v>
      </c>
      <c r="C295" s="67" t="s">
        <v>1099</v>
      </c>
      <c r="D295" s="67" t="s">
        <v>1368</v>
      </c>
      <c r="E295" t="s">
        <v>1369</v>
      </c>
      <c r="F295" s="67" t="s">
        <v>1173</v>
      </c>
      <c r="G295" s="67" t="s">
        <v>1370</v>
      </c>
      <c r="H295" s="67" t="s">
        <v>1370</v>
      </c>
      <c r="I295" s="251" t="s">
        <v>1371</v>
      </c>
      <c r="J295" s="67">
        <f>VLOOKUP(표4[[#This Row],[Team]],표1[[내역]:[코스트 센터]],2,0)</f>
        <v>290069</v>
      </c>
      <c r="K295" s="67" t="str">
        <f>VLOOKUP(표4[[#This Row],[Project]],표2[],2,0)</f>
        <v>I100099999</v>
      </c>
    </row>
    <row r="296" spans="1:11">
      <c r="A296" s="251" t="s">
        <v>199</v>
      </c>
      <c r="B296" t="s">
        <v>543</v>
      </c>
      <c r="C296" s="67" t="s">
        <v>1099</v>
      </c>
      <c r="D296" s="67" t="s">
        <v>542</v>
      </c>
      <c r="E296" s="67" t="s">
        <v>542</v>
      </c>
      <c r="F296" s="67" t="s">
        <v>1173</v>
      </c>
      <c r="G296" s="67" t="s">
        <v>792</v>
      </c>
      <c r="H296" s="67" t="s">
        <v>792</v>
      </c>
      <c r="I296" s="251" t="s">
        <v>1372</v>
      </c>
      <c r="J296" s="67">
        <f>VLOOKUP(표4[[#This Row],[Team]],표1[[내역]:[코스트 센터]],2,0)</f>
        <v>100009</v>
      </c>
      <c r="K296" s="67" t="str">
        <f>VLOOKUP(표4[[#This Row],[Project]],표2[],2,0)</f>
        <v>I100099999</v>
      </c>
    </row>
    <row r="297" spans="1:11">
      <c r="A297" s="251" t="s">
        <v>137</v>
      </c>
      <c r="B297" t="s">
        <v>543</v>
      </c>
      <c r="C297" s="67" t="s">
        <v>1099</v>
      </c>
      <c r="D297" s="67" t="s">
        <v>542</v>
      </c>
      <c r="E297" t="s">
        <v>1373</v>
      </c>
      <c r="F297" s="67" t="s">
        <v>1173</v>
      </c>
      <c r="G297" s="67" t="s">
        <v>1374</v>
      </c>
      <c r="H297" s="67" t="s">
        <v>1374</v>
      </c>
      <c r="I297" s="251" t="s">
        <v>1375</v>
      </c>
      <c r="J297" s="67">
        <f>VLOOKUP(표4[[#This Row],[Team]],표1[[내역]:[코스트 센터]],2,0)</f>
        <v>101671</v>
      </c>
      <c r="K297" s="67" t="str">
        <f>VLOOKUP(표4[[#This Row],[Project]],표2[],2,0)</f>
        <v>I100099999</v>
      </c>
    </row>
    <row r="298" spans="1:11">
      <c r="A298" s="251" t="s">
        <v>210</v>
      </c>
      <c r="B298" t="s">
        <v>543</v>
      </c>
      <c r="C298" s="67" t="s">
        <v>1099</v>
      </c>
      <c r="D298" s="67" t="s">
        <v>1376</v>
      </c>
      <c r="E298" t="s">
        <v>1377</v>
      </c>
      <c r="F298" s="67" t="s">
        <v>1378</v>
      </c>
      <c r="G298" s="67" t="s">
        <v>1379</v>
      </c>
      <c r="H298" s="67" t="s">
        <v>1379</v>
      </c>
      <c r="I298" s="251" t="s">
        <v>1380</v>
      </c>
      <c r="J298" s="67">
        <f>VLOOKUP(표4[[#This Row],[Team]],표1[[내역]:[코스트 센터]],2,0)</f>
        <v>107017</v>
      </c>
      <c r="K298" s="67" t="str">
        <f>VLOOKUP(표4[[#This Row],[Project]],표2[],2,0)</f>
        <v>P100010146</v>
      </c>
    </row>
    <row r="299" spans="1:11">
      <c r="A299" s="251" t="s">
        <v>189</v>
      </c>
      <c r="B299" t="s">
        <v>543</v>
      </c>
      <c r="C299" s="67" t="s">
        <v>1099</v>
      </c>
      <c r="D299" s="67" t="s">
        <v>542</v>
      </c>
      <c r="E299" t="s">
        <v>1287</v>
      </c>
      <c r="F299" s="67" t="s">
        <v>1173</v>
      </c>
      <c r="G299" s="67" t="s">
        <v>1381</v>
      </c>
      <c r="H299" s="67" t="s">
        <v>1381</v>
      </c>
      <c r="I299" s="251" t="s">
        <v>1382</v>
      </c>
      <c r="J299" s="67">
        <f>VLOOKUP(표4[[#This Row],[Team]],표1[[내역]:[코스트 센터]],2,0)</f>
        <v>100037</v>
      </c>
      <c r="K299" s="67" t="str">
        <f>VLOOKUP(표4[[#This Row],[Project]],표2[],2,0)</f>
        <v>I100099999</v>
      </c>
    </row>
    <row r="300" spans="1:11">
      <c r="A300" s="251" t="s">
        <v>1383</v>
      </c>
      <c r="B300" t="s">
        <v>543</v>
      </c>
      <c r="C300" s="67" t="s">
        <v>1099</v>
      </c>
      <c r="D300" s="67" t="s">
        <v>542</v>
      </c>
      <c r="E300" t="s">
        <v>1384</v>
      </c>
      <c r="F300" s="67" t="s">
        <v>1385</v>
      </c>
      <c r="G300" s="67" t="s">
        <v>878</v>
      </c>
      <c r="H300" s="67" t="s">
        <v>878</v>
      </c>
      <c r="I300" s="251" t="s">
        <v>1386</v>
      </c>
      <c r="J300" s="67">
        <f>VLOOKUP(표4[[#This Row],[Team]],표1[[내역]:[코스트 센터]],2,0)</f>
        <v>101685</v>
      </c>
      <c r="K300" s="67" t="str">
        <f>VLOOKUP(표4[[#This Row],[Project]],표2[],2,0)</f>
        <v>I100090813</v>
      </c>
    </row>
    <row r="301" spans="1:11">
      <c r="A301" s="251" t="s">
        <v>207</v>
      </c>
      <c r="B301" t="s">
        <v>543</v>
      </c>
      <c r="C301" s="67" t="s">
        <v>1099</v>
      </c>
      <c r="D301" s="67" t="s">
        <v>542</v>
      </c>
      <c r="E301" t="s">
        <v>656</v>
      </c>
      <c r="F301" s="67" t="s">
        <v>1173</v>
      </c>
      <c r="G301" s="67" t="s">
        <v>1387</v>
      </c>
      <c r="H301" s="67" t="s">
        <v>1387</v>
      </c>
      <c r="I301" s="251" t="s">
        <v>1388</v>
      </c>
      <c r="J301" s="67">
        <f>VLOOKUP(표4[[#This Row],[Team]],표1[[내역]:[코스트 센터]],2,0)</f>
        <v>101993</v>
      </c>
      <c r="K301" s="67" t="str">
        <f>VLOOKUP(표4[[#This Row],[Project]],표2[],2,0)</f>
        <v>I100099999</v>
      </c>
    </row>
    <row r="302" spans="1:11">
      <c r="A302" s="251" t="s">
        <v>1389</v>
      </c>
      <c r="B302" t="s">
        <v>543</v>
      </c>
      <c r="C302" s="67" t="s">
        <v>1099</v>
      </c>
      <c r="D302" s="67" t="s">
        <v>542</v>
      </c>
      <c r="E302" t="s">
        <v>1265</v>
      </c>
      <c r="F302" s="67" t="s">
        <v>1390</v>
      </c>
      <c r="G302" s="67" t="s">
        <v>1106</v>
      </c>
      <c r="H302" s="67" t="s">
        <v>1106</v>
      </c>
      <c r="I302" s="251" t="s">
        <v>1391</v>
      </c>
      <c r="J302" s="67">
        <f>VLOOKUP(표4[[#This Row],[Team]],표1[[내역]:[코스트 센터]],2,0)</f>
        <v>100415</v>
      </c>
      <c r="K302" s="67" t="str">
        <f>VLOOKUP(표4[[#This Row],[Project]],표2[],2,0)</f>
        <v xml:space="preserve"> I100090831</v>
      </c>
    </row>
    <row r="303" spans="1:11">
      <c r="A303" s="251" t="s">
        <v>132</v>
      </c>
      <c r="B303" t="s">
        <v>543</v>
      </c>
      <c r="C303" s="67" t="s">
        <v>1099</v>
      </c>
      <c r="D303" s="67" t="s">
        <v>1392</v>
      </c>
      <c r="E303" t="s">
        <v>1393</v>
      </c>
      <c r="F303" s="67" t="s">
        <v>1173</v>
      </c>
      <c r="G303" s="67" t="s">
        <v>1394</v>
      </c>
      <c r="H303" s="67" t="s">
        <v>1394</v>
      </c>
      <c r="I303" s="251" t="s">
        <v>1395</v>
      </c>
      <c r="J303" s="67">
        <f>VLOOKUP(표4[[#This Row],[Team]],표1[[내역]:[코스트 센터]],2,0)</f>
        <v>600002</v>
      </c>
      <c r="K303" s="67" t="str">
        <f>VLOOKUP(표4[[#This Row],[Project]],표2[],2,0)</f>
        <v>I100099999</v>
      </c>
    </row>
    <row r="304" spans="1:11">
      <c r="A304" s="251" t="s">
        <v>192</v>
      </c>
      <c r="B304" t="s">
        <v>543</v>
      </c>
      <c r="C304" s="67" t="s">
        <v>1099</v>
      </c>
      <c r="D304" s="67" t="s">
        <v>542</v>
      </c>
      <c r="E304" t="s">
        <v>1396</v>
      </c>
      <c r="F304" s="67" t="s">
        <v>1173</v>
      </c>
      <c r="G304" s="67" t="s">
        <v>1397</v>
      </c>
      <c r="H304" s="67" t="s">
        <v>1397</v>
      </c>
      <c r="I304" s="251" t="s">
        <v>1398</v>
      </c>
      <c r="J304" s="67">
        <f>VLOOKUP(표4[[#This Row],[Team]],표1[[내역]:[코스트 센터]],2,0)</f>
        <v>101568</v>
      </c>
      <c r="K304" s="67" t="str">
        <f>VLOOKUP(표4[[#This Row],[Project]],표2[],2,0)</f>
        <v>I100099999</v>
      </c>
    </row>
    <row r="305" spans="1:11">
      <c r="A305" s="251" t="s">
        <v>202</v>
      </c>
      <c r="B305" t="s">
        <v>543</v>
      </c>
      <c r="C305" s="67" t="s">
        <v>1099</v>
      </c>
      <c r="D305" s="67" t="s">
        <v>1327</v>
      </c>
      <c r="E305" t="s">
        <v>1399</v>
      </c>
      <c r="F305" s="67" t="s">
        <v>1173</v>
      </c>
      <c r="G305" s="67" t="s">
        <v>1329</v>
      </c>
      <c r="H305" s="67" t="s">
        <v>1329</v>
      </c>
      <c r="I305" s="251" t="s">
        <v>1400</v>
      </c>
      <c r="J305" s="67">
        <f>VLOOKUP(표4[[#This Row],[Team]],표1[[내역]:[코스트 센터]],2,0)</f>
        <v>102078</v>
      </c>
      <c r="K305" s="67" t="str">
        <f>VLOOKUP(표4[[#This Row],[Project]],표2[],2,0)</f>
        <v>I100099999</v>
      </c>
    </row>
    <row r="306" spans="1:11">
      <c r="A306" t="s">
        <v>90</v>
      </c>
      <c r="B306" t="s">
        <v>543</v>
      </c>
      <c r="C306" s="67" t="s">
        <v>1401</v>
      </c>
      <c r="D306" s="145" t="s">
        <v>744</v>
      </c>
      <c r="F306" s="67"/>
      <c r="G306" s="67"/>
      <c r="H306" s="67"/>
      <c r="J306" s="67" t="e">
        <f>VLOOKUP(표4[[#This Row],[Team]],표1[[내역]:[코스트 센터]],2,0)</f>
        <v>#N/A</v>
      </c>
      <c r="K306" s="67" t="e">
        <f>VLOOKUP(표4[[#This Row],[Project]],표2[],2,0)</f>
        <v>#N/A</v>
      </c>
    </row>
    <row r="307" spans="1:11">
      <c r="A307" t="s">
        <v>209</v>
      </c>
      <c r="B307" t="s">
        <v>543</v>
      </c>
      <c r="C307" s="67" t="s">
        <v>1099</v>
      </c>
      <c r="D307" s="67" t="s">
        <v>542</v>
      </c>
      <c r="E307" t="s">
        <v>1402</v>
      </c>
      <c r="F307" s="67" t="s">
        <v>1385</v>
      </c>
      <c r="G307" s="67" t="s">
        <v>1403</v>
      </c>
      <c r="H307" s="67" t="s">
        <v>1403</v>
      </c>
      <c r="I307" s="251" t="s">
        <v>1404</v>
      </c>
      <c r="J307" s="67">
        <f>VLOOKUP(표4[[#This Row],[Team]],표1[[내역]:[코스트 센터]],2,0)</f>
        <v>101313</v>
      </c>
      <c r="K307" s="67" t="str">
        <f>VLOOKUP(표4[[#This Row],[Project]],표2[],2,0)</f>
        <v>I100090813</v>
      </c>
    </row>
    <row r="308" spans="1:11">
      <c r="A308" s="251" t="s">
        <v>1405</v>
      </c>
      <c r="B308" t="s">
        <v>543</v>
      </c>
      <c r="C308" s="67" t="s">
        <v>1099</v>
      </c>
      <c r="D308" s="67" t="s">
        <v>542</v>
      </c>
      <c r="E308" t="s">
        <v>1406</v>
      </c>
      <c r="F308" s="67" t="s">
        <v>1173</v>
      </c>
      <c r="G308" s="67" t="s">
        <v>1407</v>
      </c>
      <c r="H308" s="67" t="s">
        <v>1407</v>
      </c>
      <c r="I308" s="251" t="s">
        <v>1408</v>
      </c>
      <c r="J308" s="67">
        <f>VLOOKUP(표4[[#This Row],[Team]],표1[[내역]:[코스트 센터]],2,0)</f>
        <v>100071</v>
      </c>
      <c r="K308" s="67" t="str">
        <f>VLOOKUP(표4[[#This Row],[Project]],표2[],2,0)</f>
        <v>I100099999</v>
      </c>
    </row>
    <row r="309" spans="1:11">
      <c r="A309" s="251" t="s">
        <v>1409</v>
      </c>
      <c r="B309" t="s">
        <v>543</v>
      </c>
      <c r="C309" s="67" t="s">
        <v>1099</v>
      </c>
      <c r="D309" s="67" t="s">
        <v>926</v>
      </c>
      <c r="E309" t="s">
        <v>1410</v>
      </c>
      <c r="F309" s="67" t="s">
        <v>927</v>
      </c>
      <c r="G309" s="67" t="s">
        <v>1272</v>
      </c>
      <c r="H309" s="67" t="s">
        <v>1272</v>
      </c>
      <c r="I309" s="251" t="s">
        <v>1411</v>
      </c>
      <c r="J309" s="67">
        <f>VLOOKUP(표4[[#This Row],[Team]],표1[[내역]:[코스트 센터]],2,0)</f>
        <v>150108</v>
      </c>
      <c r="K309" s="67" t="str">
        <f>VLOOKUP(표4[[#This Row],[Project]],표2[],2,0)</f>
        <v>P100020081</v>
      </c>
    </row>
    <row r="310" spans="1:11">
      <c r="A310" s="251" t="s">
        <v>1412</v>
      </c>
      <c r="B310" t="s">
        <v>543</v>
      </c>
      <c r="C310" s="67" t="s">
        <v>1099</v>
      </c>
      <c r="D310" s="67" t="s">
        <v>926</v>
      </c>
      <c r="E310" t="s">
        <v>1410</v>
      </c>
      <c r="F310" s="67" t="s">
        <v>927</v>
      </c>
      <c r="G310" s="67" t="s">
        <v>1272</v>
      </c>
      <c r="H310" s="67" t="s">
        <v>1272</v>
      </c>
      <c r="I310" s="251" t="s">
        <v>1411</v>
      </c>
      <c r="J310" s="67">
        <f>VLOOKUP(표4[[#This Row],[Team]],표1[[내역]:[코스트 센터]],2,0)</f>
        <v>150108</v>
      </c>
      <c r="K310" s="67" t="str">
        <f>VLOOKUP(표4[[#This Row],[Project]],표2[],2,0)</f>
        <v>P100020081</v>
      </c>
    </row>
    <row r="311" spans="1:11">
      <c r="A311" s="251" t="s">
        <v>1413</v>
      </c>
      <c r="B311" t="s">
        <v>543</v>
      </c>
      <c r="C311" s="67" t="s">
        <v>1099</v>
      </c>
      <c r="D311" s="67" t="s">
        <v>1376</v>
      </c>
      <c r="E311" t="s">
        <v>1414</v>
      </c>
      <c r="F311" s="67" t="s">
        <v>1173</v>
      </c>
      <c r="G311" s="67" t="s">
        <v>1415</v>
      </c>
      <c r="H311" s="67" t="s">
        <v>1415</v>
      </c>
      <c r="I311" s="251" t="s">
        <v>1416</v>
      </c>
      <c r="J311" s="67" t="e">
        <f>VLOOKUP(표4[[#This Row],[Team]],표1[[내역]:[코스트 센터]],2,0)</f>
        <v>#N/A</v>
      </c>
      <c r="K311" s="67" t="str">
        <f>VLOOKUP(표4[[#This Row],[Project]],표2[],2,0)</f>
        <v>I100099999</v>
      </c>
    </row>
    <row r="312" spans="1:11">
      <c r="A312" s="251" t="s">
        <v>1417</v>
      </c>
      <c r="B312" t="s">
        <v>543</v>
      </c>
      <c r="C312" s="67" t="s">
        <v>1099</v>
      </c>
      <c r="D312" s="67" t="s">
        <v>1331</v>
      </c>
      <c r="E312" t="s">
        <v>1346</v>
      </c>
      <c r="F312" s="67" t="s">
        <v>1173</v>
      </c>
      <c r="G312" s="67" t="s">
        <v>1348</v>
      </c>
      <c r="H312" s="67" t="s">
        <v>1348</v>
      </c>
      <c r="I312" s="251" t="s">
        <v>1418</v>
      </c>
      <c r="J312" s="67">
        <f>VLOOKUP(표4[[#This Row],[Team]],표1[[내역]:[코스트 센터]],2,0)</f>
        <v>290062</v>
      </c>
      <c r="K312" s="67" t="str">
        <f>VLOOKUP(표4[[#This Row],[Project]],표2[],2,0)</f>
        <v>I100099999</v>
      </c>
    </row>
    <row r="313" spans="1:11">
      <c r="A313" s="251" t="s">
        <v>1419</v>
      </c>
      <c r="B313" t="s">
        <v>543</v>
      </c>
      <c r="C313" s="67" t="s">
        <v>1099</v>
      </c>
      <c r="D313" s="67" t="s">
        <v>542</v>
      </c>
      <c r="E313" t="s">
        <v>1420</v>
      </c>
      <c r="F313" s="67" t="s">
        <v>1173</v>
      </c>
      <c r="G313" s="67" t="s">
        <v>1421</v>
      </c>
      <c r="H313" s="67" t="s">
        <v>1421</v>
      </c>
      <c r="I313" s="251" t="s">
        <v>1422</v>
      </c>
      <c r="J313" s="67">
        <f>VLOOKUP(표4[[#This Row],[Team]],표1[[내역]:[코스트 센터]],2,0)</f>
        <v>101082</v>
      </c>
      <c r="K313" s="67" t="str">
        <f>VLOOKUP(표4[[#This Row],[Project]],표2[],2,0)</f>
        <v>I100099999</v>
      </c>
    </row>
    <row r="314" spans="1:11">
      <c r="A314" s="251" t="s">
        <v>1423</v>
      </c>
      <c r="B314" t="s">
        <v>543</v>
      </c>
      <c r="C314" s="67" t="s">
        <v>1099</v>
      </c>
      <c r="D314" s="67" t="s">
        <v>542</v>
      </c>
      <c r="E314" t="s">
        <v>1424</v>
      </c>
      <c r="F314" s="67" t="s">
        <v>1173</v>
      </c>
      <c r="G314" s="67" t="s">
        <v>1425</v>
      </c>
      <c r="H314" s="67" t="s">
        <v>1425</v>
      </c>
      <c r="I314" s="251" t="s">
        <v>1426</v>
      </c>
      <c r="J314" s="67">
        <f>VLOOKUP(표4[[#This Row],[Team]],표1[[내역]:[코스트 센터]],2,0)</f>
        <v>101867</v>
      </c>
      <c r="K314" s="67" t="str">
        <f>VLOOKUP(표4[[#This Row],[Project]],표2[],2,0)</f>
        <v>I100099999</v>
      </c>
    </row>
    <row r="315" spans="1:11">
      <c r="A315" s="251" t="s">
        <v>1427</v>
      </c>
      <c r="B315" t="s">
        <v>543</v>
      </c>
      <c r="C315" s="67" t="s">
        <v>1401</v>
      </c>
      <c r="D315" s="145" t="s">
        <v>744</v>
      </c>
      <c r="F315" s="67"/>
      <c r="G315" s="67"/>
      <c r="H315" s="67"/>
      <c r="J315" s="67" t="e">
        <f>VLOOKUP(표4[[#This Row],[Team]],표1[[내역]:[코스트 센터]],2,0)</f>
        <v>#N/A</v>
      </c>
      <c r="K315" s="67" t="e">
        <f>VLOOKUP(표4[[#This Row],[Project]],표2[],2,0)</f>
        <v>#N/A</v>
      </c>
    </row>
    <row r="316" spans="1:11">
      <c r="A316" s="251" t="s">
        <v>1428</v>
      </c>
      <c r="B316" t="s">
        <v>543</v>
      </c>
      <c r="C316" s="67" t="s">
        <v>1099</v>
      </c>
      <c r="D316" s="67" t="s">
        <v>1429</v>
      </c>
      <c r="E316" t="s">
        <v>1430</v>
      </c>
      <c r="F316" s="67" t="s">
        <v>1173</v>
      </c>
      <c r="G316" s="67" t="s">
        <v>1431</v>
      </c>
      <c r="H316" s="67" t="s">
        <v>1431</v>
      </c>
      <c r="I316" s="251" t="s">
        <v>1432</v>
      </c>
      <c r="J316" s="67" t="e">
        <f>VLOOKUP(표4[[#This Row],[Team]],표1[[내역]:[코스트 센터]],2,0)</f>
        <v>#N/A</v>
      </c>
      <c r="K316" s="67" t="str">
        <f>VLOOKUP(표4[[#This Row],[Project]],표2[],2,0)</f>
        <v>I100099999</v>
      </c>
    </row>
    <row r="317" spans="1:11">
      <c r="A317" s="251" t="s">
        <v>1433</v>
      </c>
      <c r="B317" t="s">
        <v>543</v>
      </c>
      <c r="C317" s="67" t="s">
        <v>1099</v>
      </c>
      <c r="D317" s="67" t="s">
        <v>542</v>
      </c>
      <c r="E317" t="s">
        <v>1434</v>
      </c>
      <c r="F317" s="67" t="s">
        <v>1173</v>
      </c>
      <c r="G317" s="67" t="s">
        <v>1435</v>
      </c>
      <c r="H317" s="67" t="s">
        <v>1435</v>
      </c>
      <c r="I317" s="251" t="s">
        <v>1436</v>
      </c>
      <c r="J317" s="67">
        <f>VLOOKUP(표4[[#This Row],[Team]],표1[[내역]:[코스트 센터]],2,0)</f>
        <v>101251</v>
      </c>
      <c r="K317" s="67" t="str">
        <f>VLOOKUP(표4[[#This Row],[Project]],표2[],2,0)</f>
        <v>I100099999</v>
      </c>
    </row>
    <row r="318" spans="1:11">
      <c r="A318" s="251" t="s">
        <v>1437</v>
      </c>
      <c r="B318" t="s">
        <v>543</v>
      </c>
      <c r="C318" s="67" t="s">
        <v>1099</v>
      </c>
      <c r="D318" s="67" t="s">
        <v>542</v>
      </c>
      <c r="E318" t="s">
        <v>1438</v>
      </c>
      <c r="F318" s="67" t="s">
        <v>6212</v>
      </c>
      <c r="G318" s="67" t="s">
        <v>1439</v>
      </c>
      <c r="H318" s="67" t="s">
        <v>1439</v>
      </c>
      <c r="I318" s="251" t="s">
        <v>1440</v>
      </c>
      <c r="J318" s="67">
        <f>VLOOKUP(표4[[#This Row],[Team]],표1[[내역]:[코스트 센터]],2,0)</f>
        <v>101747</v>
      </c>
      <c r="K318" s="67" t="e">
        <f>VLOOKUP(표4[[#This Row],[Project]],표2[],2,0)</f>
        <v>#N/A</v>
      </c>
    </row>
    <row r="319" spans="1:11">
      <c r="A319" s="251" t="s">
        <v>1441</v>
      </c>
      <c r="B319" t="s">
        <v>543</v>
      </c>
      <c r="C319" s="67" t="s">
        <v>1099</v>
      </c>
      <c r="D319" s="67" t="s">
        <v>542</v>
      </c>
      <c r="E319" t="s">
        <v>1442</v>
      </c>
      <c r="F319" s="67" t="s">
        <v>1443</v>
      </c>
      <c r="G319" s="67" t="s">
        <v>1201</v>
      </c>
      <c r="H319" s="67" t="s">
        <v>1201</v>
      </c>
      <c r="I319" s="251" t="s">
        <v>1444</v>
      </c>
      <c r="J319" s="67">
        <f>VLOOKUP(표4[[#This Row],[Team]],표1[[내역]:[코스트 센터]],2,0)</f>
        <v>100033</v>
      </c>
      <c r="K319" s="67" t="str">
        <f>VLOOKUP(표4[[#This Row],[Project]],표2[],2,0)</f>
        <v>P100130145</v>
      </c>
    </row>
    <row r="320" spans="1:11">
      <c r="A320" s="251" t="s">
        <v>1445</v>
      </c>
      <c r="B320" t="s">
        <v>543</v>
      </c>
      <c r="C320" s="67" t="s">
        <v>1099</v>
      </c>
      <c r="D320" s="67" t="s">
        <v>926</v>
      </c>
      <c r="E320" t="s">
        <v>1410</v>
      </c>
      <c r="F320" s="67" t="s">
        <v>927</v>
      </c>
      <c r="G320" s="67" t="s">
        <v>1272</v>
      </c>
      <c r="H320" s="67" t="s">
        <v>1272</v>
      </c>
      <c r="I320" s="251" t="s">
        <v>1411</v>
      </c>
      <c r="J320" s="67">
        <f>VLOOKUP(표4[[#This Row],[Team]],표1[[내역]:[코스트 센터]],2,0)</f>
        <v>150108</v>
      </c>
      <c r="K320" s="67" t="str">
        <f>VLOOKUP(표4[[#This Row],[Project]],표2[],2,0)</f>
        <v>P100020081</v>
      </c>
    </row>
    <row r="321" spans="1:11">
      <c r="A321" s="251" t="s">
        <v>317</v>
      </c>
      <c r="B321" t="s">
        <v>543</v>
      </c>
      <c r="C321" s="67" t="s">
        <v>1099</v>
      </c>
      <c r="D321" s="67" t="s">
        <v>542</v>
      </c>
      <c r="E321" t="s">
        <v>1442</v>
      </c>
      <c r="F321" s="67" t="s">
        <v>1347</v>
      </c>
      <c r="G321" s="67" t="s">
        <v>1201</v>
      </c>
      <c r="H321" s="67" t="s">
        <v>1201</v>
      </c>
      <c r="I321" s="251" t="s">
        <v>1446</v>
      </c>
      <c r="J321" s="67">
        <f>VLOOKUP(표4[[#This Row],[Team]],표1[[내역]:[코스트 센터]],2,0)</f>
        <v>100033</v>
      </c>
      <c r="K321" s="67" t="str">
        <f>VLOOKUP(표4[[#This Row],[Project]],표2[],2,0)</f>
        <v>P100130183</v>
      </c>
    </row>
    <row r="322" spans="1:11">
      <c r="A322" s="251" t="s">
        <v>1447</v>
      </c>
      <c r="B322" t="s">
        <v>543</v>
      </c>
      <c r="C322" s="67" t="s">
        <v>1099</v>
      </c>
      <c r="D322" s="67" t="s">
        <v>542</v>
      </c>
      <c r="E322" t="s">
        <v>1424</v>
      </c>
      <c r="F322" s="67" t="s">
        <v>1448</v>
      </c>
      <c r="G322" s="67" t="s">
        <v>1449</v>
      </c>
      <c r="H322" s="67" t="s">
        <v>1449</v>
      </c>
      <c r="I322" s="251" t="s">
        <v>1450</v>
      </c>
      <c r="J322" s="67">
        <f>VLOOKUP(표4[[#This Row],[Team]],표1[[내역]:[코스트 센터]],2,0)</f>
        <v>101867</v>
      </c>
      <c r="K322" s="67" t="str">
        <f>VLOOKUP(표4[[#This Row],[Project]],표2[],2,0)</f>
        <v>P100010066</v>
      </c>
    </row>
    <row r="323" spans="1:11">
      <c r="A323" s="251" t="s">
        <v>6190</v>
      </c>
      <c r="B323" t="s">
        <v>543</v>
      </c>
      <c r="C323" s="67" t="s">
        <v>542</v>
      </c>
      <c r="D323" s="67" t="s">
        <v>542</v>
      </c>
      <c r="E323" t="s">
        <v>6209</v>
      </c>
      <c r="F323" s="67" t="s">
        <v>1173</v>
      </c>
      <c r="G323" s="67" t="s">
        <v>6210</v>
      </c>
      <c r="H323" s="67" t="s">
        <v>6210</v>
      </c>
      <c r="I323" s="251" t="s">
        <v>6208</v>
      </c>
      <c r="J323" s="67">
        <f>VLOOKUP(표4[[#This Row],[Team]],표1[[내역]:[코스트 센터]],2,0)</f>
        <v>100024</v>
      </c>
      <c r="K323" s="67" t="str">
        <f>VLOOKUP(표4[[#This Row],[Project]],표2[],2,0)</f>
        <v>I100099999</v>
      </c>
    </row>
    <row r="324" spans="1:11">
      <c r="A324" s="251" t="s">
        <v>6191</v>
      </c>
      <c r="B324" t="s">
        <v>543</v>
      </c>
      <c r="C324" s="67" t="s">
        <v>542</v>
      </c>
      <c r="D324" s="67" t="s">
        <v>1331</v>
      </c>
      <c r="E324" t="s">
        <v>1346</v>
      </c>
      <c r="F324" s="67" t="s">
        <v>1347</v>
      </c>
      <c r="G324" s="67" t="s">
        <v>1364</v>
      </c>
      <c r="H324" s="67" t="s">
        <v>1364</v>
      </c>
      <c r="I324" s="251" t="s">
        <v>6211</v>
      </c>
      <c r="J324" s="67">
        <f>VLOOKUP(표4[[#This Row],[Team]],표1[[내역]:[코스트 센터]],2,0)</f>
        <v>290062</v>
      </c>
      <c r="K324" s="67" t="str">
        <f>VLOOKUP(표4[[#This Row],[Project]],표2[],2,0)</f>
        <v>P100130183</v>
      </c>
    </row>
    <row r="325" spans="1:11">
      <c r="A325" s="251" t="s">
        <v>6192</v>
      </c>
      <c r="B325" t="s">
        <v>543</v>
      </c>
      <c r="C325" s="67" t="s">
        <v>542</v>
      </c>
      <c r="D325" s="67" t="s">
        <v>1331</v>
      </c>
      <c r="E325" t="s">
        <v>1346</v>
      </c>
      <c r="F325" s="67" t="s">
        <v>1347</v>
      </c>
      <c r="G325" s="67" t="s">
        <v>1364</v>
      </c>
      <c r="H325" s="67" t="s">
        <v>1364</v>
      </c>
      <c r="I325" s="251" t="s">
        <v>6211</v>
      </c>
      <c r="J325" s="67">
        <f>VLOOKUP(표4[[#This Row],[Team]],표1[[내역]:[코스트 센터]],2,0)</f>
        <v>290062</v>
      </c>
      <c r="K325" s="67" t="str">
        <f>VLOOKUP(표4[[#This Row],[Project]],표2[],2,0)</f>
        <v>P100130183</v>
      </c>
    </row>
    <row r="326" spans="1:11">
      <c r="A326" s="251" t="s">
        <v>6193</v>
      </c>
      <c r="B326" t="s">
        <v>543</v>
      </c>
      <c r="C326" s="67" t="s">
        <v>542</v>
      </c>
      <c r="D326" s="67" t="s">
        <v>542</v>
      </c>
      <c r="E326" t="s">
        <v>914</v>
      </c>
      <c r="F326" s="67" t="s">
        <v>1173</v>
      </c>
      <c r="G326" s="67" t="s">
        <v>6214</v>
      </c>
      <c r="H326" s="67" t="s">
        <v>6214</v>
      </c>
      <c r="I326" s="251" t="s">
        <v>6213</v>
      </c>
      <c r="J326" s="67">
        <f>VLOOKUP(표4[[#This Row],[Team]],표1[[내역]:[코스트 센터]],2,0)</f>
        <v>102159</v>
      </c>
      <c r="K326" s="67" t="str">
        <f>VLOOKUP(표4[[#This Row],[Project]],표2[],2,0)</f>
        <v>I100099999</v>
      </c>
    </row>
    <row r="327" spans="1:11">
      <c r="A327" s="251" t="s">
        <v>6194</v>
      </c>
      <c r="B327" t="s">
        <v>543</v>
      </c>
      <c r="C327" s="67" t="s">
        <v>542</v>
      </c>
      <c r="D327" s="67" t="s">
        <v>542</v>
      </c>
      <c r="E327" t="s">
        <v>1438</v>
      </c>
      <c r="F327" s="67" t="s">
        <v>1191</v>
      </c>
      <c r="G327" s="67" t="s">
        <v>6216</v>
      </c>
      <c r="H327" s="67" t="s">
        <v>6216</v>
      </c>
      <c r="I327" s="251" t="s">
        <v>6215</v>
      </c>
      <c r="J327" s="67">
        <f>VLOOKUP(표4[[#This Row],[Team]],표1[[내역]:[코스트 센터]],2,0)</f>
        <v>101747</v>
      </c>
      <c r="K327" s="67" t="str">
        <f>VLOOKUP(표4[[#This Row],[Project]],표2[],2,0)</f>
        <v>P100010055</v>
      </c>
    </row>
    <row r="328" spans="1:11">
      <c r="A328" s="251" t="s">
        <v>6195</v>
      </c>
      <c r="B328" t="s">
        <v>543</v>
      </c>
      <c r="C328" s="67" t="s">
        <v>985</v>
      </c>
      <c r="D328" s="67" t="s">
        <v>985</v>
      </c>
      <c r="F328" s="67"/>
      <c r="G328" s="67" t="s">
        <v>6218</v>
      </c>
      <c r="H328" s="67" t="s">
        <v>6218</v>
      </c>
      <c r="I328" s="251" t="s">
        <v>6217</v>
      </c>
      <c r="J328" s="67" t="e">
        <f>VLOOKUP(표4[[#This Row],[Team]],표1[[내역]:[코스트 센터]],2,0)</f>
        <v>#N/A</v>
      </c>
      <c r="K328" s="67" t="e">
        <f>VLOOKUP(표4[[#This Row],[Project]],표2[],2,0)</f>
        <v>#N/A</v>
      </c>
    </row>
    <row r="329" spans="1:11">
      <c r="A329" s="251" t="s">
        <v>6196</v>
      </c>
      <c r="B329" t="s">
        <v>543</v>
      </c>
      <c r="C329" s="67" t="s">
        <v>542</v>
      </c>
      <c r="D329" s="67" t="s">
        <v>1368</v>
      </c>
      <c r="F329" s="67" t="s">
        <v>6219</v>
      </c>
      <c r="G329" s="67" t="s">
        <v>819</v>
      </c>
      <c r="H329" s="67" t="s">
        <v>819</v>
      </c>
      <c r="I329" s="251" t="s">
        <v>6217</v>
      </c>
      <c r="J329" s="67" t="e">
        <f>VLOOKUP(표4[[#This Row],[Team]],표1[[내역]:[코스트 센터]],2,0)</f>
        <v>#N/A</v>
      </c>
      <c r="K329" s="67" t="str">
        <f>VLOOKUP(표4[[#This Row],[Project]],표2[],2,0)</f>
        <v>P100130112</v>
      </c>
    </row>
    <row r="330" spans="1:11">
      <c r="A330" s="251" t="s">
        <v>6197</v>
      </c>
      <c r="B330" t="s">
        <v>543</v>
      </c>
      <c r="C330" s="67" t="s">
        <v>542</v>
      </c>
      <c r="D330" s="67" t="s">
        <v>542</v>
      </c>
      <c r="E330" t="s">
        <v>6221</v>
      </c>
      <c r="F330" s="67" t="s">
        <v>1173</v>
      </c>
      <c r="G330" s="67" t="s">
        <v>6220</v>
      </c>
      <c r="H330" s="67" t="s">
        <v>6220</v>
      </c>
      <c r="I330" s="251" t="s">
        <v>6217</v>
      </c>
      <c r="J330" s="67">
        <f>VLOOKUP(표4[[#This Row],[Team]],표1[[내역]:[코스트 센터]],2,0)</f>
        <v>101554</v>
      </c>
      <c r="K330" s="67" t="str">
        <f>VLOOKUP(표4[[#This Row],[Project]],표2[],2,0)</f>
        <v>I100099999</v>
      </c>
    </row>
    <row r="331" spans="1:11">
      <c r="A331" s="251" t="s">
        <v>6198</v>
      </c>
      <c r="B331" t="s">
        <v>543</v>
      </c>
      <c r="C331" s="67" t="s">
        <v>542</v>
      </c>
      <c r="D331" s="67" t="s">
        <v>1331</v>
      </c>
      <c r="F331" s="67"/>
      <c r="G331" s="67" t="s">
        <v>6222</v>
      </c>
      <c r="H331" s="67" t="s">
        <v>6222</v>
      </c>
      <c r="I331" s="251" t="s">
        <v>6217</v>
      </c>
      <c r="J331" s="67" t="e">
        <f>VLOOKUP(표4[[#This Row],[Team]],표1[[내역]:[코스트 센터]],2,0)</f>
        <v>#N/A</v>
      </c>
      <c r="K331" s="67" t="e">
        <f>VLOOKUP(표4[[#This Row],[Project]],표2[],2,0)</f>
        <v>#N/A</v>
      </c>
    </row>
    <row r="332" spans="1:11">
      <c r="A332" s="251" t="s">
        <v>6199</v>
      </c>
      <c r="B332" t="s">
        <v>543</v>
      </c>
      <c r="C332" s="67" t="s">
        <v>542</v>
      </c>
      <c r="D332" s="67" t="s">
        <v>1392</v>
      </c>
      <c r="E332" t="s">
        <v>6224</v>
      </c>
      <c r="F332" s="67" t="s">
        <v>1173</v>
      </c>
      <c r="G332" s="67" t="s">
        <v>6223</v>
      </c>
      <c r="H332" s="67" t="s">
        <v>6223</v>
      </c>
      <c r="I332" s="251" t="s">
        <v>6217</v>
      </c>
      <c r="J332" s="67">
        <f>VLOOKUP(표4[[#This Row],[Team]],표1[[내역]:[코스트 센터]],2,0)</f>
        <v>600003</v>
      </c>
      <c r="K332" s="67" t="str">
        <f>VLOOKUP(표4[[#This Row],[Project]],표2[],2,0)</f>
        <v>I100099999</v>
      </c>
    </row>
    <row r="333" spans="1:11">
      <c r="A333" s="251" t="s">
        <v>6200</v>
      </c>
      <c r="B333" t="s">
        <v>543</v>
      </c>
      <c r="C333" s="67" t="s">
        <v>542</v>
      </c>
      <c r="D333" s="67" t="s">
        <v>542</v>
      </c>
      <c r="E333" t="s">
        <v>6225</v>
      </c>
      <c r="F333" s="67" t="s">
        <v>1173</v>
      </c>
      <c r="G333" s="67" t="s">
        <v>6226</v>
      </c>
      <c r="H333" s="67" t="s">
        <v>6226</v>
      </c>
      <c r="I333" s="251" t="s">
        <v>6217</v>
      </c>
      <c r="J333" s="67">
        <f>VLOOKUP(표4[[#This Row],[Team]],표1[[내역]:[코스트 센터]],2,0)</f>
        <v>102069</v>
      </c>
      <c r="K333" s="67" t="str">
        <f>VLOOKUP(표4[[#This Row],[Project]],표2[],2,0)</f>
        <v>I100099999</v>
      </c>
    </row>
    <row r="334" spans="1:11">
      <c r="A334" s="251" t="s">
        <v>6201</v>
      </c>
      <c r="B334" t="s">
        <v>543</v>
      </c>
      <c r="C334" s="67" t="s">
        <v>542</v>
      </c>
      <c r="D334" s="67" t="s">
        <v>934</v>
      </c>
      <c r="E334" t="s">
        <v>943</v>
      </c>
      <c r="F334" s="67" t="s">
        <v>1103</v>
      </c>
      <c r="G334" s="67" t="s">
        <v>1093</v>
      </c>
      <c r="H334" s="67" t="s">
        <v>1093</v>
      </c>
      <c r="I334" s="251" t="s">
        <v>6217</v>
      </c>
      <c r="J334" s="67">
        <f>VLOOKUP(표4[[#This Row],[Team]],표1[[내역]:[코스트 센터]],2,0)</f>
        <v>100774</v>
      </c>
      <c r="K334" s="67" t="str">
        <f>VLOOKUP(표4[[#This Row],[Project]],표2[],2,0)</f>
        <v>P100030103</v>
      </c>
    </row>
    <row r="335" spans="1:11">
      <c r="A335" s="251" t="s">
        <v>6202</v>
      </c>
      <c r="B335" t="s">
        <v>543</v>
      </c>
      <c r="C335" s="67" t="s">
        <v>542</v>
      </c>
      <c r="D335" s="67" t="s">
        <v>542</v>
      </c>
      <c r="E335" t="s">
        <v>833</v>
      </c>
      <c r="F335" s="67" t="s">
        <v>1385</v>
      </c>
      <c r="G335" s="67" t="s">
        <v>1779</v>
      </c>
      <c r="H335" s="67" t="s">
        <v>1779</v>
      </c>
      <c r="I335" s="251" t="s">
        <v>6217</v>
      </c>
      <c r="J335" s="67">
        <f>VLOOKUP(표4[[#This Row],[Team]],표1[[내역]:[코스트 센터]],2,0)</f>
        <v>100025</v>
      </c>
      <c r="K335" s="67" t="str">
        <f>VLOOKUP(표4[[#This Row],[Project]],표2[],2,0)</f>
        <v>I100090813</v>
      </c>
    </row>
    <row r="336" spans="1:11">
      <c r="A336" s="251" t="s">
        <v>6203</v>
      </c>
      <c r="B336" t="s">
        <v>543</v>
      </c>
      <c r="C336" s="67" t="s">
        <v>542</v>
      </c>
      <c r="D336" s="67" t="s">
        <v>542</v>
      </c>
      <c r="E336" t="s">
        <v>1099</v>
      </c>
      <c r="F336" s="67" t="s">
        <v>1173</v>
      </c>
      <c r="G336" s="67" t="s">
        <v>792</v>
      </c>
      <c r="H336" s="67" t="s">
        <v>792</v>
      </c>
      <c r="I336" s="251" t="s">
        <v>6217</v>
      </c>
      <c r="J336" s="67">
        <f>VLOOKUP(표4[[#This Row],[Team]],표1[[내역]:[코스트 센터]],2,0)</f>
        <v>100009</v>
      </c>
      <c r="K336" s="67" t="str">
        <f>VLOOKUP(표4[[#This Row],[Project]],표2[],2,0)</f>
        <v>I100099999</v>
      </c>
    </row>
    <row r="337" spans="1:11">
      <c r="A337" s="251" t="s">
        <v>6204</v>
      </c>
      <c r="B337" t="s">
        <v>543</v>
      </c>
      <c r="C337" s="67" t="s">
        <v>542</v>
      </c>
      <c r="D337" s="67" t="s">
        <v>542</v>
      </c>
      <c r="E337" t="s">
        <v>6227</v>
      </c>
      <c r="F337" s="67" t="s">
        <v>1173</v>
      </c>
      <c r="G337" s="67" t="s">
        <v>6228</v>
      </c>
      <c r="H337" s="67" t="s">
        <v>6228</v>
      </c>
      <c r="I337" s="251" t="s">
        <v>6217</v>
      </c>
      <c r="J337" s="67" t="e">
        <f>VLOOKUP(표4[[#This Row],[Team]],표1[[내역]:[코스트 센터]],2,0)</f>
        <v>#N/A</v>
      </c>
      <c r="K337" s="67" t="str">
        <f>VLOOKUP(표4[[#This Row],[Project]],표2[],2,0)</f>
        <v>I100099999</v>
      </c>
    </row>
    <row r="338" spans="1:11">
      <c r="A338" s="251" t="s">
        <v>6205</v>
      </c>
      <c r="B338" t="s">
        <v>543</v>
      </c>
      <c r="C338" s="67" t="s">
        <v>542</v>
      </c>
      <c r="D338" s="67" t="s">
        <v>542</v>
      </c>
      <c r="E338" t="s">
        <v>1099</v>
      </c>
      <c r="F338" s="67" t="s">
        <v>1173</v>
      </c>
      <c r="G338" s="67" t="s">
        <v>792</v>
      </c>
      <c r="H338" s="67" t="s">
        <v>792</v>
      </c>
      <c r="I338" s="251"/>
      <c r="J338" s="67">
        <f>VLOOKUP(표4[[#This Row],[Team]],표1[[내역]:[코스트 센터]],2,0)</f>
        <v>100009</v>
      </c>
      <c r="K338" s="67" t="str">
        <f>VLOOKUP(표4[[#This Row],[Project]],표2[],2,0)</f>
        <v>I100099999</v>
      </c>
    </row>
    <row r="339" spans="1:11">
      <c r="A339" s="251" t="s">
        <v>6206</v>
      </c>
      <c r="B339" t="s">
        <v>543</v>
      </c>
      <c r="C339" s="67" t="s">
        <v>542</v>
      </c>
      <c r="D339" s="67" t="s">
        <v>6207</v>
      </c>
      <c r="F339" s="67" t="s">
        <v>1173</v>
      </c>
      <c r="G339" s="67" t="s">
        <v>6229</v>
      </c>
      <c r="H339" s="67" t="s">
        <v>6229</v>
      </c>
      <c r="I339" s="251" t="s">
        <v>6217</v>
      </c>
      <c r="J339" s="67" t="e">
        <f>VLOOKUP(표4[[#This Row],[Team]],표1[[내역]:[코스트 센터]],2,0)</f>
        <v>#N/A</v>
      </c>
      <c r="K339" s="67" t="str">
        <f>VLOOKUP(표4[[#This Row],[Project]],표2[],2,0)</f>
        <v>I100099999</v>
      </c>
    </row>
  </sheetData>
  <sheetProtection algorithmName="SHA-512" hashValue="I9SFW0CHI5NwEf2lXEQAi+0qBVIQKLD1te5stjikUj98QAhj5B98w5D9K8dpJeACjEf+a4r0rqOCfA/fJ9friw==" saltValue="YjaXE/EyAVpUz4WAAn87Zg==" spinCount="100000" sheet="1" scenarios="1" selectLockedCells="1" selectUnlockedCells="1"/>
  <phoneticPr fontId="2" type="noConversion"/>
  <conditionalFormatting sqref="A3:A322">
    <cfRule type="duplicateValues" dxfId="6" priority="28"/>
  </conditionalFormatting>
  <conditionalFormatting sqref="A3:A339">
    <cfRule type="duplicateValues" dxfId="5" priority="33"/>
  </conditionalFormatting>
  <conditionalFormatting sqref="A347:A1048576 A308:A339 A286:A289 A1:A283 A302:A305">
    <cfRule type="duplicateValues" dxfId="4" priority="3"/>
  </conditionalFormatting>
  <hyperlinks>
    <hyperlink ref="I290" r:id="rId1" xr:uid="{8A98B1B3-9CB1-4541-A275-626CD4620EE7}"/>
    <hyperlink ref="I291" r:id="rId2" xr:uid="{AF2DAC73-8766-684E-8E81-D5EDABF2FC04}"/>
    <hyperlink ref="I292" r:id="rId3" xr:uid="{D75435B2-1F1E-E243-958F-1FA7160AFC4D}"/>
    <hyperlink ref="I294" r:id="rId4" xr:uid="{BE21C293-5F6C-AD43-BBB6-AD846175051F}"/>
    <hyperlink ref="I295" r:id="rId5" xr:uid="{CC43E450-DCFC-E445-B36B-CA27B488AA65}"/>
    <hyperlink ref="I296" r:id="rId6" xr:uid="{B57CC558-C9C4-0F4F-B47F-C4AEEDBF3017}"/>
    <hyperlink ref="I297" r:id="rId7" xr:uid="{584EE828-F143-E845-AA96-FA4FC8E86D3A}"/>
    <hyperlink ref="I298" r:id="rId8" xr:uid="{45BB6676-973B-1D4D-8F21-FC0959843221}"/>
    <hyperlink ref="I299" r:id="rId9" xr:uid="{2D7DDE66-0CDF-B24E-BBC8-7E697727FE10}"/>
    <hyperlink ref="A300" r:id="rId10" xr:uid="{BB83BDB7-A6D8-294D-BDD8-0C543CC5782F}"/>
    <hyperlink ref="I300" r:id="rId11" xr:uid="{DAF8B132-841C-9643-A9ED-061BD62BF21A}"/>
    <hyperlink ref="I301" r:id="rId12" xr:uid="{43E4BC5F-935F-3D45-BA66-979D3FE9DF3E}"/>
    <hyperlink ref="I205" r:id="rId13" xr:uid="{A61A45AA-639F-408D-8ACF-670B5BCF608D}"/>
    <hyperlink ref="A302" r:id="rId14" xr:uid="{8F31E96C-7809-664B-8729-6430E80C5C01}"/>
    <hyperlink ref="I302" r:id="rId15" xr:uid="{66656D32-52B9-A544-A290-38F88C61096B}"/>
    <hyperlink ref="A285" r:id="rId16" xr:uid="{B47980A2-4C25-5D4E-B8D5-3519FA78E658}"/>
    <hyperlink ref="A303" r:id="rId17" tooltip="mailto:aws-agentville-deploy@krafton.com" display="mailto:aws-agentville-deploy@krafton.com" xr:uid="{43B24F87-E306-1444-A1D4-9AA227C0D224}"/>
    <hyperlink ref="A304" r:id="rId18" tooltip="mailto:aws-ksb-project@krafton.com" display="mailto:aws-ksb-project@krafton.com" xr:uid="{0D17AC61-81B1-F849-BE52-2A0342325F54}"/>
    <hyperlink ref="A305" r:id="rId19" tooltip="mailto:aws-olivetreewebsite-project@olivetreegames.com" display="mailto:aws-olivetreewebsite-project@olivetreegames.com" xr:uid="{3E62EEC9-C6F3-8143-BACD-69D4CDE1C439}"/>
    <hyperlink ref="I303" r:id="rId20" xr:uid="{5F099756-57D1-E342-B763-5BE0A5CF8CBB}"/>
    <hyperlink ref="I304" r:id="rId21" xr:uid="{CAA8F2CA-32A9-0248-9B45-5476250C997F}"/>
    <hyperlink ref="I305" r:id="rId22" xr:uid="{215D699E-5588-1841-B90C-B70A03E30396}"/>
    <hyperlink ref="I307" r:id="rId23" xr:uid="{50C9CAA3-C05B-E04F-973F-AE65690AB704}"/>
    <hyperlink ref="A147" r:id="rId24" xr:uid="{00AEB239-5F59-8C4E-8124-D747890EB90B}"/>
    <hyperlink ref="A308" r:id="rId25" xr:uid="{21BEF49F-CC6B-C140-8999-4DEEF7B82187}"/>
    <hyperlink ref="I308" r:id="rId26" xr:uid="{1AF782F4-3A86-D14E-9022-C47A109AF55D}"/>
    <hyperlink ref="A309" r:id="rId27" xr:uid="{FCF106FE-A2D4-F149-AD0B-5160B6502C16}"/>
    <hyperlink ref="I309" r:id="rId28" xr:uid="{708A8517-B6DB-7649-8DCA-8C035FA482BA}"/>
    <hyperlink ref="A310" r:id="rId29" xr:uid="{C337F4F2-02EF-0F46-B63A-E7606FF0E147}"/>
    <hyperlink ref="I310" r:id="rId30" xr:uid="{F90D9B50-57D5-9040-9671-AA95AB0C26C1}"/>
    <hyperlink ref="A311" r:id="rId31" xr:uid="{9C4F7356-2959-2E4F-BF84-DEF5CFE8ECB4}"/>
    <hyperlink ref="I311" r:id="rId32" xr:uid="{49D002B8-027D-BF46-B431-E2332EBAE175}"/>
    <hyperlink ref="A312" r:id="rId33" xr:uid="{3CB31C3C-5EC7-854F-BB67-D466CA8DA4E1}"/>
    <hyperlink ref="I312" r:id="rId34" xr:uid="{AE2BCAE4-2787-AA4B-A1CA-289DFF140BA8}"/>
    <hyperlink ref="A313" r:id="rId35" xr:uid="{6ED8F208-1373-9B47-88CE-927F4BE7FD41}"/>
    <hyperlink ref="A314" r:id="rId36" xr:uid="{8078450C-5A1D-FD4B-A052-D4DB2B187356}"/>
    <hyperlink ref="I314" r:id="rId37" xr:uid="{2A79B70F-5C1A-EE40-B3EC-DF5AA04D48F2}"/>
    <hyperlink ref="A315" r:id="rId38" xr:uid="{2F42918C-A389-7446-BD3C-EA798E556626}"/>
    <hyperlink ref="A316" r:id="rId39" xr:uid="{E6FD6D1A-037C-8E41-8188-D136CE1E2443}"/>
    <hyperlink ref="I316" r:id="rId40" xr:uid="{206506B4-2569-4449-8230-203EC5A81223}"/>
    <hyperlink ref="A317" r:id="rId41" xr:uid="{D9BFB1CE-FC0A-E741-BC85-6D0B2D08BBC3}"/>
    <hyperlink ref="I317" r:id="rId42" xr:uid="{204CA197-E6BE-A64C-B063-C81278C9AD28}"/>
    <hyperlink ref="A318" r:id="rId43" xr:uid="{572A1020-1E72-4A4D-8DEC-F76CFF0D3BA6}"/>
    <hyperlink ref="I318" r:id="rId44" xr:uid="{0F4BFD7D-E3D3-9547-847E-313B667D39BB}"/>
    <hyperlink ref="A319" r:id="rId45" xr:uid="{058DF159-3114-F54D-8DEC-A1EFD22359E5}"/>
    <hyperlink ref="I319" r:id="rId46" xr:uid="{806D329E-3042-DA47-AF5C-98DB665F3F6D}"/>
    <hyperlink ref="A320" r:id="rId47" xr:uid="{08A729D2-6110-1A4A-B305-CEA5B6310E36}"/>
    <hyperlink ref="I320" r:id="rId48" xr:uid="{78D90C85-3D33-2D4C-84B6-558F8B5076FD}"/>
    <hyperlink ref="A321" r:id="rId49" xr:uid="{7F960E63-BD9E-2144-B5F4-AA6E968F156B}"/>
    <hyperlink ref="I321" r:id="rId50" xr:uid="{1126A5DE-82D8-BE40-85A8-32C2EA334E23}"/>
    <hyperlink ref="A322" r:id="rId51" xr:uid="{F77A29C7-500A-D84E-ADFB-668252EE2B2A}"/>
    <hyperlink ref="I322" r:id="rId52" xr:uid="{55FCAB0A-9910-C64C-8917-408F2037E240}"/>
    <hyperlink ref="I313" r:id="rId53" xr:uid="{8738E82C-9333-564B-B2AD-2745912BA7E2}"/>
    <hyperlink ref="A323" r:id="rId54" tooltip="mailto:aws-it-pet@krafton.com" display="mailto:aws-it-pet@krafton.com" xr:uid="{162BE60C-A818-6F48-A5F6-9B833207D526}"/>
    <hyperlink ref="A324" r:id="rId55" tooltip="mailto:aws-ignt-chess-prod@krafton.com" display="mailto:aws-ignt-chess-prod@krafton.com" xr:uid="{F9765972-D185-5E48-B093-F1D0F1931328}"/>
    <hyperlink ref="A325" r:id="rId56" tooltip="mailto:Aws-ignt-chess-qa@krafton.com" display="mailto:Aws-ignt-chess-qa@krafton.com" xr:uid="{1891CC16-BB82-DC4C-AA68-3EC9D1BF2360}"/>
    <hyperlink ref="A326" r:id="rId57" tooltip="mailto:krafton-aif@krafton.com" display="mailto:krafton-aif@krafton.com" xr:uid="{3F3B8467-4370-A349-A51F-5D4B74FC4092}"/>
    <hyperlink ref="A327" r:id="rId58" tooltip="mailto:aws-inzoi-liveops-project@krafton.com" display="mailto:aws-inzoi-liveops-project@krafton.com" xr:uid="{60A8AF85-54F5-FC4E-87C2-0FB0975ECA31}"/>
    <hyperlink ref="A328" r:id="rId59" tooltip="mailto:aws-fwg-marketing@krafton.com" display="mailto:aws-fwg-marketing@krafton.com" xr:uid="{E1D75ADA-8DAA-9B4E-868D-74BA7E498606}"/>
    <hyperlink ref="A329" r:id="rId60" tooltip="mailto:aws-nautilus@krafton.com" display="mailto:aws-nautilus@krafton.com" xr:uid="{95AA86C4-E26D-554F-BEED-867C64712505}"/>
    <hyperlink ref="A330" r:id="rId61" tooltip="mailto:aws-creative-vectorsearch-dev@krafton.com" display="mailto:aws-creative-vectorsearch-dev@krafton.com" xr:uid="{F9BBE92D-014E-7648-9322-4B81D7E28331}"/>
    <hyperlink ref="A331" r:id="rId62" tooltip="mailto:aws-Chandan-Po-the-Panda@krafton.com" display="mailto:aws-Chandan-Po-the-Panda@krafton.com" xr:uid="{E1722615-01D7-4C43-85CD-28A197F1C240}"/>
    <hyperlink ref="A332" r:id="rId63" tooltip="mailto:aws-ludo@ludorobotics.ai" display="mailto:aws-ludo@ludorobotics.ai" xr:uid="{ED09D539-D9C8-C044-A99E-525D44FDA10E}"/>
    <hyperlink ref="A333" r:id="rId64" tooltip="mailto:aws-pubg-twhkmo@krafton.com" display="mailto:aws-pubg-twhkmo@krafton.com" xr:uid="{45A6ECF7-9A8F-5140-B7D8-0297E64E860E}"/>
    <hyperlink ref="A334" r:id="rId65" tooltip="mailto:aws-pubg-palm-prod-01@krafton.com" display="mailto:aws-pubg-palm-prod-01@krafton.com" xr:uid="{2273E053-0FEF-1C4A-B125-B1B5B3B40FCA}"/>
    <hyperlink ref="A335" r:id="rId66" tooltip="mailto:aws-kose-hub@krafton.com" display="mailto:aws-kose-hub@krafton.com" xr:uid="{5FE4B6EF-08E1-D142-905C-5C9AA214939A}"/>
    <hyperlink ref="A336" r:id="rId67" tooltip="mailto:aws-cursor@krafton.com" display="mailto:aws-cursor@krafton.com" xr:uid="{143C89DE-88BE-DF49-9ACC-E16B78C66085}"/>
    <hyperlink ref="A337" r:id="rId68" tooltip="mailto:aws-jhk@krafton.com" display="mailto:aws-jhk@krafton.com" xr:uid="{FD256BC5-BC40-5941-984B-FC10757CE25E}"/>
    <hyperlink ref="A338" r:id="rId69" tooltip="mailto:aws-datadog@krafton.com" display="mailto:aws-datadog@krafton.com" xr:uid="{AF2176D9-4433-8447-BF9F-B360443B5433}"/>
    <hyperlink ref="A339" r:id="rId70" tooltip="mailto:aws-zhangjiaming-ai@krafton.com" display="mailto:aws-zhangjiaming-ai@krafton.com" xr:uid="{7F77CC3E-E5A4-304E-8819-68F6C4A48E3B}"/>
    <hyperlink ref="I323" r:id="rId71" xr:uid="{BE68B574-4162-F04D-9F41-1273CDD22806}"/>
    <hyperlink ref="I324" r:id="rId72" xr:uid="{C458125B-CB05-7E46-89AE-375BA6A30C2B}"/>
    <hyperlink ref="I325" r:id="rId73" xr:uid="{98A81D47-22C3-C54C-BE1B-48FD0EE8E74C}"/>
    <hyperlink ref="I326" r:id="rId74" xr:uid="{F08EB897-1957-4D4D-BF57-56ADB8C674C4}"/>
    <hyperlink ref="I327" r:id="rId75" xr:uid="{8BB0AAC3-CB79-A645-8F05-E0EDED6A6601}"/>
  </hyperlinks>
  <pageMargins left="0.7" right="0.7" top="0.75" bottom="0.75" header="0.3" footer="0.3"/>
  <pageSetup paperSize="9" orientation="portrait" horizontalDpi="0" verticalDpi="0"/>
  <legacyDrawing r:id="rId76"/>
  <tableParts count="1">
    <tablePart r:id="rId7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20167-ABAB-4555-8934-69409CF4DC09}">
  <sheetPr codeName="Sheet6"/>
  <dimension ref="A1:J98"/>
  <sheetViews>
    <sheetView topLeftCell="A69" zoomScale="141" zoomScaleNormal="80" workbookViewId="0">
      <selection activeCell="E97" sqref="E97"/>
    </sheetView>
  </sheetViews>
  <sheetFormatPr baseColWidth="10" defaultColWidth="8.83203125" defaultRowHeight="17"/>
  <cols>
    <col min="1" max="1" width="46.5" customWidth="1"/>
    <col min="2" max="2" width="10.83203125" customWidth="1"/>
    <col min="3" max="4" width="12.33203125" bestFit="1" customWidth="1"/>
    <col min="5" max="5" width="25.5" bestFit="1" customWidth="1"/>
    <col min="6" max="6" width="24.33203125" bestFit="1" customWidth="1"/>
    <col min="7" max="7" width="18" customWidth="1"/>
    <col min="8" max="8" width="18.33203125" customWidth="1"/>
    <col min="9" max="9" width="35.33203125" bestFit="1" customWidth="1"/>
    <col min="10" max="10" width="17.33203125" customWidth="1"/>
  </cols>
  <sheetData>
    <row r="1" spans="1:10" ht="20">
      <c r="A1" s="6" t="s">
        <v>1451</v>
      </c>
      <c r="B1" s="6"/>
      <c r="C1" s="4"/>
      <c r="D1" s="4"/>
      <c r="E1" s="3"/>
      <c r="F1" s="3"/>
      <c r="G1" s="3"/>
      <c r="H1" s="3"/>
      <c r="I1" s="3"/>
      <c r="J1" s="3"/>
    </row>
    <row r="2" spans="1:10" ht="16.5" customHeight="1">
      <c r="A2" s="118" t="s">
        <v>809</v>
      </c>
      <c r="B2" s="118" t="s">
        <v>810</v>
      </c>
      <c r="C2" s="118" t="s">
        <v>4</v>
      </c>
      <c r="D2" s="118" t="s">
        <v>5</v>
      </c>
      <c r="E2" s="118" t="s">
        <v>6</v>
      </c>
      <c r="F2" s="118" t="s">
        <v>811</v>
      </c>
      <c r="G2" s="118" t="s">
        <v>11</v>
      </c>
      <c r="H2" s="118" t="s">
        <v>812</v>
      </c>
      <c r="I2" s="118" t="s">
        <v>813</v>
      </c>
      <c r="J2" s="118" t="s">
        <v>814</v>
      </c>
    </row>
    <row r="3" spans="1:10">
      <c r="A3" s="7" t="s">
        <v>322</v>
      </c>
      <c r="B3" s="7" t="s">
        <v>369</v>
      </c>
      <c r="C3" s="11" t="s">
        <v>391</v>
      </c>
      <c r="D3" s="11" t="s">
        <v>391</v>
      </c>
      <c r="E3" s="7" t="s">
        <v>644</v>
      </c>
      <c r="F3" s="7" t="s">
        <v>635</v>
      </c>
      <c r="G3" s="7" t="s">
        <v>884</v>
      </c>
      <c r="H3" s="7" t="s">
        <v>885</v>
      </c>
      <c r="I3" s="251" t="s">
        <v>1452</v>
      </c>
      <c r="J3" s="7" t="s">
        <v>29</v>
      </c>
    </row>
    <row r="4" spans="1:10">
      <c r="A4" s="7" t="s">
        <v>1453</v>
      </c>
      <c r="B4" s="7" t="s">
        <v>369</v>
      </c>
      <c r="C4" s="11" t="s">
        <v>542</v>
      </c>
      <c r="D4" s="11" t="s">
        <v>542</v>
      </c>
      <c r="E4" s="7" t="s">
        <v>592</v>
      </c>
      <c r="F4" s="7" t="s">
        <v>370</v>
      </c>
      <c r="G4" s="7" t="s">
        <v>888</v>
      </c>
      <c r="H4" s="7" t="s">
        <v>888</v>
      </c>
      <c r="I4" s="7"/>
      <c r="J4" s="7" t="s">
        <v>29</v>
      </c>
    </row>
    <row r="5" spans="1:10">
      <c r="A5" s="7" t="s">
        <v>1454</v>
      </c>
      <c r="B5" s="7" t="s">
        <v>369</v>
      </c>
      <c r="C5" s="11" t="s">
        <v>542</v>
      </c>
      <c r="D5" s="11" t="s">
        <v>542</v>
      </c>
      <c r="E5" s="7" t="s">
        <v>1455</v>
      </c>
      <c r="F5" s="7" t="s">
        <v>1456</v>
      </c>
      <c r="G5" s="7" t="s">
        <v>924</v>
      </c>
      <c r="H5" s="7" t="s">
        <v>924</v>
      </c>
      <c r="I5" s="7"/>
      <c r="J5" s="7" t="s">
        <v>29</v>
      </c>
    </row>
    <row r="6" spans="1:10">
      <c r="A6" s="7" t="s">
        <v>328</v>
      </c>
      <c r="B6" s="7" t="s">
        <v>369</v>
      </c>
      <c r="C6" s="11" t="s">
        <v>542</v>
      </c>
      <c r="D6" s="11" t="s">
        <v>542</v>
      </c>
      <c r="E6" s="7" t="s">
        <v>951</v>
      </c>
      <c r="F6" s="7" t="s">
        <v>370</v>
      </c>
      <c r="G6" s="7" t="s">
        <v>952</v>
      </c>
      <c r="H6" s="7" t="s">
        <v>952</v>
      </c>
      <c r="I6" s="7"/>
      <c r="J6" s="131" t="s">
        <v>29</v>
      </c>
    </row>
    <row r="7" spans="1:10">
      <c r="A7" s="7" t="s">
        <v>329</v>
      </c>
      <c r="B7" s="7" t="s">
        <v>369</v>
      </c>
      <c r="C7" s="11" t="s">
        <v>542</v>
      </c>
      <c r="D7" s="11" t="s">
        <v>542</v>
      </c>
      <c r="E7" s="7" t="s">
        <v>951</v>
      </c>
      <c r="F7" s="7" t="s">
        <v>370</v>
      </c>
      <c r="G7" s="7" t="s">
        <v>952</v>
      </c>
      <c r="H7" s="7" t="s">
        <v>952</v>
      </c>
      <c r="I7" s="7"/>
      <c r="J7" s="131" t="s">
        <v>29</v>
      </c>
    </row>
    <row r="8" spans="1:10">
      <c r="A8" s="7" t="s">
        <v>1457</v>
      </c>
      <c r="B8" s="7" t="s">
        <v>369</v>
      </c>
      <c r="C8" s="11" t="s">
        <v>542</v>
      </c>
      <c r="D8" s="11" t="s">
        <v>542</v>
      </c>
      <c r="E8" s="7" t="s">
        <v>951</v>
      </c>
      <c r="F8" s="7" t="s">
        <v>1458</v>
      </c>
      <c r="G8" s="7" t="s">
        <v>924</v>
      </c>
      <c r="H8" s="7" t="s">
        <v>924</v>
      </c>
      <c r="I8" s="7"/>
      <c r="J8" s="7" t="s">
        <v>29</v>
      </c>
    </row>
    <row r="9" spans="1:10">
      <c r="A9" s="7" t="s">
        <v>334</v>
      </c>
      <c r="B9" s="7" t="s">
        <v>369</v>
      </c>
      <c r="C9" s="11" t="s">
        <v>542</v>
      </c>
      <c r="D9" s="11" t="s">
        <v>542</v>
      </c>
      <c r="E9" s="7" t="s">
        <v>619</v>
      </c>
      <c r="F9" s="66" t="s">
        <v>831</v>
      </c>
      <c r="G9" s="7" t="s">
        <v>1459</v>
      </c>
      <c r="H9" s="7" t="s">
        <v>1459</v>
      </c>
      <c r="I9" s="7" t="s">
        <v>1460</v>
      </c>
      <c r="J9" s="7" t="s">
        <v>29</v>
      </c>
    </row>
    <row r="10" spans="1:10">
      <c r="A10" s="7" t="s">
        <v>335</v>
      </c>
      <c r="B10" s="7" t="s">
        <v>369</v>
      </c>
      <c r="C10" s="11" t="s">
        <v>542</v>
      </c>
      <c r="D10" s="11" t="s">
        <v>542</v>
      </c>
      <c r="E10" s="7" t="s">
        <v>590</v>
      </c>
      <c r="F10" s="66" t="s">
        <v>831</v>
      </c>
      <c r="G10" s="7" t="s">
        <v>1140</v>
      </c>
      <c r="H10" s="7" t="s">
        <v>1141</v>
      </c>
      <c r="I10" s="7" t="s">
        <v>1461</v>
      </c>
      <c r="J10" s="131" t="s">
        <v>29</v>
      </c>
    </row>
    <row r="11" spans="1:10">
      <c r="A11" s="7" t="s">
        <v>338</v>
      </c>
      <c r="B11" s="7" t="s">
        <v>369</v>
      </c>
      <c r="C11" s="11" t="s">
        <v>542</v>
      </c>
      <c r="D11" s="11" t="s">
        <v>542</v>
      </c>
      <c r="E11" s="7" t="s">
        <v>609</v>
      </c>
      <c r="F11" s="7" t="s">
        <v>370</v>
      </c>
      <c r="G11" s="7" t="s">
        <v>874</v>
      </c>
      <c r="H11" s="7" t="s">
        <v>899</v>
      </c>
      <c r="I11" s="7"/>
      <c r="J11" s="131" t="s">
        <v>29</v>
      </c>
    </row>
    <row r="12" spans="1:10">
      <c r="A12" s="7" t="s">
        <v>1462</v>
      </c>
      <c r="B12" s="7" t="s">
        <v>369</v>
      </c>
      <c r="C12" s="11" t="s">
        <v>542</v>
      </c>
      <c r="D12" s="11" t="s">
        <v>542</v>
      </c>
      <c r="E12" s="7" t="s">
        <v>609</v>
      </c>
      <c r="F12" s="7" t="s">
        <v>370</v>
      </c>
      <c r="G12" s="7" t="s">
        <v>924</v>
      </c>
      <c r="H12" s="7" t="s">
        <v>924</v>
      </c>
      <c r="I12" s="7"/>
      <c r="J12" s="7" t="s">
        <v>29</v>
      </c>
    </row>
    <row r="13" spans="1:10">
      <c r="A13" s="7" t="s">
        <v>343</v>
      </c>
      <c r="B13" s="7" t="s">
        <v>369</v>
      </c>
      <c r="C13" s="11" t="s">
        <v>542</v>
      </c>
      <c r="D13" s="11" t="s">
        <v>542</v>
      </c>
      <c r="E13" s="7" t="s">
        <v>609</v>
      </c>
      <c r="F13" s="7" t="s">
        <v>370</v>
      </c>
      <c r="G13" s="7" t="s">
        <v>874</v>
      </c>
      <c r="H13" s="7" t="s">
        <v>899</v>
      </c>
      <c r="I13" s="7"/>
      <c r="J13" s="131" t="s">
        <v>29</v>
      </c>
    </row>
    <row r="14" spans="1:10">
      <c r="A14" s="7" t="s">
        <v>344</v>
      </c>
      <c r="B14" s="7" t="s">
        <v>369</v>
      </c>
      <c r="C14" s="11" t="s">
        <v>542</v>
      </c>
      <c r="D14" s="11" t="s">
        <v>542</v>
      </c>
      <c r="E14" s="7" t="s">
        <v>619</v>
      </c>
      <c r="F14" s="7" t="s">
        <v>370</v>
      </c>
      <c r="G14" s="7" t="s">
        <v>1463</v>
      </c>
      <c r="H14" s="7" t="s">
        <v>1463</v>
      </c>
      <c r="I14" s="7" t="s">
        <v>1460</v>
      </c>
      <c r="J14" s="7" t="s">
        <v>29</v>
      </c>
    </row>
    <row r="15" spans="1:10">
      <c r="A15" s="7" t="s">
        <v>345</v>
      </c>
      <c r="B15" s="7" t="s">
        <v>369</v>
      </c>
      <c r="C15" s="11" t="s">
        <v>542</v>
      </c>
      <c r="D15" s="11" t="s">
        <v>542</v>
      </c>
      <c r="E15" s="7" t="s">
        <v>619</v>
      </c>
      <c r="F15" s="7" t="s">
        <v>370</v>
      </c>
      <c r="G15" s="7" t="s">
        <v>1459</v>
      </c>
      <c r="H15" s="7" t="s">
        <v>1459</v>
      </c>
      <c r="I15" s="7" t="s">
        <v>1016</v>
      </c>
      <c r="J15" s="7" t="s">
        <v>29</v>
      </c>
    </row>
    <row r="16" spans="1:10">
      <c r="A16" s="7" t="s">
        <v>355</v>
      </c>
      <c r="B16" s="7" t="s">
        <v>369</v>
      </c>
      <c r="C16" s="11" t="s">
        <v>542</v>
      </c>
      <c r="D16" s="11" t="s">
        <v>542</v>
      </c>
      <c r="E16" s="7" t="s">
        <v>951</v>
      </c>
      <c r="F16" s="7" t="s">
        <v>370</v>
      </c>
      <c r="G16" s="7" t="s">
        <v>1033</v>
      </c>
      <c r="H16" s="7" t="s">
        <v>1033</v>
      </c>
      <c r="I16" s="251" t="s">
        <v>1464</v>
      </c>
      <c r="J16" s="7" t="s">
        <v>29</v>
      </c>
    </row>
    <row r="17" spans="1:10">
      <c r="A17" s="7" t="s">
        <v>356</v>
      </c>
      <c r="B17" s="7" t="s">
        <v>369</v>
      </c>
      <c r="C17" s="11" t="s">
        <v>542</v>
      </c>
      <c r="D17" s="11" t="s">
        <v>542</v>
      </c>
      <c r="E17" s="7" t="s">
        <v>816</v>
      </c>
      <c r="F17" s="7" t="s">
        <v>370</v>
      </c>
      <c r="G17" s="7" t="s">
        <v>818</v>
      </c>
      <c r="H17" s="7" t="s">
        <v>818</v>
      </c>
      <c r="I17" s="7"/>
      <c r="J17" s="7" t="s">
        <v>29</v>
      </c>
    </row>
    <row r="18" spans="1:10">
      <c r="A18" s="7" t="s">
        <v>358</v>
      </c>
      <c r="B18" s="7" t="s">
        <v>369</v>
      </c>
      <c r="C18" s="11" t="s">
        <v>542</v>
      </c>
      <c r="D18" s="11" t="s">
        <v>542</v>
      </c>
      <c r="E18" s="7" t="s">
        <v>592</v>
      </c>
      <c r="F18" s="7" t="s">
        <v>370</v>
      </c>
      <c r="G18" s="7" t="s">
        <v>825</v>
      </c>
      <c r="H18" s="7" t="s">
        <v>1465</v>
      </c>
      <c r="I18" s="7" t="s">
        <v>1466</v>
      </c>
      <c r="J18" s="7" t="s">
        <v>29</v>
      </c>
    </row>
    <row r="19" spans="1:10">
      <c r="A19" s="7" t="s">
        <v>360</v>
      </c>
      <c r="B19" s="7" t="s">
        <v>369</v>
      </c>
      <c r="C19" s="11" t="s">
        <v>542</v>
      </c>
      <c r="D19" s="11" t="s">
        <v>542</v>
      </c>
      <c r="E19" s="7" t="s">
        <v>951</v>
      </c>
      <c r="F19" s="7" t="s">
        <v>370</v>
      </c>
      <c r="G19" s="7" t="s">
        <v>952</v>
      </c>
      <c r="H19" s="7" t="s">
        <v>952</v>
      </c>
      <c r="I19" s="7"/>
      <c r="J19" s="131" t="s">
        <v>29</v>
      </c>
    </row>
    <row r="20" spans="1:10">
      <c r="A20" s="7" t="s">
        <v>361</v>
      </c>
      <c r="B20" s="7" t="s">
        <v>369</v>
      </c>
      <c r="C20" s="11" t="s">
        <v>542</v>
      </c>
      <c r="D20" s="11" t="s">
        <v>542</v>
      </c>
      <c r="E20" s="7" t="s">
        <v>951</v>
      </c>
      <c r="F20" s="7" t="s">
        <v>370</v>
      </c>
      <c r="G20" s="7" t="s">
        <v>952</v>
      </c>
      <c r="H20" s="7" t="s">
        <v>952</v>
      </c>
      <c r="I20" s="7"/>
      <c r="J20" s="131" t="s">
        <v>29</v>
      </c>
    </row>
    <row r="21" spans="1:10">
      <c r="A21" s="7" t="s">
        <v>362</v>
      </c>
      <c r="B21" s="7" t="s">
        <v>369</v>
      </c>
      <c r="C21" s="11" t="s">
        <v>542</v>
      </c>
      <c r="D21" s="11" t="s">
        <v>542</v>
      </c>
      <c r="E21" s="7" t="s">
        <v>1287</v>
      </c>
      <c r="F21" s="7" t="s">
        <v>370</v>
      </c>
      <c r="G21" s="7" t="s">
        <v>825</v>
      </c>
      <c r="H21" s="7" t="s">
        <v>825</v>
      </c>
      <c r="I21" s="7" t="s">
        <v>1467</v>
      </c>
      <c r="J21" s="131" t="s">
        <v>29</v>
      </c>
    </row>
    <row r="22" spans="1:10">
      <c r="A22" s="8" t="s">
        <v>1468</v>
      </c>
      <c r="B22" s="8" t="s">
        <v>369</v>
      </c>
      <c r="C22" s="9" t="s">
        <v>542</v>
      </c>
      <c r="D22" s="9" t="s">
        <v>542</v>
      </c>
      <c r="E22" s="8" t="s">
        <v>1469</v>
      </c>
      <c r="F22" s="8" t="s">
        <v>370</v>
      </c>
      <c r="G22" s="8" t="s">
        <v>924</v>
      </c>
      <c r="H22" s="8" t="s">
        <v>924</v>
      </c>
      <c r="I22" s="8"/>
      <c r="J22" s="7" t="s">
        <v>29</v>
      </c>
    </row>
    <row r="23" spans="1:10">
      <c r="A23" s="8" t="s">
        <v>1470</v>
      </c>
      <c r="B23" s="8" t="s">
        <v>369</v>
      </c>
      <c r="C23" s="9" t="s">
        <v>542</v>
      </c>
      <c r="D23" s="9" t="s">
        <v>542</v>
      </c>
      <c r="E23" s="8" t="s">
        <v>1469</v>
      </c>
      <c r="F23" s="8" t="s">
        <v>370</v>
      </c>
      <c r="G23" s="8" t="s">
        <v>952</v>
      </c>
      <c r="H23" s="8" t="s">
        <v>952</v>
      </c>
      <c r="I23" s="8"/>
      <c r="J23" s="7" t="s">
        <v>29</v>
      </c>
    </row>
    <row r="24" spans="1:10">
      <c r="A24" s="7" t="s">
        <v>365</v>
      </c>
      <c r="B24" s="7" t="s">
        <v>369</v>
      </c>
      <c r="C24" s="11" t="s">
        <v>542</v>
      </c>
      <c r="D24" s="11" t="s">
        <v>542</v>
      </c>
      <c r="E24" s="7" t="s">
        <v>614</v>
      </c>
      <c r="F24" s="7" t="s">
        <v>370</v>
      </c>
      <c r="G24" s="7" t="s">
        <v>1024</v>
      </c>
      <c r="H24" s="7" t="s">
        <v>1471</v>
      </c>
      <c r="I24" s="7"/>
      <c r="J24" s="7" t="s">
        <v>29</v>
      </c>
    </row>
    <row r="25" spans="1:10">
      <c r="A25" s="7" t="s">
        <v>1472</v>
      </c>
      <c r="B25" s="7" t="s">
        <v>369</v>
      </c>
      <c r="C25" s="11" t="s">
        <v>565</v>
      </c>
      <c r="D25" s="11" t="s">
        <v>565</v>
      </c>
      <c r="E25" s="7" t="s">
        <v>1473</v>
      </c>
      <c r="F25" s="7" t="s">
        <v>370</v>
      </c>
      <c r="G25" s="7" t="s">
        <v>1474</v>
      </c>
      <c r="H25" s="7" t="s">
        <v>1474</v>
      </c>
      <c r="I25" s="7"/>
      <c r="J25" s="7" t="s">
        <v>29</v>
      </c>
    </row>
    <row r="26" spans="1:10">
      <c r="A26" s="7" t="s">
        <v>1475</v>
      </c>
      <c r="B26" s="7" t="s">
        <v>369</v>
      </c>
      <c r="C26" s="11" t="s">
        <v>542</v>
      </c>
      <c r="D26" s="11" t="s">
        <v>542</v>
      </c>
      <c r="E26" s="7" t="s">
        <v>1476</v>
      </c>
      <c r="F26" s="7" t="s">
        <v>1477</v>
      </c>
      <c r="G26" s="7" t="s">
        <v>924</v>
      </c>
      <c r="H26" s="7" t="s">
        <v>924</v>
      </c>
      <c r="I26" s="7"/>
      <c r="J26" s="7" t="s">
        <v>29</v>
      </c>
    </row>
    <row r="27" spans="1:10">
      <c r="A27" s="7" t="s">
        <v>378</v>
      </c>
      <c r="B27" s="7" t="s">
        <v>369</v>
      </c>
      <c r="C27" s="11" t="s">
        <v>985</v>
      </c>
      <c r="D27" s="11" t="s">
        <v>985</v>
      </c>
      <c r="E27" s="7" t="s">
        <v>951</v>
      </c>
      <c r="F27" s="7" t="s">
        <v>750</v>
      </c>
      <c r="G27" s="7" t="s">
        <v>952</v>
      </c>
      <c r="H27" s="7" t="s">
        <v>952</v>
      </c>
      <c r="I27" s="7" t="s">
        <v>1478</v>
      </c>
      <c r="J27" s="131" t="s">
        <v>29</v>
      </c>
    </row>
    <row r="28" spans="1:10">
      <c r="A28" s="7" t="s">
        <v>1479</v>
      </c>
      <c r="B28" s="7" t="s">
        <v>369</v>
      </c>
      <c r="C28" s="11" t="s">
        <v>544</v>
      </c>
      <c r="D28" s="11" t="s">
        <v>544</v>
      </c>
      <c r="E28" s="7" t="s">
        <v>969</v>
      </c>
      <c r="F28" s="7" t="s">
        <v>370</v>
      </c>
      <c r="G28" s="7" t="s">
        <v>924</v>
      </c>
      <c r="H28" s="7" t="s">
        <v>924</v>
      </c>
      <c r="I28" s="7"/>
      <c r="J28" s="7" t="s">
        <v>29</v>
      </c>
    </row>
    <row r="29" spans="1:10">
      <c r="A29" s="7" t="s">
        <v>379</v>
      </c>
      <c r="B29" s="7" t="s">
        <v>369</v>
      </c>
      <c r="C29" s="9" t="s">
        <v>542</v>
      </c>
      <c r="D29" s="11" t="s">
        <v>568</v>
      </c>
      <c r="E29" s="7" t="s">
        <v>593</v>
      </c>
      <c r="F29" s="7" t="s">
        <v>594</v>
      </c>
      <c r="G29" s="7" t="s">
        <v>839</v>
      </c>
      <c r="H29" s="7" t="s">
        <v>840</v>
      </c>
      <c r="I29" s="7"/>
      <c r="J29" s="7" t="s">
        <v>29</v>
      </c>
    </row>
    <row r="30" spans="1:10">
      <c r="A30" s="7" t="s">
        <v>1480</v>
      </c>
      <c r="B30" s="7" t="s">
        <v>369</v>
      </c>
      <c r="C30" s="9" t="s">
        <v>542</v>
      </c>
      <c r="D30" s="11" t="s">
        <v>568</v>
      </c>
      <c r="E30" s="7" t="s">
        <v>851</v>
      </c>
      <c r="F30" s="7" t="s">
        <v>594</v>
      </c>
      <c r="G30" s="7" t="s">
        <v>924</v>
      </c>
      <c r="H30" s="7" t="s">
        <v>924</v>
      </c>
      <c r="I30" s="7"/>
      <c r="J30" s="7" t="s">
        <v>29</v>
      </c>
    </row>
    <row r="31" spans="1:10">
      <c r="A31" s="7" t="s">
        <v>381</v>
      </c>
      <c r="B31" s="7" t="s">
        <v>369</v>
      </c>
      <c r="C31" s="9" t="s">
        <v>542</v>
      </c>
      <c r="D31" s="11" t="s">
        <v>568</v>
      </c>
      <c r="E31" s="7" t="s">
        <v>593</v>
      </c>
      <c r="F31" s="7" t="s">
        <v>594</v>
      </c>
      <c r="G31" s="7" t="s">
        <v>839</v>
      </c>
      <c r="H31" s="7" t="s">
        <v>840</v>
      </c>
      <c r="I31" s="7"/>
      <c r="J31" s="7" t="s">
        <v>29</v>
      </c>
    </row>
    <row r="32" spans="1:10">
      <c r="A32" s="7" t="s">
        <v>383</v>
      </c>
      <c r="B32" s="7" t="s">
        <v>369</v>
      </c>
      <c r="C32" s="9" t="s">
        <v>542</v>
      </c>
      <c r="D32" s="11" t="s">
        <v>568</v>
      </c>
      <c r="E32" s="7" t="s">
        <v>593</v>
      </c>
      <c r="F32" s="7" t="s">
        <v>594</v>
      </c>
      <c r="G32" s="7" t="s">
        <v>839</v>
      </c>
      <c r="H32" s="7" t="s">
        <v>840</v>
      </c>
      <c r="I32" s="7"/>
      <c r="J32" s="7" t="s">
        <v>29</v>
      </c>
    </row>
    <row r="33" spans="1:10">
      <c r="A33" s="7" t="s">
        <v>385</v>
      </c>
      <c r="B33" s="7" t="s">
        <v>369</v>
      </c>
      <c r="C33" s="11" t="s">
        <v>542</v>
      </c>
      <c r="D33" s="11" t="s">
        <v>542</v>
      </c>
      <c r="E33" s="7" t="s">
        <v>590</v>
      </c>
      <c r="F33" s="66" t="s">
        <v>831</v>
      </c>
      <c r="G33" s="7" t="s">
        <v>1140</v>
      </c>
      <c r="H33" s="7" t="s">
        <v>1141</v>
      </c>
      <c r="I33" s="7" t="s">
        <v>1461</v>
      </c>
      <c r="J33" s="131" t="s">
        <v>29</v>
      </c>
    </row>
    <row r="34" spans="1:10">
      <c r="A34" s="7" t="s">
        <v>1481</v>
      </c>
      <c r="B34" s="7" t="s">
        <v>369</v>
      </c>
      <c r="C34" s="11" t="s">
        <v>542</v>
      </c>
      <c r="D34" s="11" t="s">
        <v>542</v>
      </c>
      <c r="E34" s="7" t="s">
        <v>1029</v>
      </c>
      <c r="F34" s="7" t="s">
        <v>370</v>
      </c>
      <c r="G34" s="7" t="s">
        <v>924</v>
      </c>
      <c r="H34" s="7" t="s">
        <v>924</v>
      </c>
      <c r="I34" s="7" t="s">
        <v>1482</v>
      </c>
      <c r="J34" s="7" t="s">
        <v>29</v>
      </c>
    </row>
    <row r="35" spans="1:10">
      <c r="A35" s="7" t="s">
        <v>386</v>
      </c>
      <c r="B35" s="7" t="s">
        <v>369</v>
      </c>
      <c r="C35" s="11" t="s">
        <v>542</v>
      </c>
      <c r="D35" s="11" t="s">
        <v>542</v>
      </c>
      <c r="E35" s="7" t="s">
        <v>590</v>
      </c>
      <c r="F35" s="66" t="s">
        <v>831</v>
      </c>
      <c r="G35" s="7" t="s">
        <v>1140</v>
      </c>
      <c r="H35" s="7" t="s">
        <v>1141</v>
      </c>
      <c r="I35" s="7" t="s">
        <v>1461</v>
      </c>
      <c r="J35" s="131" t="s">
        <v>29</v>
      </c>
    </row>
    <row r="36" spans="1:10">
      <c r="A36" s="7" t="s">
        <v>503</v>
      </c>
      <c r="B36" s="7" t="s">
        <v>369</v>
      </c>
      <c r="C36" t="s">
        <v>752</v>
      </c>
      <c r="D36" s="11" t="s">
        <v>569</v>
      </c>
      <c r="E36" s="7" t="s">
        <v>956</v>
      </c>
      <c r="F36" s="7" t="s">
        <v>370</v>
      </c>
      <c r="G36" s="7" t="s">
        <v>924</v>
      </c>
      <c r="H36" s="8" t="s">
        <v>1483</v>
      </c>
      <c r="I36" s="7"/>
      <c r="J36" s="7" t="s">
        <v>29</v>
      </c>
    </row>
    <row r="37" spans="1:10">
      <c r="A37" s="7" t="s">
        <v>388</v>
      </c>
      <c r="B37" s="7" t="s">
        <v>369</v>
      </c>
      <c r="C37" t="s">
        <v>752</v>
      </c>
      <c r="D37" s="11" t="s">
        <v>569</v>
      </c>
      <c r="E37" s="7" t="s">
        <v>956</v>
      </c>
      <c r="F37" s="7" t="s">
        <v>503</v>
      </c>
      <c r="G37" s="7" t="s">
        <v>1484</v>
      </c>
      <c r="H37" s="7" t="s">
        <v>1484</v>
      </c>
      <c r="I37" s="7"/>
      <c r="J37" s="7" t="s">
        <v>29</v>
      </c>
    </row>
    <row r="38" spans="1:10">
      <c r="A38" s="7" t="s">
        <v>391</v>
      </c>
      <c r="B38" s="7" t="s">
        <v>369</v>
      </c>
      <c r="C38" s="11" t="s">
        <v>391</v>
      </c>
      <c r="D38" s="11" t="s">
        <v>391</v>
      </c>
      <c r="E38" s="7" t="s">
        <v>677</v>
      </c>
      <c r="F38" s="7" t="s">
        <v>370</v>
      </c>
      <c r="G38" s="7" t="s">
        <v>1061</v>
      </c>
      <c r="H38" s="7" t="s">
        <v>1061</v>
      </c>
      <c r="I38" s="7"/>
      <c r="J38" s="7"/>
    </row>
    <row r="39" spans="1:10">
      <c r="A39" s="7" t="s">
        <v>1485</v>
      </c>
      <c r="B39" s="7" t="s">
        <v>369</v>
      </c>
      <c r="C39" s="11" t="s">
        <v>542</v>
      </c>
      <c r="D39" s="11" t="s">
        <v>565</v>
      </c>
      <c r="E39" s="7" t="s">
        <v>836</v>
      </c>
      <c r="F39" s="7" t="s">
        <v>370</v>
      </c>
      <c r="G39" s="7" t="s">
        <v>924</v>
      </c>
      <c r="H39" s="8" t="s">
        <v>1483</v>
      </c>
      <c r="I39" s="7" t="s">
        <v>1486</v>
      </c>
      <c r="J39" s="7"/>
    </row>
    <row r="40" spans="1:10">
      <c r="A40" s="7" t="s">
        <v>1487</v>
      </c>
      <c r="B40" s="7" t="s">
        <v>369</v>
      </c>
      <c r="C40" s="11" t="s">
        <v>542</v>
      </c>
      <c r="D40" s="11" t="s">
        <v>542</v>
      </c>
      <c r="E40" s="7" t="s">
        <v>836</v>
      </c>
      <c r="F40" s="7" t="s">
        <v>370</v>
      </c>
      <c r="G40" s="7" t="s">
        <v>924</v>
      </c>
      <c r="H40" s="8" t="s">
        <v>924</v>
      </c>
      <c r="I40" s="7"/>
      <c r="J40" s="7" t="s">
        <v>29</v>
      </c>
    </row>
    <row r="41" spans="1:10">
      <c r="A41" s="7" t="s">
        <v>392</v>
      </c>
      <c r="B41" s="7" t="s">
        <v>369</v>
      </c>
      <c r="C41" s="9" t="s">
        <v>542</v>
      </c>
      <c r="D41" s="11" t="s">
        <v>570</v>
      </c>
      <c r="E41" s="7" t="s">
        <v>678</v>
      </c>
      <c r="F41" s="7" t="s">
        <v>679</v>
      </c>
      <c r="G41" s="7" t="s">
        <v>868</v>
      </c>
      <c r="H41" s="7" t="s">
        <v>868</v>
      </c>
      <c r="I41" s="7"/>
      <c r="J41" s="7"/>
    </row>
    <row r="42" spans="1:10">
      <c r="A42" s="7" t="s">
        <v>394</v>
      </c>
      <c r="B42" s="7" t="s">
        <v>369</v>
      </c>
      <c r="C42" s="11" t="s">
        <v>542</v>
      </c>
      <c r="D42" s="11" t="s">
        <v>542</v>
      </c>
      <c r="E42" s="7" t="s">
        <v>1172</v>
      </c>
      <c r="F42" s="7" t="s">
        <v>370</v>
      </c>
      <c r="G42" s="7" t="s">
        <v>1281</v>
      </c>
      <c r="H42" s="7" t="s">
        <v>1281</v>
      </c>
      <c r="I42" s="7"/>
      <c r="J42" s="7" t="s">
        <v>29</v>
      </c>
    </row>
    <row r="43" spans="1:10">
      <c r="A43" s="7" t="s">
        <v>1488</v>
      </c>
      <c r="B43" s="7" t="s">
        <v>369</v>
      </c>
      <c r="C43" t="s">
        <v>752</v>
      </c>
      <c r="D43" s="11" t="s">
        <v>569</v>
      </c>
      <c r="E43" s="7" t="s">
        <v>956</v>
      </c>
      <c r="F43" s="7" t="s">
        <v>370</v>
      </c>
      <c r="G43" s="7" t="s">
        <v>924</v>
      </c>
      <c r="H43" s="7" t="s">
        <v>924</v>
      </c>
      <c r="I43" s="7"/>
      <c r="J43" s="7" t="s">
        <v>29</v>
      </c>
    </row>
    <row r="44" spans="1:10">
      <c r="A44" s="7" t="s">
        <v>1489</v>
      </c>
      <c r="B44" s="7" t="s">
        <v>369</v>
      </c>
      <c r="C44" t="s">
        <v>752</v>
      </c>
      <c r="D44" s="11" t="s">
        <v>569</v>
      </c>
      <c r="E44" s="7" t="s">
        <v>956</v>
      </c>
      <c r="F44" s="7" t="s">
        <v>370</v>
      </c>
      <c r="G44" s="7" t="s">
        <v>924</v>
      </c>
      <c r="H44" s="7" t="s">
        <v>924</v>
      </c>
      <c r="I44" s="7"/>
      <c r="J44" s="7" t="s">
        <v>29</v>
      </c>
    </row>
    <row r="45" spans="1:10">
      <c r="A45" s="7" t="s">
        <v>1490</v>
      </c>
      <c r="B45" s="7" t="s">
        <v>369</v>
      </c>
      <c r="C45" s="11" t="s">
        <v>542</v>
      </c>
      <c r="D45" s="11" t="s">
        <v>542</v>
      </c>
      <c r="E45" s="7" t="s">
        <v>1491</v>
      </c>
      <c r="F45" s="7" t="s">
        <v>1492</v>
      </c>
      <c r="G45" s="8" t="s">
        <v>871</v>
      </c>
      <c r="H45" s="8" t="s">
        <v>1483</v>
      </c>
      <c r="I45" s="8" t="s">
        <v>1493</v>
      </c>
      <c r="J45" s="7"/>
    </row>
    <row r="46" spans="1:10">
      <c r="A46" s="7" t="s">
        <v>1494</v>
      </c>
      <c r="B46" s="7" t="s">
        <v>369</v>
      </c>
      <c r="C46" s="11" t="s">
        <v>542</v>
      </c>
      <c r="D46" s="11" t="s">
        <v>542</v>
      </c>
      <c r="E46" s="7" t="s">
        <v>1495</v>
      </c>
      <c r="F46" s="7" t="s">
        <v>370</v>
      </c>
      <c r="G46" s="7" t="s">
        <v>924</v>
      </c>
      <c r="H46" s="7" t="s">
        <v>924</v>
      </c>
      <c r="I46" s="7"/>
      <c r="J46" s="7" t="s">
        <v>29</v>
      </c>
    </row>
    <row r="47" spans="1:10">
      <c r="A47" s="7" t="s">
        <v>1496</v>
      </c>
      <c r="B47" s="7" t="s">
        <v>369</v>
      </c>
      <c r="C47" s="11" t="s">
        <v>542</v>
      </c>
      <c r="D47" s="11" t="s">
        <v>542</v>
      </c>
      <c r="E47" s="7" t="s">
        <v>592</v>
      </c>
      <c r="F47" s="7" t="s">
        <v>370</v>
      </c>
      <c r="G47" s="7" t="s">
        <v>924</v>
      </c>
      <c r="H47" s="7" t="s">
        <v>924</v>
      </c>
      <c r="I47" s="7"/>
      <c r="J47" s="7" t="s">
        <v>29</v>
      </c>
    </row>
    <row r="48" spans="1:10">
      <c r="A48" s="7" t="s">
        <v>401</v>
      </c>
      <c r="B48" s="7" t="s">
        <v>369</v>
      </c>
      <c r="C48" s="11" t="s">
        <v>544</v>
      </c>
      <c r="D48" s="11" t="s">
        <v>544</v>
      </c>
      <c r="E48" s="7" t="s">
        <v>601</v>
      </c>
      <c r="F48" s="7" t="s">
        <v>1032</v>
      </c>
      <c r="G48" s="7" t="s">
        <v>1033</v>
      </c>
      <c r="H48" s="7" t="s">
        <v>1033</v>
      </c>
      <c r="I48" s="251" t="s">
        <v>1464</v>
      </c>
      <c r="J48" s="7" t="s">
        <v>29</v>
      </c>
    </row>
    <row r="49" spans="1:10">
      <c r="A49" s="7" t="s">
        <v>402</v>
      </c>
      <c r="B49" s="7" t="s">
        <v>369</v>
      </c>
      <c r="C49" s="11" t="s">
        <v>544</v>
      </c>
      <c r="D49" s="11" t="s">
        <v>544</v>
      </c>
      <c r="E49" s="7" t="s">
        <v>601</v>
      </c>
      <c r="F49" s="7" t="s">
        <v>1032</v>
      </c>
      <c r="G49" s="7" t="s">
        <v>1033</v>
      </c>
      <c r="H49" s="7" t="s">
        <v>1033</v>
      </c>
      <c r="I49" s="251" t="s">
        <v>1464</v>
      </c>
      <c r="J49" s="7" t="s">
        <v>29</v>
      </c>
    </row>
    <row r="50" spans="1:10">
      <c r="A50" s="7" t="s">
        <v>403</v>
      </c>
      <c r="B50" s="7" t="s">
        <v>369</v>
      </c>
      <c r="C50" s="11" t="s">
        <v>544</v>
      </c>
      <c r="D50" s="11" t="s">
        <v>544</v>
      </c>
      <c r="E50" s="7" t="s">
        <v>601</v>
      </c>
      <c r="F50" s="7" t="s">
        <v>1032</v>
      </c>
      <c r="G50" s="7" t="s">
        <v>1033</v>
      </c>
      <c r="H50" s="7" t="s">
        <v>1033</v>
      </c>
      <c r="I50" s="251" t="s">
        <v>1464</v>
      </c>
      <c r="J50" s="7" t="s">
        <v>29</v>
      </c>
    </row>
    <row r="51" spans="1:10">
      <c r="A51" s="7" t="s">
        <v>404</v>
      </c>
      <c r="B51" s="7" t="s">
        <v>369</v>
      </c>
      <c r="C51" s="11" t="s">
        <v>544</v>
      </c>
      <c r="D51" s="11" t="s">
        <v>544</v>
      </c>
      <c r="E51" s="7" t="s">
        <v>601</v>
      </c>
      <c r="F51" s="7" t="s">
        <v>1032</v>
      </c>
      <c r="G51" s="7" t="s">
        <v>1033</v>
      </c>
      <c r="H51" s="7" t="s">
        <v>1033</v>
      </c>
      <c r="I51" s="251" t="s">
        <v>1464</v>
      </c>
      <c r="J51" s="7" t="s">
        <v>29</v>
      </c>
    </row>
    <row r="52" spans="1:10">
      <c r="A52" s="7" t="s">
        <v>1497</v>
      </c>
      <c r="B52" s="7" t="s">
        <v>369</v>
      </c>
      <c r="C52" s="11" t="s">
        <v>544</v>
      </c>
      <c r="D52" s="11" t="s">
        <v>544</v>
      </c>
      <c r="E52" s="7" t="s">
        <v>597</v>
      </c>
      <c r="F52" s="7" t="s">
        <v>1498</v>
      </c>
      <c r="G52" s="7" t="s">
        <v>818</v>
      </c>
      <c r="H52" s="7" t="s">
        <v>818</v>
      </c>
      <c r="I52" s="7"/>
      <c r="J52" s="7" t="s">
        <v>29</v>
      </c>
    </row>
    <row r="53" spans="1:10">
      <c r="A53" s="7" t="s">
        <v>408</v>
      </c>
      <c r="B53" s="7" t="s">
        <v>369</v>
      </c>
      <c r="C53" s="9" t="s">
        <v>542</v>
      </c>
      <c r="D53" s="11" t="s">
        <v>567</v>
      </c>
      <c r="E53" s="7" t="s">
        <v>822</v>
      </c>
      <c r="F53" s="7" t="s">
        <v>600</v>
      </c>
      <c r="G53" s="7" t="s">
        <v>874</v>
      </c>
      <c r="H53" s="7" t="s">
        <v>899</v>
      </c>
      <c r="I53" s="7"/>
      <c r="J53" s="131" t="s">
        <v>29</v>
      </c>
    </row>
    <row r="54" spans="1:10">
      <c r="A54" s="8" t="s">
        <v>409</v>
      </c>
      <c r="B54" s="8" t="s">
        <v>369</v>
      </c>
      <c r="C54" s="9" t="s">
        <v>542</v>
      </c>
      <c r="D54" s="9" t="s">
        <v>567</v>
      </c>
      <c r="E54" s="7" t="s">
        <v>822</v>
      </c>
      <c r="F54" s="8" t="s">
        <v>600</v>
      </c>
      <c r="G54" s="7" t="s">
        <v>1499</v>
      </c>
      <c r="H54" s="7" t="s">
        <v>824</v>
      </c>
      <c r="I54" s="7"/>
      <c r="J54" s="7" t="s">
        <v>29</v>
      </c>
    </row>
    <row r="55" spans="1:10">
      <c r="A55" s="8" t="s">
        <v>1500</v>
      </c>
      <c r="B55" s="8" t="s">
        <v>369</v>
      </c>
      <c r="C55" s="9" t="s">
        <v>542</v>
      </c>
      <c r="D55" s="9" t="s">
        <v>567</v>
      </c>
      <c r="E55" s="7" t="s">
        <v>951</v>
      </c>
      <c r="F55" s="8" t="s">
        <v>600</v>
      </c>
      <c r="G55" s="7" t="s">
        <v>952</v>
      </c>
      <c r="H55" s="7" t="s">
        <v>952</v>
      </c>
      <c r="I55" s="8" t="s">
        <v>1501</v>
      </c>
      <c r="J55" s="131" t="s">
        <v>29</v>
      </c>
    </row>
    <row r="56" spans="1:10">
      <c r="A56" s="7" t="s">
        <v>331</v>
      </c>
      <c r="B56" s="8" t="s">
        <v>369</v>
      </c>
      <c r="C56" s="9" t="s">
        <v>542</v>
      </c>
      <c r="D56" s="11" t="s">
        <v>567</v>
      </c>
      <c r="E56" s="7" t="s">
        <v>822</v>
      </c>
      <c r="F56" s="7" t="s">
        <v>600</v>
      </c>
      <c r="G56" s="7" t="s">
        <v>952</v>
      </c>
      <c r="H56" s="7" t="s">
        <v>952</v>
      </c>
    </row>
    <row r="57" spans="1:10">
      <c r="A57" s="7" t="s">
        <v>340</v>
      </c>
      <c r="B57" s="8" t="s">
        <v>369</v>
      </c>
      <c r="C57" s="9" t="s">
        <v>542</v>
      </c>
      <c r="D57" s="11" t="s">
        <v>542</v>
      </c>
      <c r="E57" t="s">
        <v>609</v>
      </c>
      <c r="F57" s="7" t="s">
        <v>370</v>
      </c>
      <c r="G57" s="7" t="s">
        <v>874</v>
      </c>
      <c r="H57" s="7" t="s">
        <v>878</v>
      </c>
      <c r="I57" s="251" t="s">
        <v>1502</v>
      </c>
      <c r="J57" s="147" t="s">
        <v>29</v>
      </c>
    </row>
    <row r="58" spans="1:10">
      <c r="A58" s="7" t="s">
        <v>359</v>
      </c>
      <c r="B58" s="8" t="s">
        <v>369</v>
      </c>
      <c r="C58" s="11" t="s">
        <v>560</v>
      </c>
      <c r="D58" s="11" t="s">
        <v>560</v>
      </c>
      <c r="E58" s="11" t="s">
        <v>560</v>
      </c>
      <c r="F58" s="7" t="s">
        <v>560</v>
      </c>
      <c r="G58" s="7" t="s">
        <v>1503</v>
      </c>
      <c r="H58" s="7" t="s">
        <v>1086</v>
      </c>
      <c r="I58" s="251" t="s">
        <v>1504</v>
      </c>
      <c r="J58" s="147" t="s">
        <v>29</v>
      </c>
    </row>
    <row r="59" spans="1:10">
      <c r="A59" t="s">
        <v>389</v>
      </c>
      <c r="B59" s="8" t="s">
        <v>369</v>
      </c>
      <c r="C59" t="s">
        <v>752</v>
      </c>
      <c r="D59" t="s">
        <v>752</v>
      </c>
      <c r="E59" s="7" t="s">
        <v>956</v>
      </c>
      <c r="F59" s="7" t="s">
        <v>503</v>
      </c>
      <c r="G59" s="7" t="s">
        <v>1484</v>
      </c>
      <c r="H59" s="7" t="s">
        <v>1484</v>
      </c>
    </row>
    <row r="60" spans="1:10">
      <c r="A60" t="s">
        <v>390</v>
      </c>
      <c r="B60" s="8" t="s">
        <v>369</v>
      </c>
      <c r="C60" t="s">
        <v>752</v>
      </c>
      <c r="D60" t="s">
        <v>752</v>
      </c>
      <c r="E60" s="7" t="s">
        <v>956</v>
      </c>
      <c r="F60" s="7" t="s">
        <v>503</v>
      </c>
      <c r="G60" s="7" t="s">
        <v>1484</v>
      </c>
      <c r="H60" s="7" t="s">
        <v>1484</v>
      </c>
    </row>
    <row r="61" spans="1:10">
      <c r="A61" t="s">
        <v>347</v>
      </c>
      <c r="B61" s="8" t="s">
        <v>369</v>
      </c>
      <c r="C61" s="9" t="s">
        <v>542</v>
      </c>
      <c r="D61" t="s">
        <v>542</v>
      </c>
      <c r="E61" t="s">
        <v>609</v>
      </c>
      <c r="F61" s="7" t="s">
        <v>370</v>
      </c>
      <c r="G61" s="7" t="s">
        <v>874</v>
      </c>
      <c r="H61" s="7" t="s">
        <v>1505</v>
      </c>
      <c r="I61" s="251" t="s">
        <v>1506</v>
      </c>
    </row>
    <row r="62" spans="1:10">
      <c r="A62" t="s">
        <v>342</v>
      </c>
      <c r="B62" s="8" t="s">
        <v>369</v>
      </c>
      <c r="C62" s="9" t="s">
        <v>542</v>
      </c>
      <c r="D62" t="s">
        <v>542</v>
      </c>
      <c r="E62" t="s">
        <v>1507</v>
      </c>
      <c r="F62" s="7" t="s">
        <v>370</v>
      </c>
      <c r="G62" s="7" t="s">
        <v>874</v>
      </c>
      <c r="H62" s="7" t="s">
        <v>1508</v>
      </c>
      <c r="J62" s="147" t="s">
        <v>29</v>
      </c>
    </row>
    <row r="63" spans="1:10">
      <c r="A63" t="s">
        <v>367</v>
      </c>
      <c r="B63" s="8" t="s">
        <v>369</v>
      </c>
      <c r="C63" s="9" t="s">
        <v>542</v>
      </c>
      <c r="D63" s="11" t="s">
        <v>568</v>
      </c>
      <c r="E63" t="s">
        <v>943</v>
      </c>
      <c r="F63" s="7" t="s">
        <v>370</v>
      </c>
      <c r="G63" s="7" t="s">
        <v>944</v>
      </c>
      <c r="H63" s="7" t="s">
        <v>1509</v>
      </c>
      <c r="I63" t="s">
        <v>1510</v>
      </c>
    </row>
    <row r="64" spans="1:10">
      <c r="A64" t="s">
        <v>376</v>
      </c>
      <c r="B64" s="8" t="s">
        <v>369</v>
      </c>
      <c r="C64" s="9" t="s">
        <v>542</v>
      </c>
      <c r="D64" s="11" t="s">
        <v>568</v>
      </c>
      <c r="E64" s="7" t="s">
        <v>666</v>
      </c>
      <c r="F64" s="7" t="s">
        <v>935</v>
      </c>
      <c r="G64" s="7" t="s">
        <v>936</v>
      </c>
      <c r="H64" s="7" t="s">
        <v>1511</v>
      </c>
      <c r="I64" t="s">
        <v>1512</v>
      </c>
    </row>
    <row r="65" spans="1:10">
      <c r="A65" t="s">
        <v>387</v>
      </c>
      <c r="B65" s="8" t="s">
        <v>369</v>
      </c>
      <c r="C65" s="9" t="s">
        <v>542</v>
      </c>
      <c r="D65" s="9" t="s">
        <v>568</v>
      </c>
      <c r="E65" s="9" t="s">
        <v>1513</v>
      </c>
      <c r="F65" s="9" t="s">
        <v>1514</v>
      </c>
      <c r="G65" s="9" t="s">
        <v>1515</v>
      </c>
      <c r="H65" s="9" t="s">
        <v>1272</v>
      </c>
      <c r="I65" s="9" t="s">
        <v>1516</v>
      </c>
      <c r="J65" t="s">
        <v>29</v>
      </c>
    </row>
    <row r="66" spans="1:10">
      <c r="A66" t="s">
        <v>357</v>
      </c>
      <c r="B66" s="8" t="s">
        <v>369</v>
      </c>
      <c r="C66" s="9" t="s">
        <v>572</v>
      </c>
      <c r="D66" s="9" t="s">
        <v>1517</v>
      </c>
      <c r="E66" s="9" t="s">
        <v>1518</v>
      </c>
      <c r="F66" s="9" t="s">
        <v>935</v>
      </c>
      <c r="G66" s="9" t="s">
        <v>1519</v>
      </c>
      <c r="H66" s="9" t="s">
        <v>1520</v>
      </c>
      <c r="I66" s="9" t="s">
        <v>1521</v>
      </c>
    </row>
    <row r="67" spans="1:10">
      <c r="A67" t="s">
        <v>377</v>
      </c>
      <c r="B67" s="8" t="s">
        <v>369</v>
      </c>
      <c r="C67" s="9" t="s">
        <v>542</v>
      </c>
      <c r="D67" t="s">
        <v>542</v>
      </c>
      <c r="E67" t="s">
        <v>833</v>
      </c>
      <c r="F67" s="7" t="s">
        <v>370</v>
      </c>
      <c r="G67" s="7" t="s">
        <v>1522</v>
      </c>
      <c r="H67" s="7" t="s">
        <v>930</v>
      </c>
      <c r="I67" t="s">
        <v>1523</v>
      </c>
    </row>
    <row r="68" spans="1:10">
      <c r="A68" t="s">
        <v>406</v>
      </c>
      <c r="B68" s="8" t="s">
        <v>369</v>
      </c>
      <c r="C68" s="9" t="s">
        <v>542</v>
      </c>
      <c r="D68" t="s">
        <v>1517</v>
      </c>
      <c r="E68" t="s">
        <v>1524</v>
      </c>
      <c r="F68" s="7" t="s">
        <v>370</v>
      </c>
      <c r="G68" s="7" t="s">
        <v>1525</v>
      </c>
      <c r="H68" s="7" t="s">
        <v>1526</v>
      </c>
      <c r="I68" t="s">
        <v>1527</v>
      </c>
    </row>
    <row r="69" spans="1:10">
      <c r="A69" t="s">
        <v>1528</v>
      </c>
      <c r="B69" s="8" t="s">
        <v>369</v>
      </c>
      <c r="C69" s="9" t="s">
        <v>542</v>
      </c>
      <c r="D69" t="s">
        <v>542</v>
      </c>
      <c r="E69" t="s">
        <v>1529</v>
      </c>
      <c r="F69" s="7" t="s">
        <v>1191</v>
      </c>
      <c r="G69" t="s">
        <v>1530</v>
      </c>
      <c r="H69" t="s">
        <v>1531</v>
      </c>
      <c r="I69" t="s">
        <v>1532</v>
      </c>
    </row>
    <row r="70" spans="1:10">
      <c r="A70" t="s">
        <v>354</v>
      </c>
      <c r="B70" s="8" t="s">
        <v>369</v>
      </c>
      <c r="C70" s="9" t="s">
        <v>542</v>
      </c>
      <c r="D70" t="s">
        <v>542</v>
      </c>
      <c r="E70" t="s">
        <v>1533</v>
      </c>
      <c r="F70" s="7" t="s">
        <v>1191</v>
      </c>
      <c r="G70" t="s">
        <v>1534</v>
      </c>
      <c r="H70" t="s">
        <v>1535</v>
      </c>
      <c r="I70" t="s">
        <v>1536</v>
      </c>
      <c r="J70" s="147" t="s">
        <v>29</v>
      </c>
    </row>
    <row r="71" spans="1:10">
      <c r="A71" t="s">
        <v>353</v>
      </c>
      <c r="B71" s="8" t="s">
        <v>369</v>
      </c>
      <c r="C71" s="9" t="s">
        <v>542</v>
      </c>
      <c r="D71" t="s">
        <v>542</v>
      </c>
      <c r="E71" t="s">
        <v>1533</v>
      </c>
      <c r="F71" s="7" t="s">
        <v>817</v>
      </c>
      <c r="G71" t="s">
        <v>1535</v>
      </c>
      <c r="H71" t="s">
        <v>1535</v>
      </c>
      <c r="I71" t="s">
        <v>1536</v>
      </c>
      <c r="J71" s="147" t="s">
        <v>29</v>
      </c>
    </row>
    <row r="72" spans="1:10" ht="18">
      <c r="A72" s="148" t="s">
        <v>350</v>
      </c>
      <c r="B72" s="8" t="s">
        <v>369</v>
      </c>
      <c r="C72" s="9" t="s">
        <v>542</v>
      </c>
      <c r="D72" t="s">
        <v>542</v>
      </c>
      <c r="E72" t="s">
        <v>1533</v>
      </c>
      <c r="F72" s="7" t="s">
        <v>1191</v>
      </c>
      <c r="G72" t="s">
        <v>1530</v>
      </c>
      <c r="H72" t="s">
        <v>1537</v>
      </c>
      <c r="I72" t="s">
        <v>1532</v>
      </c>
      <c r="J72" s="147" t="s">
        <v>29</v>
      </c>
    </row>
    <row r="73" spans="1:10">
      <c r="A73" t="s">
        <v>349</v>
      </c>
      <c r="B73" s="8" t="s">
        <v>369</v>
      </c>
      <c r="C73" s="9" t="s">
        <v>542</v>
      </c>
      <c r="D73" t="s">
        <v>542</v>
      </c>
      <c r="E73" t="s">
        <v>609</v>
      </c>
      <c r="F73" s="66" t="s">
        <v>831</v>
      </c>
      <c r="G73" t="s">
        <v>874</v>
      </c>
      <c r="H73" t="s">
        <v>899</v>
      </c>
      <c r="I73" t="s">
        <v>1538</v>
      </c>
      <c r="J73" t="s">
        <v>29</v>
      </c>
    </row>
    <row r="74" spans="1:10">
      <c r="A74" s="149" t="s">
        <v>1539</v>
      </c>
      <c r="B74" s="8" t="s">
        <v>369</v>
      </c>
      <c r="C74" t="s">
        <v>576</v>
      </c>
      <c r="D74" t="s">
        <v>576</v>
      </c>
      <c r="E74" t="s">
        <v>576</v>
      </c>
      <c r="F74" t="s">
        <v>576</v>
      </c>
      <c r="G74" t="s">
        <v>1540</v>
      </c>
      <c r="H74" t="s">
        <v>1540</v>
      </c>
      <c r="J74" t="s">
        <v>29</v>
      </c>
    </row>
    <row r="75" spans="1:10">
      <c r="A75" s="149" t="s">
        <v>1541</v>
      </c>
      <c r="B75" s="8" t="s">
        <v>369</v>
      </c>
      <c r="C75" t="s">
        <v>576</v>
      </c>
      <c r="D75" t="s">
        <v>576</v>
      </c>
      <c r="E75" t="s">
        <v>576</v>
      </c>
      <c r="F75" t="s">
        <v>576</v>
      </c>
      <c r="G75" t="s">
        <v>1540</v>
      </c>
      <c r="H75" t="s">
        <v>1540</v>
      </c>
      <c r="J75" t="s">
        <v>29</v>
      </c>
    </row>
    <row r="76" spans="1:10">
      <c r="A76" s="149" t="s">
        <v>1542</v>
      </c>
      <c r="B76" s="8" t="s">
        <v>369</v>
      </c>
      <c r="C76" t="s">
        <v>576</v>
      </c>
      <c r="D76" t="s">
        <v>576</v>
      </c>
      <c r="E76" t="s">
        <v>576</v>
      </c>
      <c r="F76" t="s">
        <v>576</v>
      </c>
      <c r="G76" t="s">
        <v>1540</v>
      </c>
      <c r="H76" t="s">
        <v>1540</v>
      </c>
      <c r="J76" t="s">
        <v>29</v>
      </c>
    </row>
    <row r="77" spans="1:10">
      <c r="A77" s="150" t="s">
        <v>407</v>
      </c>
      <c r="B77" s="8" t="s">
        <v>369</v>
      </c>
      <c r="C77" s="9" t="s">
        <v>542</v>
      </c>
      <c r="D77" t="s">
        <v>542</v>
      </c>
      <c r="E77" t="s">
        <v>626</v>
      </c>
      <c r="F77" s="7" t="s">
        <v>370</v>
      </c>
      <c r="G77" t="s">
        <v>1543</v>
      </c>
      <c r="H77" t="s">
        <v>974</v>
      </c>
      <c r="I77" t="s">
        <v>1544</v>
      </c>
      <c r="J77" t="s">
        <v>29</v>
      </c>
    </row>
    <row r="78" spans="1:10">
      <c r="A78" s="150" t="s">
        <v>324</v>
      </c>
      <c r="B78" s="8" t="s">
        <v>369</v>
      </c>
      <c r="C78" s="9" t="s">
        <v>542</v>
      </c>
      <c r="D78" t="s">
        <v>542</v>
      </c>
      <c r="E78" t="s">
        <v>1545</v>
      </c>
      <c r="F78" s="7" t="s">
        <v>370</v>
      </c>
      <c r="G78" t="s">
        <v>1546</v>
      </c>
      <c r="H78" t="s">
        <v>1546</v>
      </c>
      <c r="J78" t="s">
        <v>29</v>
      </c>
    </row>
    <row r="79" spans="1:10">
      <c r="A79" s="150" t="s">
        <v>371</v>
      </c>
      <c r="B79" s="8" t="s">
        <v>369</v>
      </c>
      <c r="C79" s="9" t="s">
        <v>542</v>
      </c>
      <c r="D79" t="s">
        <v>542</v>
      </c>
      <c r="E79" t="s">
        <v>1547</v>
      </c>
      <c r="F79" s="7" t="s">
        <v>370</v>
      </c>
      <c r="G79" t="s">
        <v>1548</v>
      </c>
      <c r="H79" t="s">
        <v>1548</v>
      </c>
      <c r="I79" s="251" t="s">
        <v>1549</v>
      </c>
    </row>
    <row r="80" spans="1:10">
      <c r="A80" s="150" t="s">
        <v>323</v>
      </c>
      <c r="B80" s="8" t="s">
        <v>369</v>
      </c>
      <c r="C80" s="9" t="s">
        <v>542</v>
      </c>
      <c r="D80" t="s">
        <v>542</v>
      </c>
      <c r="E80" t="s">
        <v>1545</v>
      </c>
      <c r="F80" s="7" t="s">
        <v>370</v>
      </c>
      <c r="G80" t="s">
        <v>1546</v>
      </c>
      <c r="H80" t="s">
        <v>1546</v>
      </c>
      <c r="I80" s="251" t="s">
        <v>1550</v>
      </c>
      <c r="J80" t="s">
        <v>29</v>
      </c>
    </row>
    <row r="81" spans="1:10">
      <c r="A81" s="150" t="s">
        <v>325</v>
      </c>
      <c r="B81" s="8" t="s">
        <v>369</v>
      </c>
      <c r="C81" s="9" t="s">
        <v>542</v>
      </c>
      <c r="D81" t="s">
        <v>542</v>
      </c>
      <c r="E81" t="s">
        <v>1294</v>
      </c>
      <c r="F81" s="7" t="s">
        <v>370</v>
      </c>
      <c r="G81" t="s">
        <v>1295</v>
      </c>
      <c r="H81" t="s">
        <v>1295</v>
      </c>
      <c r="I81" s="251" t="s">
        <v>1551</v>
      </c>
    </row>
    <row r="82" spans="1:10">
      <c r="A82" s="150" t="s">
        <v>364</v>
      </c>
      <c r="B82" s="8" t="s">
        <v>369</v>
      </c>
      <c r="C82" s="9" t="s">
        <v>542</v>
      </c>
      <c r="D82" t="s">
        <v>1552</v>
      </c>
      <c r="F82" s="7" t="s">
        <v>370</v>
      </c>
    </row>
    <row r="83" spans="1:10">
      <c r="A83" s="150" t="s">
        <v>393</v>
      </c>
      <c r="B83" s="8" t="s">
        <v>369</v>
      </c>
      <c r="C83" s="9" t="s">
        <v>542</v>
      </c>
      <c r="D83" t="s">
        <v>542</v>
      </c>
      <c r="E83" t="s">
        <v>651</v>
      </c>
      <c r="F83" s="7" t="s">
        <v>370</v>
      </c>
      <c r="G83" t="s">
        <v>1309</v>
      </c>
      <c r="H83" t="s">
        <v>1309</v>
      </c>
      <c r="I83" s="251" t="s">
        <v>1553</v>
      </c>
      <c r="J83" t="s">
        <v>29</v>
      </c>
    </row>
    <row r="84" spans="1:10">
      <c r="A84" s="150" t="s">
        <v>1554</v>
      </c>
      <c r="B84" s="8" t="s">
        <v>369</v>
      </c>
      <c r="C84" s="9" t="s">
        <v>542</v>
      </c>
      <c r="D84" t="s">
        <v>542</v>
      </c>
      <c r="E84" t="s">
        <v>1555</v>
      </c>
      <c r="F84" s="7" t="s">
        <v>370</v>
      </c>
      <c r="G84" t="s">
        <v>1556</v>
      </c>
      <c r="H84" t="s">
        <v>1556</v>
      </c>
      <c r="I84" s="251" t="s">
        <v>1557</v>
      </c>
    </row>
    <row r="85" spans="1:10">
      <c r="A85" s="150" t="s">
        <v>368</v>
      </c>
      <c r="B85" s="8" t="s">
        <v>369</v>
      </c>
      <c r="C85" s="9" t="s">
        <v>542</v>
      </c>
      <c r="D85" t="s">
        <v>542</v>
      </c>
      <c r="E85" t="s">
        <v>1558</v>
      </c>
      <c r="F85" s="7" t="s">
        <v>370</v>
      </c>
      <c r="G85" t="s">
        <v>1559</v>
      </c>
      <c r="H85" t="s">
        <v>1559</v>
      </c>
      <c r="I85" s="251" t="s">
        <v>1560</v>
      </c>
    </row>
    <row r="86" spans="1:10">
      <c r="A86" s="150" t="s">
        <v>1561</v>
      </c>
      <c r="B86" s="8" t="s">
        <v>369</v>
      </c>
      <c r="C86" s="9" t="s">
        <v>542</v>
      </c>
      <c r="D86" t="s">
        <v>542</v>
      </c>
      <c r="E86" t="s">
        <v>1558</v>
      </c>
      <c r="F86" s="7" t="s">
        <v>1443</v>
      </c>
      <c r="G86" s="172" t="s">
        <v>819</v>
      </c>
      <c r="H86" s="172" t="s">
        <v>819</v>
      </c>
      <c r="I86" s="251"/>
    </row>
    <row r="87" spans="1:10">
      <c r="A87" s="150" t="s">
        <v>1562</v>
      </c>
      <c r="B87" s="8" t="s">
        <v>369</v>
      </c>
      <c r="C87" s="9" t="s">
        <v>542</v>
      </c>
      <c r="D87" t="s">
        <v>542</v>
      </c>
      <c r="E87" t="s">
        <v>1562</v>
      </c>
      <c r="F87" s="7" t="s">
        <v>370</v>
      </c>
      <c r="G87" t="s">
        <v>1563</v>
      </c>
      <c r="H87" t="s">
        <v>1563</v>
      </c>
      <c r="I87" s="251" t="s">
        <v>1564</v>
      </c>
    </row>
    <row r="88" spans="1:10">
      <c r="A88" s="150" t="s">
        <v>400</v>
      </c>
      <c r="B88" s="8" t="s">
        <v>369</v>
      </c>
      <c r="C88" s="9" t="s">
        <v>542</v>
      </c>
      <c r="D88" t="s">
        <v>542</v>
      </c>
      <c r="E88" t="s">
        <v>1287</v>
      </c>
      <c r="F88" s="7" t="s">
        <v>370</v>
      </c>
      <c r="G88" t="s">
        <v>1565</v>
      </c>
      <c r="H88" t="s">
        <v>1565</v>
      </c>
      <c r="I88" s="251"/>
    </row>
    <row r="89" spans="1:10">
      <c r="A89" s="150" t="s">
        <v>332</v>
      </c>
      <c r="B89" s="8" t="s">
        <v>369</v>
      </c>
      <c r="C89" s="9" t="s">
        <v>542</v>
      </c>
      <c r="D89" t="s">
        <v>542</v>
      </c>
      <c r="E89" t="s">
        <v>1558</v>
      </c>
      <c r="F89" s="7" t="s">
        <v>370</v>
      </c>
      <c r="G89" t="s">
        <v>1556</v>
      </c>
      <c r="H89" t="s">
        <v>1556</v>
      </c>
      <c r="I89" s="251" t="s">
        <v>1557</v>
      </c>
    </row>
    <row r="90" spans="1:10">
      <c r="A90" s="150" t="s">
        <v>398</v>
      </c>
      <c r="B90" s="8" t="s">
        <v>369</v>
      </c>
      <c r="C90" s="9" t="s">
        <v>542</v>
      </c>
      <c r="D90" t="s">
        <v>542</v>
      </c>
      <c r="E90" t="s">
        <v>1558</v>
      </c>
      <c r="F90" s="7" t="s">
        <v>370</v>
      </c>
      <c r="G90" t="s">
        <v>1559</v>
      </c>
      <c r="H90" t="s">
        <v>1559</v>
      </c>
      <c r="I90" s="251" t="s">
        <v>1560</v>
      </c>
    </row>
    <row r="91" spans="1:10">
      <c r="A91" s="150" t="s">
        <v>399</v>
      </c>
      <c r="B91" s="8" t="s">
        <v>369</v>
      </c>
      <c r="C91" s="9" t="s">
        <v>542</v>
      </c>
      <c r="D91" t="s">
        <v>542</v>
      </c>
      <c r="E91" t="s">
        <v>1558</v>
      </c>
      <c r="F91" s="7" t="s">
        <v>370</v>
      </c>
      <c r="G91" t="s">
        <v>1559</v>
      </c>
      <c r="H91" t="s">
        <v>1559</v>
      </c>
      <c r="I91" s="251" t="s">
        <v>1560</v>
      </c>
    </row>
    <row r="92" spans="1:10">
      <c r="A92" s="150" t="s">
        <v>333</v>
      </c>
      <c r="B92" s="8" t="s">
        <v>369</v>
      </c>
      <c r="C92" s="9" t="s">
        <v>542</v>
      </c>
      <c r="D92" t="s">
        <v>542</v>
      </c>
      <c r="E92" t="s">
        <v>1558</v>
      </c>
      <c r="F92" s="7" t="s">
        <v>370</v>
      </c>
      <c r="G92" t="s">
        <v>1556</v>
      </c>
      <c r="H92" t="s">
        <v>1556</v>
      </c>
      <c r="I92" s="251" t="s">
        <v>1557</v>
      </c>
    </row>
    <row r="93" spans="1:10">
      <c r="A93" s="183" t="s">
        <v>372</v>
      </c>
      <c r="B93" s="8" t="s">
        <v>369</v>
      </c>
      <c r="C93" s="9" t="s">
        <v>542</v>
      </c>
      <c r="D93" t="s">
        <v>542</v>
      </c>
      <c r="E93" t="s">
        <v>1547</v>
      </c>
      <c r="F93" s="7" t="s">
        <v>370</v>
      </c>
      <c r="G93" t="s">
        <v>1548</v>
      </c>
      <c r="H93" t="s">
        <v>1548</v>
      </c>
      <c r="I93" s="251" t="s">
        <v>1549</v>
      </c>
    </row>
    <row r="94" spans="1:10">
      <c r="A94" s="149" t="s">
        <v>1566</v>
      </c>
      <c r="B94" s="8" t="s">
        <v>369</v>
      </c>
      <c r="C94" s="9" t="s">
        <v>542</v>
      </c>
      <c r="D94" t="s">
        <v>542</v>
      </c>
      <c r="E94" t="s">
        <v>891</v>
      </c>
      <c r="F94" s="7" t="s">
        <v>1443</v>
      </c>
      <c r="G94" t="s">
        <v>1201</v>
      </c>
      <c r="H94" t="s">
        <v>1201</v>
      </c>
      <c r="I94" s="251" t="s">
        <v>1567</v>
      </c>
    </row>
    <row r="95" spans="1:10">
      <c r="A95" s="190" t="s">
        <v>1568</v>
      </c>
      <c r="B95" s="8" t="s">
        <v>369</v>
      </c>
      <c r="C95" s="9" t="s">
        <v>542</v>
      </c>
      <c r="D95" t="s">
        <v>542</v>
      </c>
      <c r="E95" t="s">
        <v>891</v>
      </c>
      <c r="F95" s="7" t="s">
        <v>1443</v>
      </c>
      <c r="G95" t="s">
        <v>1201</v>
      </c>
      <c r="H95" t="s">
        <v>1201</v>
      </c>
    </row>
    <row r="96" spans="1:10">
      <c r="A96" s="190" t="s">
        <v>336</v>
      </c>
      <c r="B96" s="8" t="s">
        <v>369</v>
      </c>
      <c r="C96" s="9" t="s">
        <v>542</v>
      </c>
      <c r="D96" t="s">
        <v>542</v>
      </c>
      <c r="E96" t="s">
        <v>1569</v>
      </c>
      <c r="F96" s="7" t="s">
        <v>370</v>
      </c>
      <c r="G96" t="s">
        <v>1570</v>
      </c>
      <c r="H96" t="s">
        <v>1570</v>
      </c>
      <c r="I96" s="251" t="s">
        <v>1571</v>
      </c>
    </row>
    <row r="97" spans="1:9">
      <c r="A97" s="190" t="s">
        <v>1572</v>
      </c>
      <c r="B97" s="8" t="s">
        <v>369</v>
      </c>
      <c r="C97" s="9" t="s">
        <v>542</v>
      </c>
      <c r="D97" t="s">
        <v>542</v>
      </c>
      <c r="E97" t="s">
        <v>1573</v>
      </c>
      <c r="F97" s="7" t="s">
        <v>370</v>
      </c>
      <c r="G97" t="s">
        <v>1574</v>
      </c>
      <c r="H97" t="s">
        <v>1574</v>
      </c>
      <c r="I97" s="251" t="s">
        <v>1575</v>
      </c>
    </row>
    <row r="98" spans="1:9">
      <c r="A98" s="191" t="s">
        <v>1576</v>
      </c>
      <c r="B98" s="8" t="s">
        <v>369</v>
      </c>
      <c r="C98" s="9" t="s">
        <v>542</v>
      </c>
      <c r="D98" t="s">
        <v>542</v>
      </c>
      <c r="E98" t="s">
        <v>1577</v>
      </c>
      <c r="F98" s="7" t="s">
        <v>370</v>
      </c>
      <c r="G98" t="s">
        <v>1578</v>
      </c>
      <c r="H98" t="s">
        <v>1578</v>
      </c>
      <c r="I98" s="252" t="s">
        <v>1579</v>
      </c>
    </row>
  </sheetData>
  <sheetProtection algorithmName="SHA-512" hashValue="6oiksoBCJ+r9Dg3M7qzHqn1fNl466DaFkYjHuPJO9MRZ247+ePBynwcnTgUpeCYiW9nMc9OE/WpDigouYE+EUg==" saltValue="Ac21UTybGHIjOMsz7WDOFA==" spinCount="100000" sheet="1" scenarios="1" selectLockedCells="1" selectUnlockedCells="1"/>
  <phoneticPr fontId="2" type="noConversion"/>
  <conditionalFormatting sqref="A3:A98">
    <cfRule type="duplicateValues" dxfId="3" priority="11"/>
  </conditionalFormatting>
  <hyperlinks>
    <hyperlink ref="I61" r:id="rId1" xr:uid="{923895D6-B716-4CAB-B84E-9803A0C81A98}"/>
    <hyperlink ref="I3" r:id="rId2" xr:uid="{1EF74A0F-200A-47E4-B685-8050010341A9}"/>
    <hyperlink ref="I16" r:id="rId3" xr:uid="{82759BD0-B62A-48FC-924F-FC628EA622A9}"/>
    <hyperlink ref="I48" r:id="rId4" xr:uid="{B92D14DC-10A7-42EB-BA36-4E0011C26C36}"/>
    <hyperlink ref="I49" r:id="rId5" xr:uid="{21993ECD-C180-4629-8F61-B53F69B10E8C}"/>
    <hyperlink ref="I50" r:id="rId6" xr:uid="{F98422B6-9598-4E25-B512-8B6F6D40CB58}"/>
    <hyperlink ref="I51" r:id="rId7" xr:uid="{647058CE-5791-4396-B82E-FCD7BC078CFA}"/>
    <hyperlink ref="I57" r:id="rId8" xr:uid="{39694149-424D-4A92-9CB1-FE5F35799DC5}"/>
    <hyperlink ref="I58" r:id="rId9" xr:uid="{E9673B89-F990-489E-B5F0-BEDE96C6B2C6}"/>
    <hyperlink ref="I79" r:id="rId10" xr:uid="{53836446-1596-D24A-855A-32563DE88B53}"/>
    <hyperlink ref="I80" r:id="rId11" xr:uid="{463632BF-B2B3-0D4C-A950-77832B6C98C5}"/>
    <hyperlink ref="I81" r:id="rId12" tooltip="https://ask.krafton.com/browse/ASKIT-33055" xr:uid="{BEE1CE0B-B1C8-A048-9CCB-F22CD6D0A08F}"/>
    <hyperlink ref="I83" r:id="rId13" xr:uid="{FE532DDF-2079-2B41-BF96-FC6073F74E1E}"/>
    <hyperlink ref="I84" r:id="rId14" xr:uid="{F686D1A8-338D-1940-B67D-6F699ED2F94D}"/>
    <hyperlink ref="I85" r:id="rId15" xr:uid="{A74F12BB-13A0-F34A-822F-B1D8D17614E6}"/>
    <hyperlink ref="I87" r:id="rId16" xr:uid="{A17DD536-71E8-8B45-ADD3-6A850076E732}"/>
    <hyperlink ref="I90" r:id="rId17" xr:uid="{CC019238-C395-C346-8996-321F3EFB5785}"/>
    <hyperlink ref="I91" r:id="rId18" xr:uid="{4787E615-3634-2D45-86FF-5840E8B69A3A}"/>
    <hyperlink ref="I93" r:id="rId19" xr:uid="{EBD897FB-DC94-5D45-A4E3-AF427318FA3B}"/>
    <hyperlink ref="I89" r:id="rId20" xr:uid="{E98816E7-F740-9548-9FA7-A4597F3A5A0D}"/>
    <hyperlink ref="I92" r:id="rId21" xr:uid="{E4897ECA-1F21-3241-8B55-264611D4E6DC}"/>
    <hyperlink ref="I94" r:id="rId22" xr:uid="{F4F350F9-3D15-C94C-AC77-63A31F17378F}"/>
    <hyperlink ref="I96" r:id="rId23" xr:uid="{04E0A71B-4F41-FE41-A9FA-D9A73996521B}"/>
    <hyperlink ref="I97" r:id="rId24" xr:uid="{115575D6-9A56-3B4B-9AC0-70D612863667}"/>
    <hyperlink ref="I98" r:id="rId25" xr:uid="{84650B86-7A8B-7F49-AE91-0E6C13A89DF8}"/>
  </hyperlinks>
  <pageMargins left="0.7" right="0.7" top="0.75" bottom="0.75" header="0.3" footer="0.3"/>
  <pageSetup paperSize="9" orientation="portrait" horizontalDpi="0" verticalDpi="0"/>
  <legacyDrawing r:id="rId26"/>
  <tableParts count="1">
    <tablePart r:id="rId2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43D9-AF02-4BFF-84AC-6663639B928E}">
  <sheetPr codeName="Sheet9"/>
  <dimension ref="A1:J23"/>
  <sheetViews>
    <sheetView zoomScale="160" zoomScaleNormal="160" workbookViewId="0">
      <selection activeCell="H515" sqref="H515"/>
    </sheetView>
  </sheetViews>
  <sheetFormatPr baseColWidth="10" defaultColWidth="8.83203125" defaultRowHeight="17"/>
  <cols>
    <col min="1" max="1" width="38.5" customWidth="1"/>
    <col min="2" max="2" width="11.33203125" bestFit="1" customWidth="1"/>
    <col min="3" max="4" width="12.33203125" bestFit="1" customWidth="1"/>
    <col min="5" max="5" width="27.5" bestFit="1" customWidth="1"/>
    <col min="6" max="6" width="24.5" bestFit="1" customWidth="1"/>
    <col min="7" max="7" width="9.33203125" bestFit="1" customWidth="1"/>
    <col min="8" max="8" width="14" customWidth="1"/>
    <col min="9" max="9" width="35.83203125" bestFit="1" customWidth="1"/>
    <col min="10" max="10" width="17.33203125" customWidth="1"/>
  </cols>
  <sheetData>
    <row r="1" spans="1:10" ht="20">
      <c r="A1" s="6" t="s">
        <v>808</v>
      </c>
      <c r="B1" s="6"/>
      <c r="C1" s="4"/>
      <c r="D1" s="4"/>
      <c r="E1" s="3"/>
      <c r="F1" s="3"/>
      <c r="G1" s="3"/>
      <c r="H1" s="3"/>
      <c r="I1" s="3"/>
      <c r="J1" s="3"/>
    </row>
    <row r="2" spans="1:10">
      <c r="A2" s="118" t="s">
        <v>809</v>
      </c>
      <c r="B2" s="118" t="s">
        <v>810</v>
      </c>
      <c r="C2" s="118" t="s">
        <v>4</v>
      </c>
      <c r="D2" s="118" t="s">
        <v>5</v>
      </c>
      <c r="E2" s="118" t="s">
        <v>6</v>
      </c>
      <c r="F2" s="118" t="s">
        <v>811</v>
      </c>
      <c r="G2" s="118" t="s">
        <v>11</v>
      </c>
      <c r="H2" s="118" t="s">
        <v>812</v>
      </c>
      <c r="I2" s="118" t="s">
        <v>813</v>
      </c>
      <c r="J2" s="118" t="s">
        <v>814</v>
      </c>
    </row>
    <row r="3" spans="1:10">
      <c r="A3" t="s">
        <v>529</v>
      </c>
      <c r="B3" s="7" t="s">
        <v>732</v>
      </c>
      <c r="C3" s="11" t="s">
        <v>542</v>
      </c>
      <c r="D3" s="11" t="s">
        <v>542</v>
      </c>
      <c r="E3" s="7" t="s">
        <v>733</v>
      </c>
      <c r="F3" s="7" t="s">
        <v>624</v>
      </c>
      <c r="G3" s="8" t="s">
        <v>1580</v>
      </c>
      <c r="H3" s="8" t="s">
        <v>1581</v>
      </c>
      <c r="I3" s="7" t="s">
        <v>1582</v>
      </c>
      <c r="J3" s="131" t="s">
        <v>29</v>
      </c>
    </row>
    <row r="4" spans="1:10">
      <c r="A4" t="s">
        <v>528</v>
      </c>
      <c r="B4" s="8" t="s">
        <v>732</v>
      </c>
      <c r="C4" s="11" t="s">
        <v>542</v>
      </c>
      <c r="D4" s="9" t="s">
        <v>568</v>
      </c>
      <c r="E4" s="8" t="s">
        <v>593</v>
      </c>
      <c r="F4" s="8" t="s">
        <v>594</v>
      </c>
      <c r="G4" s="8" t="s">
        <v>839</v>
      </c>
      <c r="H4" s="8" t="s">
        <v>1114</v>
      </c>
      <c r="I4" s="8" t="s">
        <v>1583</v>
      </c>
      <c r="J4" s="8"/>
    </row>
    <row r="5" spans="1:10">
      <c r="A5" s="8" t="s">
        <v>1584</v>
      </c>
      <c r="B5" s="7" t="s">
        <v>732</v>
      </c>
      <c r="C5" s="11" t="s">
        <v>542</v>
      </c>
      <c r="D5" s="11" t="s">
        <v>567</v>
      </c>
      <c r="E5" s="7" t="s">
        <v>1585</v>
      </c>
      <c r="F5" s="7" t="s">
        <v>600</v>
      </c>
      <c r="G5" s="8" t="s">
        <v>1586</v>
      </c>
      <c r="H5" s="8" t="s">
        <v>1586</v>
      </c>
      <c r="I5" s="7" t="s">
        <v>1587</v>
      </c>
      <c r="J5" s="7"/>
    </row>
    <row r="6" spans="1:10">
      <c r="A6" s="8" t="s">
        <v>1588</v>
      </c>
      <c r="B6" s="7" t="s">
        <v>732</v>
      </c>
      <c r="C6" s="11" t="s">
        <v>542</v>
      </c>
      <c r="D6" s="11" t="s">
        <v>567</v>
      </c>
      <c r="E6" s="7" t="s">
        <v>1585</v>
      </c>
      <c r="F6" s="7" t="s">
        <v>600</v>
      </c>
      <c r="G6" s="7" t="s">
        <v>823</v>
      </c>
      <c r="H6" s="7" t="s">
        <v>1589</v>
      </c>
      <c r="I6" s="8" t="s">
        <v>1590</v>
      </c>
      <c r="J6" s="7"/>
    </row>
    <row r="7" spans="1:10">
      <c r="A7" s="8" t="s">
        <v>1591</v>
      </c>
      <c r="B7" s="7" t="s">
        <v>732</v>
      </c>
      <c r="C7" s="11" t="s">
        <v>542</v>
      </c>
      <c r="D7" s="11" t="s">
        <v>567</v>
      </c>
      <c r="E7" s="7" t="s">
        <v>1585</v>
      </c>
      <c r="F7" s="7" t="s">
        <v>600</v>
      </c>
      <c r="G7" s="7" t="s">
        <v>1069</v>
      </c>
      <c r="H7" s="7" t="s">
        <v>1069</v>
      </c>
      <c r="I7" s="8" t="s">
        <v>1590</v>
      </c>
      <c r="J7" s="7" t="s">
        <v>29</v>
      </c>
    </row>
    <row r="8" spans="1:10">
      <c r="A8" s="8" t="s">
        <v>1592</v>
      </c>
      <c r="B8" s="7" t="s">
        <v>732</v>
      </c>
      <c r="C8" s="11" t="s">
        <v>542</v>
      </c>
      <c r="D8" s="11" t="s">
        <v>567</v>
      </c>
      <c r="E8" s="7" t="s">
        <v>1585</v>
      </c>
      <c r="F8" s="7" t="s">
        <v>600</v>
      </c>
      <c r="G8" s="7" t="s">
        <v>823</v>
      </c>
      <c r="H8" s="7" t="s">
        <v>1589</v>
      </c>
      <c r="I8" s="8" t="s">
        <v>1593</v>
      </c>
      <c r="J8" s="7" t="s">
        <v>29</v>
      </c>
    </row>
    <row r="9" spans="1:10">
      <c r="A9" t="s">
        <v>533</v>
      </c>
      <c r="B9" s="7" t="s">
        <v>732</v>
      </c>
      <c r="C9" s="11" t="s">
        <v>542</v>
      </c>
      <c r="D9" s="11" t="s">
        <v>542</v>
      </c>
      <c r="E9" s="7" t="s">
        <v>951</v>
      </c>
      <c r="F9" s="7" t="s">
        <v>600</v>
      </c>
      <c r="G9" s="8" t="s">
        <v>1594</v>
      </c>
      <c r="H9" s="8" t="s">
        <v>1594</v>
      </c>
      <c r="I9" s="8" t="s">
        <v>1595</v>
      </c>
      <c r="J9" s="131" t="s">
        <v>29</v>
      </c>
    </row>
    <row r="10" spans="1:10">
      <c r="A10" t="s">
        <v>530</v>
      </c>
      <c r="B10" s="7" t="s">
        <v>732</v>
      </c>
      <c r="C10" s="11" t="s">
        <v>542</v>
      </c>
      <c r="D10" s="11" t="s">
        <v>542</v>
      </c>
      <c r="E10" s="7" t="s">
        <v>951</v>
      </c>
      <c r="F10" s="7" t="s">
        <v>594</v>
      </c>
      <c r="G10" s="8" t="s">
        <v>901</v>
      </c>
      <c r="H10" s="8" t="s">
        <v>901</v>
      </c>
      <c r="I10" s="7"/>
      <c r="J10" s="7" t="s">
        <v>29</v>
      </c>
    </row>
    <row r="11" spans="1:10">
      <c r="A11" s="8" t="s">
        <v>1596</v>
      </c>
      <c r="B11" s="7" t="s">
        <v>732</v>
      </c>
      <c r="C11" s="11" t="s">
        <v>542</v>
      </c>
      <c r="D11" s="11" t="s">
        <v>542</v>
      </c>
      <c r="E11" s="7" t="s">
        <v>951</v>
      </c>
      <c r="F11" s="7" t="s">
        <v>370</v>
      </c>
      <c r="G11" s="8" t="s">
        <v>892</v>
      </c>
      <c r="H11" s="8" t="s">
        <v>892</v>
      </c>
      <c r="I11" s="7" t="s">
        <v>1597</v>
      </c>
      <c r="J11" s="7" t="s">
        <v>29</v>
      </c>
    </row>
    <row r="12" spans="1:10">
      <c r="A12" t="s">
        <v>1598</v>
      </c>
      <c r="B12" s="7" t="s">
        <v>732</v>
      </c>
      <c r="C12" s="11" t="s">
        <v>565</v>
      </c>
      <c r="D12" s="11" t="s">
        <v>565</v>
      </c>
      <c r="E12" s="7" t="s">
        <v>836</v>
      </c>
      <c r="F12" s="7" t="s">
        <v>370</v>
      </c>
      <c r="G12" s="8" t="s">
        <v>1154</v>
      </c>
      <c r="H12" s="8" t="s">
        <v>1154</v>
      </c>
      <c r="I12" s="8"/>
      <c r="J12" s="7" t="s">
        <v>29</v>
      </c>
    </row>
    <row r="13" spans="1:10">
      <c r="A13" s="8" t="s">
        <v>1599</v>
      </c>
      <c r="B13" s="7" t="s">
        <v>732</v>
      </c>
      <c r="C13" s="11" t="s">
        <v>565</v>
      </c>
      <c r="D13" s="11" t="s">
        <v>565</v>
      </c>
      <c r="E13" s="7" t="s">
        <v>836</v>
      </c>
      <c r="F13" s="7" t="s">
        <v>370</v>
      </c>
      <c r="G13" s="8" t="s">
        <v>1154</v>
      </c>
      <c r="H13" s="8" t="s">
        <v>1154</v>
      </c>
      <c r="I13" s="7" t="s">
        <v>1600</v>
      </c>
      <c r="J13" s="7"/>
    </row>
    <row r="14" spans="1:10">
      <c r="A14" s="8" t="s">
        <v>534</v>
      </c>
      <c r="B14" s="7" t="s">
        <v>732</v>
      </c>
      <c r="C14" s="11" t="s">
        <v>542</v>
      </c>
      <c r="D14" s="11" t="s">
        <v>542</v>
      </c>
      <c r="E14" s="7" t="s">
        <v>592</v>
      </c>
      <c r="F14" s="7" t="s">
        <v>370</v>
      </c>
      <c r="G14" s="8" t="s">
        <v>1018</v>
      </c>
      <c r="H14" s="8" t="s">
        <v>1018</v>
      </c>
      <c r="I14" s="7"/>
      <c r="J14" s="7" t="s">
        <v>29</v>
      </c>
    </row>
    <row r="15" spans="1:10">
      <c r="A15" s="8" t="s">
        <v>1601</v>
      </c>
      <c r="B15" s="7" t="s">
        <v>732</v>
      </c>
      <c r="C15" s="11" t="s">
        <v>542</v>
      </c>
      <c r="D15" s="11" t="s">
        <v>542</v>
      </c>
      <c r="E15" s="7" t="s">
        <v>1602</v>
      </c>
      <c r="F15" s="7" t="s">
        <v>370</v>
      </c>
      <c r="G15" s="8" t="s">
        <v>1603</v>
      </c>
      <c r="H15" s="8" t="s">
        <v>1603</v>
      </c>
      <c r="I15" s="7" t="s">
        <v>1604</v>
      </c>
      <c r="J15" s="7"/>
    </row>
    <row r="16" spans="1:10">
      <c r="A16" s="8" t="s">
        <v>1605</v>
      </c>
      <c r="B16" s="7" t="s">
        <v>732</v>
      </c>
      <c r="C16" s="11" t="s">
        <v>544</v>
      </c>
      <c r="D16" s="11" t="s">
        <v>544</v>
      </c>
      <c r="E16" s="7" t="s">
        <v>1606</v>
      </c>
      <c r="F16" s="7" t="s">
        <v>817</v>
      </c>
      <c r="G16" s="8" t="s">
        <v>1607</v>
      </c>
      <c r="H16" s="8" t="s">
        <v>1607</v>
      </c>
      <c r="I16" s="7"/>
      <c r="J16" s="7"/>
    </row>
    <row r="17" spans="1:10">
      <c r="A17" s="8" t="s">
        <v>1608</v>
      </c>
      <c r="B17" s="7" t="s">
        <v>732</v>
      </c>
      <c r="C17" s="11" t="s">
        <v>542</v>
      </c>
      <c r="D17" s="11" t="s">
        <v>542</v>
      </c>
      <c r="E17" s="7" t="s">
        <v>1609</v>
      </c>
      <c r="F17" s="7" t="s">
        <v>370</v>
      </c>
      <c r="G17" s="8" t="s">
        <v>1610</v>
      </c>
      <c r="H17" s="8" t="s">
        <v>1610</v>
      </c>
      <c r="I17" s="8" t="s">
        <v>1611</v>
      </c>
      <c r="J17" s="7" t="s">
        <v>29</v>
      </c>
    </row>
    <row r="18" spans="1:10">
      <c r="A18" t="s">
        <v>1612</v>
      </c>
      <c r="B18" s="7" t="s">
        <v>732</v>
      </c>
      <c r="C18" s="11" t="s">
        <v>542</v>
      </c>
      <c r="D18" s="11" t="s">
        <v>542</v>
      </c>
      <c r="E18" s="7" t="s">
        <v>1613</v>
      </c>
      <c r="F18" s="7" t="s">
        <v>594</v>
      </c>
      <c r="G18" s="8" t="s">
        <v>1614</v>
      </c>
      <c r="H18" s="8" t="s">
        <v>1615</v>
      </c>
      <c r="I18" s="8" t="s">
        <v>1616</v>
      </c>
      <c r="J18" s="8"/>
    </row>
    <row r="19" spans="1:10">
      <c r="A19" t="s">
        <v>531</v>
      </c>
      <c r="B19" s="7" t="s">
        <v>732</v>
      </c>
      <c r="C19" t="s">
        <v>542</v>
      </c>
      <c r="D19" s="11" t="s">
        <v>1617</v>
      </c>
      <c r="E19" s="7" t="s">
        <v>1618</v>
      </c>
      <c r="F19" s="7" t="s">
        <v>594</v>
      </c>
      <c r="G19" s="8" t="s">
        <v>1619</v>
      </c>
      <c r="H19" s="8" t="s">
        <v>1620</v>
      </c>
      <c r="I19" s="8" t="s">
        <v>1621</v>
      </c>
      <c r="J19" s="8"/>
    </row>
    <row r="20" spans="1:10">
      <c r="A20" t="s">
        <v>1622</v>
      </c>
      <c r="B20" s="7" t="s">
        <v>732</v>
      </c>
      <c r="C20" t="s">
        <v>542</v>
      </c>
      <c r="D20" t="s">
        <v>542</v>
      </c>
      <c r="E20" t="s">
        <v>592</v>
      </c>
      <c r="F20" t="s">
        <v>370</v>
      </c>
      <c r="G20" s="8" t="s">
        <v>832</v>
      </c>
      <c r="H20" s="8" t="s">
        <v>832</v>
      </c>
      <c r="I20" s="8" t="s">
        <v>1623</v>
      </c>
    </row>
    <row r="21" spans="1:10">
      <c r="A21" s="8" t="s">
        <v>1624</v>
      </c>
      <c r="B21" s="7" t="s">
        <v>732</v>
      </c>
      <c r="C21" t="s">
        <v>542</v>
      </c>
      <c r="D21" t="s">
        <v>542</v>
      </c>
      <c r="E21" t="s">
        <v>626</v>
      </c>
      <c r="F21" t="s">
        <v>370</v>
      </c>
      <c r="G21" s="8" t="s">
        <v>974</v>
      </c>
      <c r="H21" s="8" t="s">
        <v>974</v>
      </c>
    </row>
    <row r="22" spans="1:10">
      <c r="A22" s="8"/>
      <c r="G22" s="8"/>
      <c r="H22" s="8"/>
    </row>
    <row r="23" spans="1:10">
      <c r="A23" s="8"/>
    </row>
  </sheetData>
  <sheetProtection algorithmName="SHA-512" hashValue="oMwT7OrmLKQegRTe2E0LcqlqAQyaQHA4Fpm/hTHMMjT3IUvTq10atvgs2s0PZl0ewrPiFVU+xlbhpyiZ0chVKw==" saltValue="IDc/YYVQ+ArJ10AOISfVxQ==" spinCount="100000" sheet="1" objects="1" scenarios="1" selectLockedCells="1" selectUnlockedCells="1"/>
  <phoneticPr fontId="2" type="noConversion"/>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ED16-11D7-440E-AA81-6E35379172D9}">
  <sheetPr codeName="Sheet7"/>
  <dimension ref="A1:J37"/>
  <sheetViews>
    <sheetView zoomScale="120" zoomScaleNormal="120" workbookViewId="0">
      <selection activeCell="E40" sqref="E40"/>
    </sheetView>
  </sheetViews>
  <sheetFormatPr baseColWidth="10" defaultColWidth="8.83203125" defaultRowHeight="17"/>
  <cols>
    <col min="1" max="1" width="37.83203125" customWidth="1"/>
    <col min="2" max="2" width="10.5" customWidth="1"/>
    <col min="3" max="4" width="12.33203125" bestFit="1" customWidth="1"/>
    <col min="5" max="5" width="25.5" bestFit="1" customWidth="1"/>
    <col min="6" max="6" width="30.5" customWidth="1"/>
    <col min="7" max="7" width="13.33203125" bestFit="1" customWidth="1"/>
    <col min="8" max="8" width="14.33203125" customWidth="1"/>
    <col min="9" max="9" width="83" bestFit="1" customWidth="1"/>
    <col min="10" max="10" width="17.5" customWidth="1"/>
  </cols>
  <sheetData>
    <row r="1" spans="1:10" ht="20">
      <c r="A1" s="6" t="s">
        <v>808</v>
      </c>
      <c r="B1" s="6"/>
      <c r="C1" s="4"/>
      <c r="D1" s="4"/>
      <c r="E1" s="3"/>
      <c r="F1" s="3"/>
      <c r="G1" s="3"/>
      <c r="H1" s="3"/>
      <c r="I1" s="3"/>
      <c r="J1" s="3"/>
    </row>
    <row r="2" spans="1:10">
      <c r="A2" s="118" t="s">
        <v>809</v>
      </c>
      <c r="B2" s="118" t="s">
        <v>810</v>
      </c>
      <c r="C2" s="118" t="s">
        <v>4</v>
      </c>
      <c r="D2" s="118" t="s">
        <v>5</v>
      </c>
      <c r="E2" s="118" t="s">
        <v>6</v>
      </c>
      <c r="F2" s="118" t="s">
        <v>811</v>
      </c>
      <c r="G2" s="118" t="s">
        <v>11</v>
      </c>
      <c r="H2" s="118" t="s">
        <v>812</v>
      </c>
      <c r="I2" s="118" t="s">
        <v>813</v>
      </c>
      <c r="J2" s="118" t="s">
        <v>814</v>
      </c>
    </row>
    <row r="3" spans="1:10">
      <c r="A3" s="8" t="s">
        <v>1625</v>
      </c>
      <c r="B3" s="8" t="s">
        <v>796</v>
      </c>
      <c r="C3" s="9" t="s">
        <v>542</v>
      </c>
      <c r="D3" s="9" t="s">
        <v>542</v>
      </c>
      <c r="E3" s="8" t="s">
        <v>1455</v>
      </c>
      <c r="F3" s="8" t="s">
        <v>1456</v>
      </c>
      <c r="G3" s="7" t="s">
        <v>924</v>
      </c>
      <c r="H3" s="7" t="s">
        <v>924</v>
      </c>
      <c r="I3" s="7"/>
      <c r="J3" s="7" t="s">
        <v>29</v>
      </c>
    </row>
    <row r="4" spans="1:10">
      <c r="A4" s="8" t="s">
        <v>1626</v>
      </c>
      <c r="B4" s="8" t="s">
        <v>796</v>
      </c>
      <c r="C4" s="9" t="s">
        <v>544</v>
      </c>
      <c r="D4" s="9" t="s">
        <v>544</v>
      </c>
      <c r="E4" s="8" t="s">
        <v>1627</v>
      </c>
      <c r="F4" s="8" t="s">
        <v>1628</v>
      </c>
      <c r="G4" s="7" t="s">
        <v>1629</v>
      </c>
      <c r="H4" s="7" t="s">
        <v>952</v>
      </c>
      <c r="I4" s="7" t="s">
        <v>1630</v>
      </c>
      <c r="J4" s="131" t="s">
        <v>29</v>
      </c>
    </row>
    <row r="5" spans="1:10">
      <c r="A5" s="8" t="s">
        <v>411</v>
      </c>
      <c r="B5" s="8" t="s">
        <v>796</v>
      </c>
      <c r="C5" s="9" t="s">
        <v>542</v>
      </c>
      <c r="D5" s="9" t="s">
        <v>542</v>
      </c>
      <c r="E5" s="8" t="s">
        <v>951</v>
      </c>
      <c r="F5" s="8" t="s">
        <v>370</v>
      </c>
      <c r="G5" s="7" t="s">
        <v>952</v>
      </c>
      <c r="H5" s="7" t="s">
        <v>952</v>
      </c>
      <c r="I5" s="7"/>
      <c r="J5" s="131" t="s">
        <v>29</v>
      </c>
    </row>
    <row r="6" spans="1:10">
      <c r="A6" s="8" t="s">
        <v>412</v>
      </c>
      <c r="B6" s="8" t="s">
        <v>796</v>
      </c>
      <c r="C6" s="9" t="s">
        <v>544</v>
      </c>
      <c r="D6" s="9" t="s">
        <v>544</v>
      </c>
      <c r="E6" s="8" t="s">
        <v>1631</v>
      </c>
      <c r="F6" s="8" t="s">
        <v>1032</v>
      </c>
      <c r="G6" s="7" t="s">
        <v>952</v>
      </c>
      <c r="H6" s="7" t="s">
        <v>952</v>
      </c>
      <c r="I6" s="7"/>
      <c r="J6" s="131" t="s">
        <v>29</v>
      </c>
    </row>
    <row r="7" spans="1:10">
      <c r="A7" s="8" t="s">
        <v>413</v>
      </c>
      <c r="B7" s="8" t="s">
        <v>546</v>
      </c>
      <c r="C7" s="9" t="s">
        <v>1099</v>
      </c>
      <c r="D7" s="9" t="s">
        <v>1099</v>
      </c>
      <c r="E7" s="8" t="s">
        <v>816</v>
      </c>
      <c r="F7" s="8" t="s">
        <v>598</v>
      </c>
      <c r="G7" s="7" t="s">
        <v>818</v>
      </c>
      <c r="H7" s="7" t="s">
        <v>818</v>
      </c>
      <c r="I7" s="7"/>
      <c r="J7" s="131"/>
    </row>
    <row r="8" spans="1:10">
      <c r="A8" s="8" t="s">
        <v>414</v>
      </c>
      <c r="B8" s="8" t="s">
        <v>796</v>
      </c>
      <c r="C8" s="9" t="s">
        <v>542</v>
      </c>
      <c r="D8" s="9" t="s">
        <v>542</v>
      </c>
      <c r="E8" s="8" t="s">
        <v>816</v>
      </c>
      <c r="F8" s="8" t="s">
        <v>652</v>
      </c>
      <c r="G8" s="7" t="s">
        <v>818</v>
      </c>
      <c r="H8" s="7" t="s">
        <v>1039</v>
      </c>
      <c r="I8" s="7"/>
      <c r="J8" s="7" t="s">
        <v>29</v>
      </c>
    </row>
    <row r="9" spans="1:10">
      <c r="A9" s="8" t="s">
        <v>1632</v>
      </c>
      <c r="B9" s="8" t="s">
        <v>796</v>
      </c>
      <c r="C9" s="9" t="s">
        <v>749</v>
      </c>
      <c r="D9" s="9" t="s">
        <v>749</v>
      </c>
      <c r="E9" s="8" t="s">
        <v>749</v>
      </c>
      <c r="F9" s="8" t="s">
        <v>620</v>
      </c>
      <c r="G9" s="7" t="s">
        <v>1633</v>
      </c>
      <c r="H9" s="7" t="s">
        <v>1633</v>
      </c>
      <c r="I9" s="7" t="s">
        <v>1634</v>
      </c>
      <c r="J9" s="7"/>
    </row>
    <row r="10" spans="1:10">
      <c r="A10" s="8" t="s">
        <v>1635</v>
      </c>
      <c r="B10" s="8" t="s">
        <v>796</v>
      </c>
      <c r="C10" s="9" t="s">
        <v>542</v>
      </c>
      <c r="D10" s="9" t="s">
        <v>542</v>
      </c>
      <c r="E10" s="8" t="s">
        <v>951</v>
      </c>
      <c r="F10" s="8" t="s">
        <v>703</v>
      </c>
      <c r="G10" s="7" t="s">
        <v>1629</v>
      </c>
      <c r="H10" s="7" t="s">
        <v>952</v>
      </c>
      <c r="I10" s="7" t="s">
        <v>1630</v>
      </c>
      <c r="J10" s="131" t="s">
        <v>29</v>
      </c>
    </row>
    <row r="11" spans="1:10">
      <c r="A11" s="8" t="s">
        <v>417</v>
      </c>
      <c r="B11" s="8" t="s">
        <v>796</v>
      </c>
      <c r="C11" s="9" t="s">
        <v>542</v>
      </c>
      <c r="D11" s="11" t="s">
        <v>570</v>
      </c>
      <c r="E11" s="8" t="s">
        <v>678</v>
      </c>
      <c r="F11" s="8" t="s">
        <v>679</v>
      </c>
      <c r="G11" s="7" t="s">
        <v>868</v>
      </c>
      <c r="H11" s="7" t="s">
        <v>868</v>
      </c>
      <c r="I11" s="7"/>
      <c r="J11" s="7" t="s">
        <v>29</v>
      </c>
    </row>
    <row r="12" spans="1:10">
      <c r="A12" s="8" t="s">
        <v>418</v>
      </c>
      <c r="B12" s="8" t="s">
        <v>796</v>
      </c>
      <c r="C12" s="9" t="s">
        <v>542</v>
      </c>
      <c r="D12" s="11" t="s">
        <v>570</v>
      </c>
      <c r="E12" s="8" t="s">
        <v>678</v>
      </c>
      <c r="F12" s="8" t="s">
        <v>679</v>
      </c>
      <c r="G12" s="7" t="s">
        <v>868</v>
      </c>
      <c r="H12" s="7" t="s">
        <v>868</v>
      </c>
      <c r="I12" s="7"/>
      <c r="J12" s="7" t="s">
        <v>29</v>
      </c>
    </row>
    <row r="13" spans="1:10">
      <c r="A13" s="8" t="s">
        <v>420</v>
      </c>
      <c r="B13" s="8" t="s">
        <v>796</v>
      </c>
      <c r="C13" s="9" t="s">
        <v>542</v>
      </c>
      <c r="D13" s="9" t="s">
        <v>542</v>
      </c>
      <c r="E13" s="8" t="s">
        <v>609</v>
      </c>
      <c r="F13" s="8" t="s">
        <v>370</v>
      </c>
      <c r="G13" s="7" t="s">
        <v>1636</v>
      </c>
      <c r="H13" s="7" t="s">
        <v>899</v>
      </c>
      <c r="I13" s="7"/>
      <c r="J13" s="131" t="s">
        <v>29</v>
      </c>
    </row>
    <row r="14" spans="1:10">
      <c r="A14" s="8" t="s">
        <v>424</v>
      </c>
      <c r="B14" s="8" t="s">
        <v>796</v>
      </c>
      <c r="C14" s="9" t="s">
        <v>542</v>
      </c>
      <c r="D14" s="9" t="s">
        <v>542</v>
      </c>
      <c r="E14" s="8" t="s">
        <v>833</v>
      </c>
      <c r="F14" s="8" t="s">
        <v>1385</v>
      </c>
      <c r="G14" s="7" t="s">
        <v>901</v>
      </c>
      <c r="H14" s="7" t="s">
        <v>901</v>
      </c>
      <c r="I14" s="7"/>
      <c r="J14" s="131" t="s">
        <v>29</v>
      </c>
    </row>
    <row r="15" spans="1:10">
      <c r="A15" s="8" t="s">
        <v>422</v>
      </c>
      <c r="B15" s="8" t="s">
        <v>796</v>
      </c>
      <c r="C15" s="9" t="s">
        <v>542</v>
      </c>
      <c r="D15" s="9" t="s">
        <v>542</v>
      </c>
      <c r="E15" s="8" t="s">
        <v>592</v>
      </c>
      <c r="F15" s="8" t="s">
        <v>370</v>
      </c>
      <c r="G15" s="7" t="s">
        <v>843</v>
      </c>
      <c r="H15" s="7" t="s">
        <v>843</v>
      </c>
      <c r="I15" s="7"/>
      <c r="J15" s="131" t="s">
        <v>29</v>
      </c>
    </row>
    <row r="16" spans="1:10">
      <c r="A16" s="8" t="s">
        <v>425</v>
      </c>
      <c r="B16" s="8" t="s">
        <v>796</v>
      </c>
      <c r="C16" s="9" t="s">
        <v>1099</v>
      </c>
      <c r="D16" s="9" t="s">
        <v>1099</v>
      </c>
      <c r="E16" s="8" t="s">
        <v>592</v>
      </c>
      <c r="F16" s="8" t="s">
        <v>370</v>
      </c>
      <c r="G16" s="7" t="s">
        <v>1465</v>
      </c>
      <c r="H16" s="7" t="s">
        <v>1465</v>
      </c>
      <c r="I16" s="7"/>
      <c r="J16" s="131" t="s">
        <v>29</v>
      </c>
    </row>
    <row r="17" spans="1:10">
      <c r="A17" s="8" t="s">
        <v>1637</v>
      </c>
      <c r="B17" s="8" t="s">
        <v>796</v>
      </c>
      <c r="C17" s="9" t="s">
        <v>544</v>
      </c>
      <c r="D17" s="9" t="s">
        <v>544</v>
      </c>
      <c r="E17" s="8" t="s">
        <v>1631</v>
      </c>
      <c r="F17" s="8" t="s">
        <v>1032</v>
      </c>
      <c r="G17" s="7" t="s">
        <v>952</v>
      </c>
      <c r="H17" s="7" t="s">
        <v>952</v>
      </c>
      <c r="I17" s="7"/>
      <c r="J17" s="131" t="s">
        <v>29</v>
      </c>
    </row>
    <row r="18" spans="1:10">
      <c r="A18" s="8" t="s">
        <v>1638</v>
      </c>
      <c r="B18" s="8" t="s">
        <v>796</v>
      </c>
      <c r="C18" s="9" t="s">
        <v>544</v>
      </c>
      <c r="D18" s="9" t="s">
        <v>544</v>
      </c>
      <c r="E18" s="8" t="s">
        <v>1639</v>
      </c>
      <c r="F18" s="8" t="s">
        <v>1498</v>
      </c>
      <c r="G18" s="7" t="s">
        <v>1629</v>
      </c>
      <c r="H18" s="7" t="s">
        <v>952</v>
      </c>
      <c r="I18" s="7" t="s">
        <v>1630</v>
      </c>
      <c r="J18" s="131" t="s">
        <v>29</v>
      </c>
    </row>
    <row r="19" spans="1:10">
      <c r="A19" s="8" t="s">
        <v>427</v>
      </c>
      <c r="B19" s="8" t="s">
        <v>796</v>
      </c>
      <c r="C19" s="9" t="s">
        <v>542</v>
      </c>
      <c r="D19" s="9" t="s">
        <v>542</v>
      </c>
      <c r="E19" s="8" t="s">
        <v>626</v>
      </c>
      <c r="F19" s="8" t="s">
        <v>370</v>
      </c>
      <c r="G19" s="7" t="s">
        <v>974</v>
      </c>
      <c r="H19" s="7" t="s">
        <v>974</v>
      </c>
      <c r="I19" s="7" t="s">
        <v>1640</v>
      </c>
      <c r="J19" s="131" t="s">
        <v>29</v>
      </c>
    </row>
    <row r="20" spans="1:10">
      <c r="A20" s="8" t="s">
        <v>1641</v>
      </c>
      <c r="B20" s="8" t="s">
        <v>546</v>
      </c>
      <c r="C20" s="9" t="s">
        <v>542</v>
      </c>
      <c r="D20" s="9" t="s">
        <v>542</v>
      </c>
      <c r="E20" s="8" t="s">
        <v>816</v>
      </c>
      <c r="F20" s="8" t="s">
        <v>370</v>
      </c>
      <c r="G20" s="7" t="s">
        <v>818</v>
      </c>
      <c r="H20" s="7" t="s">
        <v>818</v>
      </c>
      <c r="I20" s="7"/>
      <c r="J20" s="131"/>
    </row>
    <row r="21" spans="1:10">
      <c r="A21" s="8" t="s">
        <v>835</v>
      </c>
      <c r="B21" s="8" t="s">
        <v>796</v>
      </c>
      <c r="C21" s="9" t="s">
        <v>565</v>
      </c>
      <c r="D21" s="9" t="s">
        <v>565</v>
      </c>
      <c r="E21" s="8" t="s">
        <v>727</v>
      </c>
      <c r="F21" s="8" t="s">
        <v>370</v>
      </c>
      <c r="G21" s="7" t="s">
        <v>972</v>
      </c>
      <c r="H21" s="7" t="s">
        <v>972</v>
      </c>
      <c r="I21" s="7" t="s">
        <v>1642</v>
      </c>
      <c r="J21" s="7" t="s">
        <v>29</v>
      </c>
    </row>
    <row r="22" spans="1:10">
      <c r="A22" s="8" t="s">
        <v>430</v>
      </c>
      <c r="B22" s="8" t="s">
        <v>796</v>
      </c>
      <c r="C22" s="9" t="s">
        <v>542</v>
      </c>
      <c r="D22" s="9" t="s">
        <v>542</v>
      </c>
      <c r="E22" s="8" t="s">
        <v>593</v>
      </c>
      <c r="F22" s="8" t="s">
        <v>629</v>
      </c>
      <c r="G22" s="7" t="s">
        <v>839</v>
      </c>
      <c r="H22" s="7" t="s">
        <v>840</v>
      </c>
      <c r="I22" s="7"/>
      <c r="J22" s="151" t="s">
        <v>29</v>
      </c>
    </row>
    <row r="23" spans="1:10">
      <c r="A23" s="8" t="s">
        <v>381</v>
      </c>
      <c r="B23" s="8" t="s">
        <v>546</v>
      </c>
      <c r="C23" s="9" t="s">
        <v>542</v>
      </c>
      <c r="D23" s="9" t="s">
        <v>542</v>
      </c>
      <c r="E23" s="8" t="s">
        <v>593</v>
      </c>
      <c r="F23" s="8" t="s">
        <v>594</v>
      </c>
      <c r="G23" s="7" t="s">
        <v>839</v>
      </c>
      <c r="H23" s="7" t="s">
        <v>840</v>
      </c>
      <c r="I23" s="7"/>
      <c r="J23" s="151"/>
    </row>
    <row r="24" spans="1:10">
      <c r="A24" s="8" t="s">
        <v>419</v>
      </c>
      <c r="B24" s="8" t="s">
        <v>546</v>
      </c>
      <c r="C24" s="9" t="s">
        <v>542</v>
      </c>
      <c r="D24" s="9" t="s">
        <v>542</v>
      </c>
      <c r="E24" s="8" t="s">
        <v>816</v>
      </c>
      <c r="F24" s="8" t="s">
        <v>370</v>
      </c>
      <c r="G24" s="7" t="s">
        <v>818</v>
      </c>
      <c r="H24" s="7" t="s">
        <v>818</v>
      </c>
      <c r="I24" s="7"/>
      <c r="J24" s="151"/>
    </row>
    <row r="25" spans="1:10">
      <c r="A25" s="8" t="s">
        <v>1643</v>
      </c>
      <c r="B25" s="8" t="s">
        <v>796</v>
      </c>
      <c r="C25" s="9" t="s">
        <v>542</v>
      </c>
      <c r="D25" s="9" t="s">
        <v>934</v>
      </c>
      <c r="E25" s="8" t="s">
        <v>593</v>
      </c>
      <c r="F25" s="8" t="s">
        <v>594</v>
      </c>
      <c r="G25" s="7" t="s">
        <v>839</v>
      </c>
      <c r="H25" s="7" t="s">
        <v>840</v>
      </c>
      <c r="I25" s="7"/>
      <c r="J25" s="7" t="s">
        <v>29</v>
      </c>
    </row>
    <row r="26" spans="1:10">
      <c r="A26" s="8" t="s">
        <v>432</v>
      </c>
      <c r="B26" s="8" t="s">
        <v>796</v>
      </c>
      <c r="C26" s="9" t="s">
        <v>542</v>
      </c>
      <c r="D26" s="9" t="s">
        <v>568</v>
      </c>
      <c r="E26" s="8" t="s">
        <v>593</v>
      </c>
      <c r="F26" s="8" t="s">
        <v>594</v>
      </c>
      <c r="G26" s="7" t="s">
        <v>839</v>
      </c>
      <c r="H26" s="7" t="s">
        <v>840</v>
      </c>
      <c r="I26" s="7"/>
      <c r="J26" s="7" t="s">
        <v>29</v>
      </c>
    </row>
    <row r="27" spans="1:10">
      <c r="A27" s="8" t="s">
        <v>1644</v>
      </c>
      <c r="B27" s="8" t="s">
        <v>796</v>
      </c>
      <c r="C27" s="9" t="s">
        <v>542</v>
      </c>
      <c r="D27" s="9" t="s">
        <v>568</v>
      </c>
      <c r="E27" s="8" t="s">
        <v>1645</v>
      </c>
      <c r="F27" s="8" t="s">
        <v>1646</v>
      </c>
      <c r="G27" s="7" t="s">
        <v>1483</v>
      </c>
      <c r="H27" s="7" t="s">
        <v>1030</v>
      </c>
      <c r="I27" s="7" t="s">
        <v>1647</v>
      </c>
      <c r="J27" s="7" t="s">
        <v>29</v>
      </c>
    </row>
    <row r="28" spans="1:10">
      <c r="A28" s="8" t="s">
        <v>433</v>
      </c>
      <c r="B28" s="8" t="s">
        <v>796</v>
      </c>
      <c r="C28" s="9" t="s">
        <v>542</v>
      </c>
      <c r="D28" s="9" t="s">
        <v>1648</v>
      </c>
      <c r="E28" s="8" t="s">
        <v>609</v>
      </c>
      <c r="F28" s="8" t="s">
        <v>600</v>
      </c>
      <c r="G28" s="7" t="s">
        <v>874</v>
      </c>
      <c r="H28" s="7" t="s">
        <v>899</v>
      </c>
      <c r="I28" s="7"/>
      <c r="J28" s="131" t="s">
        <v>29</v>
      </c>
    </row>
    <row r="29" spans="1:10">
      <c r="A29" s="8" t="s">
        <v>1649</v>
      </c>
      <c r="B29" s="8" t="s">
        <v>796</v>
      </c>
      <c r="C29" s="8" t="s">
        <v>542</v>
      </c>
      <c r="D29" s="8" t="s">
        <v>542</v>
      </c>
      <c r="E29" s="8" t="s">
        <v>1645</v>
      </c>
      <c r="F29" s="8" t="s">
        <v>1650</v>
      </c>
      <c r="G29" s="8" t="s">
        <v>1651</v>
      </c>
      <c r="H29" s="8" t="s">
        <v>904</v>
      </c>
      <c r="I29" s="140" t="s">
        <v>1652</v>
      </c>
    </row>
    <row r="30" spans="1:10" ht="39.75" customHeight="1">
      <c r="A30" s="8" t="s">
        <v>421</v>
      </c>
      <c r="B30" s="8" t="s">
        <v>796</v>
      </c>
      <c r="C30" s="8" t="s">
        <v>542</v>
      </c>
      <c r="D30" s="8" t="s">
        <v>542</v>
      </c>
      <c r="E30" s="8" t="s">
        <v>816</v>
      </c>
      <c r="F30" s="8" t="s">
        <v>702</v>
      </c>
      <c r="G30" s="8" t="s">
        <v>819</v>
      </c>
      <c r="H30" s="8" t="s">
        <v>819</v>
      </c>
      <c r="I30" s="152" t="s">
        <v>1653</v>
      </c>
    </row>
    <row r="31" spans="1:10">
      <c r="A31" s="8" t="s">
        <v>423</v>
      </c>
      <c r="B31" s="8" t="s">
        <v>796</v>
      </c>
      <c r="C31" s="8" t="s">
        <v>542</v>
      </c>
      <c r="D31" s="8" t="s">
        <v>542</v>
      </c>
      <c r="E31" s="8" t="s">
        <v>833</v>
      </c>
      <c r="F31" s="8" t="s">
        <v>1385</v>
      </c>
      <c r="G31" t="s">
        <v>930</v>
      </c>
      <c r="H31" t="s">
        <v>930</v>
      </c>
      <c r="I31" s="153" t="s">
        <v>1654</v>
      </c>
      <c r="J31" s="147" t="s">
        <v>29</v>
      </c>
    </row>
    <row r="32" spans="1:10">
      <c r="A32" t="s">
        <v>428</v>
      </c>
      <c r="B32" s="8" t="s">
        <v>796</v>
      </c>
      <c r="C32" s="8" t="s">
        <v>542</v>
      </c>
      <c r="D32" s="8" t="s">
        <v>542</v>
      </c>
      <c r="E32" t="s">
        <v>626</v>
      </c>
      <c r="F32" t="s">
        <v>831</v>
      </c>
      <c r="G32" t="s">
        <v>974</v>
      </c>
      <c r="H32" t="s">
        <v>974</v>
      </c>
      <c r="I32" t="s">
        <v>1655</v>
      </c>
      <c r="J32" t="s">
        <v>29</v>
      </c>
    </row>
    <row r="33" spans="1:10">
      <c r="A33" s="8" t="s">
        <v>429</v>
      </c>
      <c r="B33" s="8" t="s">
        <v>796</v>
      </c>
      <c r="C33" s="8" t="s">
        <v>542</v>
      </c>
      <c r="D33" s="8" t="s">
        <v>926</v>
      </c>
      <c r="E33" s="8" t="s">
        <v>661</v>
      </c>
      <c r="F33" s="8" t="s">
        <v>927</v>
      </c>
      <c r="G33" s="8" t="s">
        <v>1272</v>
      </c>
      <c r="H33" s="8" t="s">
        <v>1272</v>
      </c>
      <c r="I33" t="s">
        <v>1656</v>
      </c>
      <c r="J33" t="s">
        <v>29</v>
      </c>
    </row>
    <row r="34" spans="1:10">
      <c r="A34" s="8" t="s">
        <v>416</v>
      </c>
      <c r="B34" s="8" t="s">
        <v>796</v>
      </c>
      <c r="C34" s="8" t="s">
        <v>542</v>
      </c>
      <c r="D34" s="8" t="s">
        <v>542</v>
      </c>
      <c r="E34" s="8" t="s">
        <v>1287</v>
      </c>
      <c r="F34" s="154" t="s">
        <v>1173</v>
      </c>
      <c r="G34" s="8" t="s">
        <v>1018</v>
      </c>
      <c r="H34" s="8" t="s">
        <v>1018</v>
      </c>
    </row>
    <row r="35" spans="1:10">
      <c r="A35" s="8" t="s">
        <v>435</v>
      </c>
      <c r="B35" s="8" t="s">
        <v>796</v>
      </c>
      <c r="C35" s="8" t="s">
        <v>542</v>
      </c>
      <c r="D35" s="8" t="s">
        <v>542</v>
      </c>
      <c r="E35" s="8" t="s">
        <v>1657</v>
      </c>
      <c r="F35" s="154" t="s">
        <v>1173</v>
      </c>
      <c r="G35" s="8" t="s">
        <v>1658</v>
      </c>
      <c r="H35" s="8" t="s">
        <v>1658</v>
      </c>
    </row>
    <row r="36" spans="1:10">
      <c r="A36" s="8" t="s">
        <v>1659</v>
      </c>
      <c r="B36" s="8" t="s">
        <v>796</v>
      </c>
      <c r="C36" s="8" t="s">
        <v>542</v>
      </c>
      <c r="D36" s="8" t="s">
        <v>542</v>
      </c>
      <c r="E36" s="8" t="s">
        <v>1442</v>
      </c>
      <c r="F36" s="8" t="s">
        <v>1443</v>
      </c>
      <c r="G36" s="8" t="s">
        <v>1660</v>
      </c>
      <c r="H36" s="8" t="s">
        <v>1660</v>
      </c>
    </row>
    <row r="37" spans="1:10">
      <c r="A37" s="8" t="s">
        <v>1661</v>
      </c>
      <c r="B37" s="8" t="s">
        <v>796</v>
      </c>
      <c r="C37" s="8" t="s">
        <v>542</v>
      </c>
      <c r="D37" s="8" t="s">
        <v>542</v>
      </c>
      <c r="E37" s="8" t="s">
        <v>1662</v>
      </c>
      <c r="F37" s="154" t="s">
        <v>1173</v>
      </c>
      <c r="G37" s="8" t="s">
        <v>1663</v>
      </c>
      <c r="H37" s="8" t="s">
        <v>1663</v>
      </c>
    </row>
  </sheetData>
  <sheetProtection algorithmName="SHA-512" hashValue="EZHJi0egyJ0knr+TRhifyhexp43rxxH0IdPrcyJAkpHiPNvjvNw1ZM26w1r/HN3zY11vQud82V0L6elvZjwGjQ==" saltValue="ajt9dBYGLXXLNZ6ME197h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5D718-2CBC-4F20-A64E-D3A9CDC1652D}">
  <sheetPr codeName="Sheet8"/>
  <dimension ref="A1:J4"/>
  <sheetViews>
    <sheetView workbookViewId="0">
      <selection activeCell="M16" sqref="M16"/>
    </sheetView>
  </sheetViews>
  <sheetFormatPr baseColWidth="10" defaultColWidth="8.83203125" defaultRowHeight="17"/>
  <cols>
    <col min="1" max="1" width="121" bestFit="1" customWidth="1"/>
    <col min="2" max="2" width="14.33203125" bestFit="1" customWidth="1"/>
    <col min="3" max="4" width="12.5" bestFit="1" customWidth="1"/>
    <col min="5" max="5" width="23.5" bestFit="1" customWidth="1"/>
    <col min="6" max="6" width="17.5" bestFit="1" customWidth="1"/>
    <col min="7" max="7" width="12.83203125" bestFit="1" customWidth="1"/>
    <col min="8" max="8" width="17.5" bestFit="1" customWidth="1"/>
    <col min="9" max="9" width="15" bestFit="1" customWidth="1"/>
    <col min="10" max="10" width="21" bestFit="1" customWidth="1"/>
  </cols>
  <sheetData>
    <row r="1" spans="1:10" ht="20">
      <c r="A1" s="6" t="s">
        <v>808</v>
      </c>
      <c r="B1" s="6"/>
      <c r="C1" s="4"/>
      <c r="D1" s="4"/>
      <c r="E1" s="3"/>
      <c r="F1" s="3"/>
      <c r="G1" s="3"/>
      <c r="H1" s="3"/>
      <c r="I1" s="3"/>
      <c r="J1" s="3"/>
    </row>
    <row r="2" spans="1:10">
      <c r="A2" s="118" t="s">
        <v>809</v>
      </c>
      <c r="B2" s="118" t="s">
        <v>810</v>
      </c>
      <c r="C2" s="118" t="s">
        <v>4</v>
      </c>
      <c r="D2" s="118" t="s">
        <v>5</v>
      </c>
      <c r="E2" s="118" t="s">
        <v>6</v>
      </c>
      <c r="F2" s="118" t="s">
        <v>811</v>
      </c>
      <c r="G2" s="118" t="s">
        <v>11</v>
      </c>
      <c r="H2" s="118" t="s">
        <v>812</v>
      </c>
      <c r="I2" s="118" t="s">
        <v>813</v>
      </c>
      <c r="J2" s="118" t="s">
        <v>814</v>
      </c>
    </row>
    <row r="3" spans="1:10">
      <c r="A3" s="8" t="s">
        <v>526</v>
      </c>
      <c r="B3" s="8" t="s">
        <v>526</v>
      </c>
      <c r="C3" s="9" t="s">
        <v>542</v>
      </c>
      <c r="D3" s="9" t="s">
        <v>542</v>
      </c>
      <c r="E3" s="8" t="s">
        <v>592</v>
      </c>
      <c r="F3" s="8" t="s">
        <v>370</v>
      </c>
      <c r="G3" s="7" t="s">
        <v>792</v>
      </c>
      <c r="H3" s="7" t="s">
        <v>792</v>
      </c>
      <c r="I3" s="7"/>
      <c r="J3" s="7" t="s">
        <v>29</v>
      </c>
    </row>
    <row r="4" spans="1:10">
      <c r="A4" t="s">
        <v>588</v>
      </c>
      <c r="B4" t="s">
        <v>778</v>
      </c>
      <c r="C4" s="9" t="s">
        <v>542</v>
      </c>
      <c r="D4" s="9" t="s">
        <v>542</v>
      </c>
      <c r="E4" t="s">
        <v>632</v>
      </c>
      <c r="F4" s="8" t="s">
        <v>370</v>
      </c>
      <c r="G4" t="s">
        <v>1664</v>
      </c>
      <c r="H4" t="s">
        <v>1664</v>
      </c>
    </row>
  </sheetData>
  <sheetProtection algorithmName="SHA-512" hashValue="O2YWsqt8a/rW34aj+vwS3nr0GveqkhG+pP+MOgv6t5VDCaE1OU9HBXvp2JPkokH5FrrW2jk8ShmljSxVL6+kag==" saltValue="TF0ADFtltVwSpoAyQfEuLw==" spinCount="100000" sheet="1" objects="1" scenarios="1" selectLockedCells="1" selectUnlockedCells="1"/>
  <phoneticPr fontId="2" type="noConversion"/>
  <pageMargins left="0.7" right="0.7" top="0.75" bottom="0.75" header="0.3" footer="0.3"/>
  <pageSetup paperSize="9" orientation="portrait" horizontalDpi="0" verticalDpi="0"/>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7BA7-9C49-4CF2-932F-BC3D7568C649}">
  <sheetPr codeName="Sheet10"/>
  <dimension ref="A1:J3"/>
  <sheetViews>
    <sheetView workbookViewId="0">
      <selection activeCell="A1217" sqref="A1217"/>
    </sheetView>
  </sheetViews>
  <sheetFormatPr baseColWidth="10" defaultColWidth="8.83203125" defaultRowHeight="17"/>
  <cols>
    <col min="1" max="1" width="29.5" customWidth="1"/>
    <col min="2" max="2" width="10.83203125" bestFit="1" customWidth="1"/>
    <col min="3" max="3" width="12.5" bestFit="1" customWidth="1"/>
    <col min="4" max="4" width="12.83203125" bestFit="1" customWidth="1"/>
    <col min="5" max="5" width="24" bestFit="1" customWidth="1"/>
    <col min="6" max="6" width="28" bestFit="1" customWidth="1"/>
    <col min="7" max="7" width="6.83203125" bestFit="1" customWidth="1"/>
    <col min="8" max="8" width="11.33203125" bestFit="1" customWidth="1"/>
    <col min="9" max="9" width="9" bestFit="1" customWidth="1"/>
    <col min="10" max="10" width="14.83203125" bestFit="1" customWidth="1"/>
  </cols>
  <sheetData>
    <row r="1" spans="1:10" ht="20">
      <c r="A1" s="6" t="s">
        <v>808</v>
      </c>
      <c r="B1" s="6"/>
      <c r="C1" s="4"/>
      <c r="D1" s="4"/>
      <c r="E1" s="3"/>
      <c r="F1" s="3"/>
      <c r="G1" s="3"/>
      <c r="H1" s="3"/>
      <c r="I1" s="3"/>
      <c r="J1" s="3"/>
    </row>
    <row r="2" spans="1:10">
      <c r="A2" s="5" t="s">
        <v>809</v>
      </c>
      <c r="B2" s="5" t="s">
        <v>810</v>
      </c>
      <c r="C2" s="5" t="s">
        <v>4</v>
      </c>
      <c r="D2" s="5" t="s">
        <v>5</v>
      </c>
      <c r="E2" s="5" t="s">
        <v>6</v>
      </c>
      <c r="F2" s="5" t="s">
        <v>811</v>
      </c>
      <c r="G2" s="5" t="s">
        <v>11</v>
      </c>
      <c r="H2" s="5" t="s">
        <v>812</v>
      </c>
      <c r="I2" s="5" t="s">
        <v>813</v>
      </c>
      <c r="J2" s="5" t="s">
        <v>814</v>
      </c>
    </row>
    <row r="3" spans="1:10">
      <c r="A3" s="8" t="s">
        <v>1665</v>
      </c>
      <c r="B3" s="8" t="s">
        <v>1666</v>
      </c>
      <c r="C3" s="9" t="s">
        <v>542</v>
      </c>
      <c r="D3" s="9" t="s">
        <v>568</v>
      </c>
      <c r="E3" s="33" t="s">
        <v>593</v>
      </c>
      <c r="F3" s="8" t="s">
        <v>594</v>
      </c>
      <c r="G3" s="8" t="s">
        <v>839</v>
      </c>
      <c r="H3" s="8" t="s">
        <v>1114</v>
      </c>
      <c r="I3" s="8"/>
      <c r="J3" s="8" t="s">
        <v>29</v>
      </c>
    </row>
  </sheetData>
  <sheetProtection algorithmName="SHA-512" hashValue="B+EFTrO13fU3MCOT3EHAybTQtqBTvHU91hBgDc1O81gI6Zh1fMNeg/5xg4jgY6Y37rRYxhldOdhvhqcj1HcfBw==" saltValue="FKqFL3Wvr6Bu6qllW83qHA==" spinCount="100000" sheet="1" objects="1" scenarios="1" selectLockedCells="1" selectUnlockedCells="1"/>
  <phoneticPr fontId="2"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7DEF-88E2-4B50-9A81-0A3EF2680944}">
  <sheetPr codeName="Sheet11"/>
  <dimension ref="A1:K103"/>
  <sheetViews>
    <sheetView zoomScale="150" zoomScaleNormal="180" workbookViewId="0">
      <selection activeCell="G7" sqref="G7"/>
    </sheetView>
  </sheetViews>
  <sheetFormatPr baseColWidth="10" defaultColWidth="8.83203125" defaultRowHeight="17"/>
  <cols>
    <col min="1" max="1" width="32.33203125" style="67" customWidth="1"/>
    <col min="2" max="2" width="10.83203125" style="67" customWidth="1"/>
    <col min="3" max="4" width="14.33203125" style="67" customWidth="1"/>
    <col min="5" max="5" width="22.5" style="67" bestFit="1" customWidth="1"/>
    <col min="6" max="6" width="24.33203125" style="67" customWidth="1"/>
    <col min="7" max="7" width="14.5" style="67" customWidth="1"/>
    <col min="8" max="8" width="14.83203125" style="67" bestFit="1" customWidth="1"/>
    <col min="9" max="9" width="105.83203125" bestFit="1" customWidth="1"/>
    <col min="10" max="10" width="17.33203125" customWidth="1"/>
  </cols>
  <sheetData>
    <row r="1" spans="1:11">
      <c r="A1" s="68" t="s">
        <v>808</v>
      </c>
      <c r="B1" s="68"/>
      <c r="C1" s="69"/>
      <c r="D1" s="69"/>
      <c r="I1" s="3"/>
      <c r="J1" s="3"/>
    </row>
    <row r="2" spans="1:11">
      <c r="A2" s="155" t="s">
        <v>809</v>
      </c>
      <c r="B2" s="155" t="s">
        <v>810</v>
      </c>
      <c r="C2" s="155" t="s">
        <v>4</v>
      </c>
      <c r="D2" s="155" t="s">
        <v>5</v>
      </c>
      <c r="E2" s="155" t="s">
        <v>6</v>
      </c>
      <c r="F2" s="155" t="s">
        <v>811</v>
      </c>
      <c r="G2" s="155" t="s">
        <v>11</v>
      </c>
      <c r="H2" s="155" t="s">
        <v>812</v>
      </c>
      <c r="I2" s="156" t="s">
        <v>813</v>
      </c>
      <c r="J2" s="118" t="s">
        <v>814</v>
      </c>
      <c r="K2" s="177" t="s">
        <v>1667</v>
      </c>
    </row>
    <row r="3" spans="1:11">
      <c r="A3" s="157" t="s">
        <v>1668</v>
      </c>
      <c r="B3" s="157" t="s">
        <v>547</v>
      </c>
      <c r="C3" s="158" t="s">
        <v>542</v>
      </c>
      <c r="D3" s="158" t="s">
        <v>542</v>
      </c>
      <c r="E3" s="157" t="s">
        <v>951</v>
      </c>
      <c r="F3" s="157" t="s">
        <v>370</v>
      </c>
      <c r="G3" s="157" t="s">
        <v>952</v>
      </c>
      <c r="H3" s="157" t="s">
        <v>952</v>
      </c>
      <c r="I3" s="159" t="s">
        <v>1669</v>
      </c>
      <c r="J3" s="131" t="s">
        <v>29</v>
      </c>
    </row>
    <row r="4" spans="1:11">
      <c r="A4" s="157" t="s">
        <v>446</v>
      </c>
      <c r="B4" s="157" t="s">
        <v>547</v>
      </c>
      <c r="C4" s="158" t="s">
        <v>542</v>
      </c>
      <c r="D4" s="158" t="s">
        <v>542</v>
      </c>
      <c r="E4" s="157" t="s">
        <v>1088</v>
      </c>
      <c r="F4" s="157" t="s">
        <v>370</v>
      </c>
      <c r="G4" s="157" t="s">
        <v>1465</v>
      </c>
      <c r="H4" s="157" t="s">
        <v>1465</v>
      </c>
      <c r="I4" s="159"/>
      <c r="J4" s="131"/>
    </row>
    <row r="5" spans="1:11">
      <c r="A5" s="157" t="s">
        <v>447</v>
      </c>
      <c r="B5" s="157" t="s">
        <v>547</v>
      </c>
      <c r="C5" s="158" t="s">
        <v>542</v>
      </c>
      <c r="D5" s="158" t="s">
        <v>542</v>
      </c>
      <c r="E5" s="157" t="s">
        <v>619</v>
      </c>
      <c r="F5" s="157" t="s">
        <v>370</v>
      </c>
      <c r="G5" s="157" t="s">
        <v>1670</v>
      </c>
      <c r="H5" s="157" t="s">
        <v>1670</v>
      </c>
      <c r="I5" s="159" t="s">
        <v>1016</v>
      </c>
      <c r="J5" s="7" t="s">
        <v>29</v>
      </c>
    </row>
    <row r="6" spans="1:11">
      <c r="A6" s="157" t="s">
        <v>453</v>
      </c>
      <c r="B6" s="157" t="s">
        <v>547</v>
      </c>
      <c r="C6" s="158" t="s">
        <v>542</v>
      </c>
      <c r="D6" s="158" t="s">
        <v>542</v>
      </c>
      <c r="E6" s="157" t="s">
        <v>704</v>
      </c>
      <c r="F6" s="157" t="s">
        <v>370</v>
      </c>
      <c r="G6" s="157" t="s">
        <v>1671</v>
      </c>
      <c r="H6" s="157" t="s">
        <v>1671</v>
      </c>
      <c r="I6" s="159"/>
      <c r="J6" s="7"/>
    </row>
    <row r="7" spans="1:11">
      <c r="A7" s="157" t="s">
        <v>458</v>
      </c>
      <c r="B7" s="157" t="s">
        <v>547</v>
      </c>
      <c r="C7" s="158" t="s">
        <v>542</v>
      </c>
      <c r="D7" s="158" t="s">
        <v>542</v>
      </c>
      <c r="E7" s="157" t="s">
        <v>1088</v>
      </c>
      <c r="F7" s="157" t="s">
        <v>370</v>
      </c>
      <c r="G7" s="157" t="s">
        <v>1465</v>
      </c>
      <c r="H7" s="157" t="s">
        <v>415</v>
      </c>
      <c r="I7" s="159" t="s">
        <v>1672</v>
      </c>
      <c r="J7" s="7" t="s">
        <v>29</v>
      </c>
    </row>
    <row r="8" spans="1:11">
      <c r="A8" s="157" t="s">
        <v>1673</v>
      </c>
      <c r="B8" s="157" t="s">
        <v>547</v>
      </c>
      <c r="C8" s="158" t="s">
        <v>542</v>
      </c>
      <c r="D8" s="158" t="s">
        <v>568</v>
      </c>
      <c r="E8" s="157" t="s">
        <v>613</v>
      </c>
      <c r="F8" s="157" t="s">
        <v>370</v>
      </c>
      <c r="G8" s="157" t="s">
        <v>1671</v>
      </c>
      <c r="H8" s="157" t="s">
        <v>1671</v>
      </c>
      <c r="I8" s="159" t="s">
        <v>1674</v>
      </c>
      <c r="J8" s="7" t="s">
        <v>29</v>
      </c>
    </row>
    <row r="9" spans="1:11">
      <c r="A9" s="157" t="s">
        <v>476</v>
      </c>
      <c r="B9" s="157" t="s">
        <v>547</v>
      </c>
      <c r="C9" s="158" t="s">
        <v>542</v>
      </c>
      <c r="D9" s="158" t="s">
        <v>542</v>
      </c>
      <c r="E9" s="157" t="s">
        <v>614</v>
      </c>
      <c r="F9" s="157" t="s">
        <v>370</v>
      </c>
      <c r="G9" s="157" t="s">
        <v>1024</v>
      </c>
      <c r="H9" s="157" t="s">
        <v>1471</v>
      </c>
      <c r="I9" s="159"/>
      <c r="J9" s="7" t="s">
        <v>29</v>
      </c>
    </row>
    <row r="10" spans="1:11">
      <c r="A10" s="157" t="s">
        <v>1675</v>
      </c>
      <c r="B10" s="157" t="s">
        <v>547</v>
      </c>
      <c r="C10" s="158" t="s">
        <v>542</v>
      </c>
      <c r="D10" s="158" t="s">
        <v>542</v>
      </c>
      <c r="E10" s="157" t="s">
        <v>677</v>
      </c>
      <c r="F10" s="157" t="s">
        <v>635</v>
      </c>
      <c r="G10" s="157" t="s">
        <v>1676</v>
      </c>
      <c r="H10" s="157" t="s">
        <v>1677</v>
      </c>
      <c r="I10" s="95" t="s">
        <v>1678</v>
      </c>
      <c r="J10" s="7"/>
    </row>
    <row r="11" spans="1:11">
      <c r="A11" s="157" t="s">
        <v>481</v>
      </c>
      <c r="B11" s="157" t="s">
        <v>547</v>
      </c>
      <c r="C11" s="158" t="s">
        <v>542</v>
      </c>
      <c r="D11" s="158" t="s">
        <v>542</v>
      </c>
      <c r="E11" s="157" t="s">
        <v>610</v>
      </c>
      <c r="F11" s="157" t="s">
        <v>611</v>
      </c>
      <c r="G11" s="157" t="s">
        <v>1679</v>
      </c>
      <c r="H11" s="157" t="s">
        <v>1679</v>
      </c>
      <c r="I11" s="159" t="s">
        <v>1680</v>
      </c>
      <c r="J11" s="7"/>
    </row>
    <row r="12" spans="1:11">
      <c r="A12" s="157" t="s">
        <v>507</v>
      </c>
      <c r="B12" s="157" t="s">
        <v>547</v>
      </c>
      <c r="C12" s="158" t="s">
        <v>542</v>
      </c>
      <c r="D12" s="158" t="s">
        <v>542</v>
      </c>
      <c r="E12" s="157" t="s">
        <v>951</v>
      </c>
      <c r="F12" s="157" t="s">
        <v>370</v>
      </c>
      <c r="G12" s="157" t="s">
        <v>952</v>
      </c>
      <c r="H12" s="157" t="s">
        <v>952</v>
      </c>
      <c r="I12" s="159"/>
      <c r="J12" s="131" t="s">
        <v>29</v>
      </c>
    </row>
    <row r="13" spans="1:11">
      <c r="A13" s="157" t="s">
        <v>1681</v>
      </c>
      <c r="B13" s="157" t="s">
        <v>547</v>
      </c>
      <c r="C13" s="158" t="s">
        <v>542</v>
      </c>
      <c r="D13" s="158" t="s">
        <v>542</v>
      </c>
      <c r="E13" s="157" t="s">
        <v>1682</v>
      </c>
      <c r="F13" s="157" t="s">
        <v>370</v>
      </c>
      <c r="G13" s="157" t="s">
        <v>924</v>
      </c>
      <c r="H13" s="157" t="s">
        <v>924</v>
      </c>
      <c r="I13" s="159"/>
      <c r="J13" s="7" t="s">
        <v>29</v>
      </c>
    </row>
    <row r="14" spans="1:11">
      <c r="A14" s="157" t="s">
        <v>511</v>
      </c>
      <c r="B14" s="157" t="s">
        <v>547</v>
      </c>
      <c r="C14" s="158" t="s">
        <v>542</v>
      </c>
      <c r="D14" s="158" t="s">
        <v>562</v>
      </c>
      <c r="E14" s="157" t="s">
        <v>951</v>
      </c>
      <c r="F14" s="157" t="s">
        <v>703</v>
      </c>
      <c r="G14" s="157" t="s">
        <v>952</v>
      </c>
      <c r="H14" s="157" t="s">
        <v>952</v>
      </c>
      <c r="I14" s="159"/>
      <c r="J14" s="131" t="s">
        <v>29</v>
      </c>
    </row>
    <row r="15" spans="1:11">
      <c r="A15" s="157" t="s">
        <v>1683</v>
      </c>
      <c r="B15" s="157" t="s">
        <v>547</v>
      </c>
      <c r="C15" s="158" t="s">
        <v>542</v>
      </c>
      <c r="D15" s="158" t="s">
        <v>1684</v>
      </c>
      <c r="E15" s="157" t="s">
        <v>684</v>
      </c>
      <c r="F15" s="157" t="s">
        <v>370</v>
      </c>
      <c r="G15" s="157" t="s">
        <v>1685</v>
      </c>
      <c r="H15" s="157" t="s">
        <v>970</v>
      </c>
      <c r="I15" s="159"/>
      <c r="J15" s="7" t="s">
        <v>29</v>
      </c>
    </row>
    <row r="16" spans="1:11">
      <c r="A16" s="157" t="s">
        <v>1686</v>
      </c>
      <c r="B16" s="157" t="s">
        <v>547</v>
      </c>
      <c r="C16" s="158" t="s">
        <v>542</v>
      </c>
      <c r="D16" s="158" t="s">
        <v>568</v>
      </c>
      <c r="E16" s="157" t="s">
        <v>593</v>
      </c>
      <c r="F16" s="157" t="s">
        <v>594</v>
      </c>
      <c r="G16" s="157" t="s">
        <v>839</v>
      </c>
      <c r="H16" s="157" t="s">
        <v>839</v>
      </c>
      <c r="I16" s="159" t="s">
        <v>1687</v>
      </c>
      <c r="J16" s="7" t="s">
        <v>29</v>
      </c>
    </row>
    <row r="17" spans="1:11">
      <c r="A17" s="157" t="s">
        <v>513</v>
      </c>
      <c r="B17" s="157" t="s">
        <v>547</v>
      </c>
      <c r="C17" s="158" t="s">
        <v>542</v>
      </c>
      <c r="D17" s="158" t="s">
        <v>568</v>
      </c>
      <c r="E17" s="157" t="s">
        <v>1688</v>
      </c>
      <c r="F17" s="157" t="s">
        <v>370</v>
      </c>
      <c r="G17" s="157" t="s">
        <v>1061</v>
      </c>
      <c r="H17" s="157" t="s">
        <v>1061</v>
      </c>
      <c r="I17" s="159" t="s">
        <v>1689</v>
      </c>
      <c r="J17" s="7"/>
    </row>
    <row r="18" spans="1:11">
      <c r="A18" s="157" t="s">
        <v>487</v>
      </c>
      <c r="B18" s="157" t="s">
        <v>547</v>
      </c>
      <c r="C18" s="158" t="s">
        <v>542</v>
      </c>
      <c r="D18" s="157" t="s">
        <v>565</v>
      </c>
      <c r="E18" s="157" t="s">
        <v>727</v>
      </c>
      <c r="F18" s="157" t="s">
        <v>370</v>
      </c>
      <c r="G18" s="157" t="s">
        <v>1690</v>
      </c>
      <c r="H18" s="157" t="s">
        <v>1690</v>
      </c>
      <c r="I18" s="159" t="s">
        <v>1691</v>
      </c>
      <c r="J18" s="7" t="s">
        <v>29</v>
      </c>
    </row>
    <row r="19" spans="1:11">
      <c r="A19" s="157" t="s">
        <v>503</v>
      </c>
      <c r="B19" s="157" t="s">
        <v>547</v>
      </c>
      <c r="C19" s="158" t="s">
        <v>569</v>
      </c>
      <c r="D19" s="158" t="s">
        <v>569</v>
      </c>
      <c r="E19" s="157" t="s">
        <v>956</v>
      </c>
      <c r="F19" s="157" t="s">
        <v>370</v>
      </c>
      <c r="G19" s="157" t="s">
        <v>957</v>
      </c>
      <c r="H19" s="157" t="s">
        <v>957</v>
      </c>
      <c r="I19" s="159"/>
      <c r="J19" s="7"/>
    </row>
    <row r="20" spans="1:11">
      <c r="A20" s="160" t="s">
        <v>457</v>
      </c>
      <c r="B20" s="160" t="s">
        <v>547</v>
      </c>
      <c r="C20" s="160" t="s">
        <v>542</v>
      </c>
      <c r="D20" s="160" t="s">
        <v>542</v>
      </c>
      <c r="E20" s="160" t="s">
        <v>704</v>
      </c>
      <c r="F20" s="160" t="s">
        <v>370</v>
      </c>
      <c r="G20" s="160" t="s">
        <v>1671</v>
      </c>
      <c r="H20" s="160" t="s">
        <v>1671</v>
      </c>
      <c r="I20" s="161"/>
    </row>
    <row r="21" spans="1:11">
      <c r="A21" s="160" t="s">
        <v>489</v>
      </c>
      <c r="B21" s="160" t="s">
        <v>547</v>
      </c>
      <c r="C21" s="162" t="s">
        <v>749</v>
      </c>
      <c r="D21" s="162" t="s">
        <v>749</v>
      </c>
      <c r="E21" s="162" t="s">
        <v>749</v>
      </c>
      <c r="F21" s="160" t="s">
        <v>703</v>
      </c>
      <c r="G21" s="159" t="s">
        <v>1633</v>
      </c>
      <c r="H21" s="159" t="s">
        <v>1633</v>
      </c>
      <c r="I21" s="161"/>
    </row>
    <row r="22" spans="1:11">
      <c r="A22" s="160" t="s">
        <v>516</v>
      </c>
      <c r="B22" s="160" t="s">
        <v>547</v>
      </c>
      <c r="C22" s="162" t="s">
        <v>749</v>
      </c>
      <c r="D22" s="162" t="s">
        <v>749</v>
      </c>
      <c r="E22" s="162" t="s">
        <v>749</v>
      </c>
      <c r="F22" s="160" t="s">
        <v>370</v>
      </c>
      <c r="G22" s="159" t="s">
        <v>1633</v>
      </c>
      <c r="H22" s="159" t="s">
        <v>1633</v>
      </c>
      <c r="I22" s="161"/>
    </row>
    <row r="23" spans="1:11">
      <c r="A23" s="160" t="s">
        <v>517</v>
      </c>
      <c r="B23" s="160" t="s">
        <v>547</v>
      </c>
      <c r="C23" s="162" t="s">
        <v>749</v>
      </c>
      <c r="D23" s="162" t="s">
        <v>749</v>
      </c>
      <c r="E23" s="162" t="s">
        <v>749</v>
      </c>
      <c r="F23" s="160" t="s">
        <v>370</v>
      </c>
      <c r="G23" s="159" t="s">
        <v>1633</v>
      </c>
      <c r="H23" s="159" t="s">
        <v>1633</v>
      </c>
      <c r="I23" s="161"/>
    </row>
    <row r="24" spans="1:11">
      <c r="A24" s="160" t="s">
        <v>477</v>
      </c>
      <c r="B24" s="160" t="s">
        <v>547</v>
      </c>
      <c r="C24" s="160" t="s">
        <v>542</v>
      </c>
      <c r="D24" s="160" t="s">
        <v>542</v>
      </c>
      <c r="E24" s="160" t="s">
        <v>1692</v>
      </c>
      <c r="F24" s="160" t="s">
        <v>370</v>
      </c>
      <c r="G24" s="160" t="s">
        <v>1693</v>
      </c>
      <c r="H24" s="160" t="s">
        <v>1693</v>
      </c>
      <c r="I24" s="161" t="s">
        <v>1694</v>
      </c>
    </row>
    <row r="25" spans="1:11">
      <c r="A25" s="160" t="s">
        <v>440</v>
      </c>
      <c r="B25" s="160" t="s">
        <v>547</v>
      </c>
      <c r="C25" s="160" t="s">
        <v>542</v>
      </c>
      <c r="D25" s="160" t="s">
        <v>542</v>
      </c>
      <c r="E25" s="160" t="s">
        <v>704</v>
      </c>
      <c r="F25" s="160" t="s">
        <v>370</v>
      </c>
      <c r="G25" s="160" t="s">
        <v>1671</v>
      </c>
      <c r="H25" s="160" t="s">
        <v>1671</v>
      </c>
      <c r="I25" s="161"/>
    </row>
    <row r="26" spans="1:11">
      <c r="A26" s="160" t="s">
        <v>1695</v>
      </c>
      <c r="B26" s="160" t="s">
        <v>547</v>
      </c>
      <c r="C26" s="160" t="s">
        <v>542</v>
      </c>
      <c r="D26" s="160" t="s">
        <v>542</v>
      </c>
      <c r="E26" s="160" t="s">
        <v>1696</v>
      </c>
      <c r="F26" s="160" t="s">
        <v>370</v>
      </c>
      <c r="G26" s="160" t="s">
        <v>1697</v>
      </c>
      <c r="H26" s="160" t="s">
        <v>888</v>
      </c>
      <c r="I26" s="161" t="s">
        <v>1698</v>
      </c>
    </row>
    <row r="27" spans="1:11">
      <c r="A27" s="160" t="s">
        <v>493</v>
      </c>
      <c r="B27" s="160" t="s">
        <v>547</v>
      </c>
      <c r="C27" s="160" t="s">
        <v>542</v>
      </c>
      <c r="D27" s="160" t="s">
        <v>1152</v>
      </c>
      <c r="E27" s="160" t="s">
        <v>728</v>
      </c>
      <c r="F27" s="160" t="s">
        <v>370</v>
      </c>
      <c r="G27" s="160" t="s">
        <v>1699</v>
      </c>
      <c r="H27" s="160" t="s">
        <v>1154</v>
      </c>
      <c r="I27" s="161"/>
    </row>
    <row r="28" spans="1:11">
      <c r="A28" s="160" t="s">
        <v>474</v>
      </c>
      <c r="B28" s="160" t="s">
        <v>547</v>
      </c>
      <c r="C28" s="160" t="s">
        <v>542</v>
      </c>
      <c r="D28" s="160" t="s">
        <v>542</v>
      </c>
      <c r="E28" s="160" t="s">
        <v>914</v>
      </c>
      <c r="F28" s="160" t="s">
        <v>1082</v>
      </c>
      <c r="G28" s="160" t="s">
        <v>1700</v>
      </c>
      <c r="H28" s="160" t="s">
        <v>1700</v>
      </c>
      <c r="I28" s="161"/>
      <c r="J28" t="s">
        <v>29</v>
      </c>
      <c r="K28" t="s">
        <v>29</v>
      </c>
    </row>
    <row r="29" spans="1:11">
      <c r="A29" s="160" t="s">
        <v>1701</v>
      </c>
      <c r="B29" s="160" t="s">
        <v>547</v>
      </c>
      <c r="C29" s="160" t="s">
        <v>542</v>
      </c>
      <c r="D29" s="160" t="s">
        <v>542</v>
      </c>
      <c r="E29" s="160" t="s">
        <v>1099</v>
      </c>
      <c r="F29" s="160" t="s">
        <v>370</v>
      </c>
      <c r="G29" s="160" t="s">
        <v>845</v>
      </c>
      <c r="H29" s="160" t="s">
        <v>1702</v>
      </c>
      <c r="I29" s="161"/>
    </row>
    <row r="30" spans="1:11">
      <c r="A30" s="160" t="s">
        <v>1703</v>
      </c>
      <c r="B30" s="160" t="s">
        <v>547</v>
      </c>
      <c r="C30" s="160" t="s">
        <v>542</v>
      </c>
      <c r="D30" s="160" t="s">
        <v>542</v>
      </c>
      <c r="E30" s="160" t="s">
        <v>1507</v>
      </c>
      <c r="F30" s="160" t="s">
        <v>370</v>
      </c>
      <c r="G30" s="160" t="s">
        <v>1704</v>
      </c>
      <c r="H30" s="160" t="s">
        <v>1702</v>
      </c>
      <c r="I30" s="161"/>
    </row>
    <row r="31" spans="1:11">
      <c r="A31" s="160" t="s">
        <v>491</v>
      </c>
      <c r="B31" s="160" t="s">
        <v>547</v>
      </c>
      <c r="C31" s="160" t="s">
        <v>542</v>
      </c>
      <c r="D31" s="160" t="s">
        <v>542</v>
      </c>
      <c r="E31" s="160" t="s">
        <v>1507</v>
      </c>
      <c r="F31" s="160" t="s">
        <v>370</v>
      </c>
      <c r="G31" s="160" t="s">
        <v>874</v>
      </c>
      <c r="H31" s="160" t="s">
        <v>1705</v>
      </c>
      <c r="I31" s="161" t="s">
        <v>1706</v>
      </c>
    </row>
    <row r="32" spans="1:11">
      <c r="A32" s="160" t="s">
        <v>1707</v>
      </c>
      <c r="B32" s="160" t="s">
        <v>547</v>
      </c>
      <c r="C32" s="160" t="s">
        <v>542</v>
      </c>
      <c r="D32" s="160" t="s">
        <v>542</v>
      </c>
      <c r="E32" s="160" t="s">
        <v>1259</v>
      </c>
      <c r="F32" s="160" t="s">
        <v>370</v>
      </c>
      <c r="G32" s="160" t="s">
        <v>1708</v>
      </c>
      <c r="H32" s="160" t="s">
        <v>1708</v>
      </c>
      <c r="I32" s="161"/>
    </row>
    <row r="33" spans="1:10">
      <c r="A33" s="160" t="s">
        <v>1709</v>
      </c>
      <c r="B33" s="160" t="s">
        <v>547</v>
      </c>
      <c r="C33" s="160" t="s">
        <v>542</v>
      </c>
      <c r="D33" s="160" t="s">
        <v>542</v>
      </c>
      <c r="E33" s="160" t="s">
        <v>1507</v>
      </c>
      <c r="F33" s="160" t="s">
        <v>370</v>
      </c>
      <c r="G33" s="160" t="s">
        <v>874</v>
      </c>
      <c r="H33" s="160" t="s">
        <v>1505</v>
      </c>
      <c r="I33" s="95" t="s">
        <v>1710</v>
      </c>
    </row>
    <row r="34" spans="1:10">
      <c r="A34" s="160" t="s">
        <v>470</v>
      </c>
      <c r="B34" s="160" t="s">
        <v>547</v>
      </c>
      <c r="C34" s="160" t="s">
        <v>542</v>
      </c>
      <c r="D34" s="160" t="s">
        <v>542</v>
      </c>
      <c r="E34" s="160" t="s">
        <v>1099</v>
      </c>
      <c r="F34" s="160" t="s">
        <v>1173</v>
      </c>
      <c r="G34" s="160" t="s">
        <v>1704</v>
      </c>
      <c r="H34" s="160" t="s">
        <v>1702</v>
      </c>
      <c r="I34" s="161"/>
    </row>
    <row r="35" spans="1:10">
      <c r="A35" s="160" t="s">
        <v>499</v>
      </c>
      <c r="B35" s="160" t="s">
        <v>547</v>
      </c>
      <c r="C35" s="160" t="s">
        <v>542</v>
      </c>
      <c r="D35" s="160" t="s">
        <v>542</v>
      </c>
      <c r="E35" s="160" t="s">
        <v>613</v>
      </c>
      <c r="F35" s="160" t="s">
        <v>831</v>
      </c>
      <c r="G35" s="160" t="s">
        <v>1711</v>
      </c>
      <c r="H35" s="160" t="s">
        <v>1711</v>
      </c>
      <c r="I35" s="161"/>
    </row>
    <row r="36" spans="1:10">
      <c r="A36" s="160" t="s">
        <v>1712</v>
      </c>
      <c r="B36" s="160" t="s">
        <v>547</v>
      </c>
      <c r="C36" s="160" t="s">
        <v>542</v>
      </c>
      <c r="D36" s="160" t="s">
        <v>542</v>
      </c>
      <c r="E36" s="160" t="s">
        <v>1507</v>
      </c>
      <c r="F36" s="160" t="s">
        <v>1173</v>
      </c>
      <c r="G36" s="160" t="s">
        <v>874</v>
      </c>
      <c r="H36" s="160" t="s">
        <v>878</v>
      </c>
      <c r="I36" s="161"/>
    </row>
    <row r="37" spans="1:10">
      <c r="A37" s="157" t="s">
        <v>483</v>
      </c>
      <c r="B37" s="160" t="s">
        <v>547</v>
      </c>
      <c r="C37" s="160" t="s">
        <v>542</v>
      </c>
      <c r="D37" s="160" t="s">
        <v>542</v>
      </c>
      <c r="E37" s="160" t="s">
        <v>1713</v>
      </c>
      <c r="F37" s="160" t="s">
        <v>831</v>
      </c>
      <c r="G37" s="160" t="s">
        <v>1714</v>
      </c>
      <c r="H37" s="160" t="s">
        <v>1714</v>
      </c>
      <c r="I37" s="161"/>
      <c r="J37" t="s">
        <v>29</v>
      </c>
    </row>
    <row r="38" spans="1:10">
      <c r="A38" s="157" t="s">
        <v>495</v>
      </c>
      <c r="B38" s="160" t="s">
        <v>547</v>
      </c>
      <c r="C38" s="160" t="s">
        <v>542</v>
      </c>
      <c r="D38" s="160" t="s">
        <v>542</v>
      </c>
      <c r="E38" s="160" t="s">
        <v>1715</v>
      </c>
      <c r="F38" s="160" t="s">
        <v>817</v>
      </c>
      <c r="G38" s="160" t="s">
        <v>1671</v>
      </c>
      <c r="H38" s="160" t="s">
        <v>1671</v>
      </c>
      <c r="I38" s="95" t="s">
        <v>1716</v>
      </c>
    </row>
    <row r="39" spans="1:10">
      <c r="A39" s="157" t="s">
        <v>456</v>
      </c>
      <c r="B39" s="160" t="s">
        <v>547</v>
      </c>
      <c r="C39" s="160" t="s">
        <v>542</v>
      </c>
      <c r="D39" s="160" t="s">
        <v>542</v>
      </c>
      <c r="E39" s="160" t="s">
        <v>1717</v>
      </c>
      <c r="F39" s="160" t="s">
        <v>370</v>
      </c>
      <c r="G39" s="160" t="s">
        <v>1718</v>
      </c>
      <c r="H39" s="160" t="s">
        <v>1718</v>
      </c>
      <c r="I39" s="161" t="s">
        <v>1719</v>
      </c>
      <c r="J39" t="s">
        <v>29</v>
      </c>
    </row>
    <row r="40" spans="1:10">
      <c r="A40" s="157" t="s">
        <v>471</v>
      </c>
      <c r="B40" s="160" t="s">
        <v>547</v>
      </c>
      <c r="C40" s="160" t="s">
        <v>542</v>
      </c>
      <c r="D40" s="160" t="s">
        <v>542</v>
      </c>
      <c r="E40" s="160" t="s">
        <v>595</v>
      </c>
      <c r="F40" s="160" t="s">
        <v>1173</v>
      </c>
      <c r="G40" s="160" t="s">
        <v>1720</v>
      </c>
      <c r="H40" s="160" t="s">
        <v>1720</v>
      </c>
      <c r="I40" s="95" t="s">
        <v>1721</v>
      </c>
    </row>
    <row r="41" spans="1:10">
      <c r="A41" s="157" t="s">
        <v>1722</v>
      </c>
      <c r="B41" s="160" t="s">
        <v>547</v>
      </c>
      <c r="C41" s="160" t="s">
        <v>542</v>
      </c>
      <c r="D41" s="160" t="s">
        <v>542</v>
      </c>
      <c r="E41" s="157" t="s">
        <v>1723</v>
      </c>
      <c r="F41" s="157" t="s">
        <v>370</v>
      </c>
      <c r="G41" s="157" t="s">
        <v>1724</v>
      </c>
      <c r="H41" s="157" t="s">
        <v>1725</v>
      </c>
      <c r="I41" s="161" t="s">
        <v>1726</v>
      </c>
    </row>
    <row r="42" spans="1:10">
      <c r="A42" s="157" t="s">
        <v>1727</v>
      </c>
      <c r="B42" s="160" t="s">
        <v>547</v>
      </c>
      <c r="C42" s="160" t="s">
        <v>542</v>
      </c>
      <c r="D42" s="160" t="s">
        <v>542</v>
      </c>
      <c r="E42" s="157" t="s">
        <v>1723</v>
      </c>
      <c r="F42" s="157" t="s">
        <v>370</v>
      </c>
      <c r="G42" s="157" t="s">
        <v>1728</v>
      </c>
      <c r="H42" s="157" t="s">
        <v>1725</v>
      </c>
      <c r="I42" s="95" t="s">
        <v>1729</v>
      </c>
    </row>
    <row r="43" spans="1:10">
      <c r="A43" s="157" t="s">
        <v>1730</v>
      </c>
      <c r="B43" s="160" t="s">
        <v>547</v>
      </c>
      <c r="C43" s="160" t="s">
        <v>542</v>
      </c>
      <c r="D43" s="160" t="s">
        <v>542</v>
      </c>
      <c r="E43" s="157" t="s">
        <v>1723</v>
      </c>
      <c r="F43" s="157" t="s">
        <v>370</v>
      </c>
      <c r="G43" s="157" t="s">
        <v>1731</v>
      </c>
      <c r="H43" s="157" t="s">
        <v>1725</v>
      </c>
      <c r="I43" s="95" t="s">
        <v>1732</v>
      </c>
    </row>
    <row r="44" spans="1:10">
      <c r="A44" s="157" t="s">
        <v>1733</v>
      </c>
      <c r="B44" s="160" t="s">
        <v>547</v>
      </c>
      <c r="C44" s="160" t="s">
        <v>542</v>
      </c>
      <c r="D44" s="160" t="s">
        <v>542</v>
      </c>
      <c r="E44" s="157" t="s">
        <v>1723</v>
      </c>
      <c r="F44" s="157" t="s">
        <v>370</v>
      </c>
      <c r="G44" s="157" t="s">
        <v>1734</v>
      </c>
      <c r="H44" s="157" t="s">
        <v>1725</v>
      </c>
      <c r="I44" s="161" t="s">
        <v>1735</v>
      </c>
    </row>
    <row r="45" spans="1:10">
      <c r="A45" s="157" t="s">
        <v>1736</v>
      </c>
      <c r="B45" s="160" t="s">
        <v>547</v>
      </c>
      <c r="C45" s="160" t="s">
        <v>542</v>
      </c>
      <c r="D45" s="160" t="s">
        <v>542</v>
      </c>
      <c r="E45" s="157" t="s">
        <v>1723</v>
      </c>
      <c r="F45" s="157" t="s">
        <v>370</v>
      </c>
      <c r="G45" s="157" t="s">
        <v>1737</v>
      </c>
      <c r="H45" s="157" t="s">
        <v>1725</v>
      </c>
      <c r="I45" s="95" t="s">
        <v>1738</v>
      </c>
    </row>
    <row r="46" spans="1:10">
      <c r="A46" s="157" t="s">
        <v>1739</v>
      </c>
      <c r="B46" s="160" t="s">
        <v>547</v>
      </c>
      <c r="C46" s="160" t="s">
        <v>542</v>
      </c>
      <c r="D46" s="160" t="s">
        <v>542</v>
      </c>
      <c r="E46" s="157" t="s">
        <v>706</v>
      </c>
      <c r="F46" s="157" t="s">
        <v>370</v>
      </c>
      <c r="G46" s="157" t="s">
        <v>1740</v>
      </c>
      <c r="H46" s="157" t="s">
        <v>1740</v>
      </c>
      <c r="I46" s="161" t="s">
        <v>1741</v>
      </c>
      <c r="J46" t="s">
        <v>29</v>
      </c>
    </row>
    <row r="47" spans="1:10">
      <c r="A47" s="157" t="s">
        <v>436</v>
      </c>
      <c r="B47" s="160" t="s">
        <v>547</v>
      </c>
      <c r="C47" s="160" t="s">
        <v>542</v>
      </c>
      <c r="D47" s="160" t="s">
        <v>934</v>
      </c>
      <c r="E47" s="157" t="s">
        <v>729</v>
      </c>
      <c r="F47" s="157" t="s">
        <v>629</v>
      </c>
      <c r="G47" s="157" t="s">
        <v>936</v>
      </c>
      <c r="H47" s="157" t="s">
        <v>936</v>
      </c>
      <c r="I47" s="95" t="s">
        <v>1742</v>
      </c>
    </row>
    <row r="48" spans="1:10">
      <c r="A48" s="157" t="s">
        <v>1743</v>
      </c>
      <c r="B48" s="160" t="s">
        <v>547</v>
      </c>
      <c r="C48" s="160" t="s">
        <v>542</v>
      </c>
      <c r="D48" s="160" t="s">
        <v>542</v>
      </c>
      <c r="E48" s="160" t="s">
        <v>1744</v>
      </c>
      <c r="F48" s="157" t="s">
        <v>1745</v>
      </c>
      <c r="G48" s="157" t="s">
        <v>1746</v>
      </c>
      <c r="H48" s="157" t="s">
        <v>1746</v>
      </c>
      <c r="I48" s="161"/>
    </row>
    <row r="49" spans="1:11">
      <c r="A49" s="157" t="s">
        <v>500</v>
      </c>
      <c r="B49" s="160" t="s">
        <v>547</v>
      </c>
      <c r="C49" s="160" t="s">
        <v>542</v>
      </c>
      <c r="D49" s="160" t="s">
        <v>934</v>
      </c>
      <c r="E49" s="160" t="s">
        <v>593</v>
      </c>
      <c r="F49" s="157" t="s">
        <v>594</v>
      </c>
      <c r="G49" s="157" t="s">
        <v>1113</v>
      </c>
      <c r="H49" s="160" t="s">
        <v>1114</v>
      </c>
      <c r="I49" s="95" t="s">
        <v>1747</v>
      </c>
    </row>
    <row r="50" spans="1:11">
      <c r="A50" s="157" t="s">
        <v>1748</v>
      </c>
      <c r="B50" s="160" t="s">
        <v>547</v>
      </c>
      <c r="C50" s="160" t="s">
        <v>542</v>
      </c>
      <c r="D50" s="160" t="s">
        <v>542</v>
      </c>
      <c r="E50" s="169" t="s">
        <v>1099</v>
      </c>
      <c r="F50" s="161" t="s">
        <v>370</v>
      </c>
      <c r="G50" s="157"/>
      <c r="H50" s="157"/>
      <c r="I50" s="161"/>
    </row>
    <row r="51" spans="1:11">
      <c r="A51" s="157" t="s">
        <v>452</v>
      </c>
      <c r="B51" s="160" t="s">
        <v>547</v>
      </c>
      <c r="C51" s="160" t="s">
        <v>542</v>
      </c>
      <c r="D51" s="160" t="s">
        <v>542</v>
      </c>
      <c r="E51" s="157" t="s">
        <v>644</v>
      </c>
      <c r="F51" s="160" t="s">
        <v>370</v>
      </c>
      <c r="G51" s="157" t="s">
        <v>1749</v>
      </c>
      <c r="H51" s="157" t="s">
        <v>1749</v>
      </c>
      <c r="I51" s="95" t="s">
        <v>1750</v>
      </c>
    </row>
    <row r="52" spans="1:11">
      <c r="A52" s="157" t="s">
        <v>1751</v>
      </c>
      <c r="B52" s="160" t="s">
        <v>547</v>
      </c>
      <c r="C52" s="160" t="s">
        <v>542</v>
      </c>
      <c r="D52" s="160" t="s">
        <v>542</v>
      </c>
      <c r="E52" s="157"/>
      <c r="F52" s="157"/>
      <c r="G52" s="157"/>
      <c r="H52" s="157"/>
      <c r="I52" s="161"/>
    </row>
    <row r="53" spans="1:11">
      <c r="A53" s="157" t="s">
        <v>468</v>
      </c>
      <c r="B53" s="160" t="s">
        <v>547</v>
      </c>
      <c r="C53" s="160" t="s">
        <v>542</v>
      </c>
      <c r="D53" s="160" t="s">
        <v>1752</v>
      </c>
      <c r="E53" s="157" t="s">
        <v>1753</v>
      </c>
      <c r="F53" s="157" t="s">
        <v>1754</v>
      </c>
      <c r="G53" s="157" t="s">
        <v>1755</v>
      </c>
      <c r="H53" s="157" t="s">
        <v>1755</v>
      </c>
      <c r="I53" s="95" t="s">
        <v>1756</v>
      </c>
      <c r="J53" t="s">
        <v>29</v>
      </c>
      <c r="K53" t="s">
        <v>29</v>
      </c>
    </row>
    <row r="54" spans="1:11">
      <c r="A54" s="157" t="s">
        <v>492</v>
      </c>
      <c r="B54" s="160" t="s">
        <v>547</v>
      </c>
      <c r="C54" s="160" t="s">
        <v>542</v>
      </c>
      <c r="D54" s="160" t="s">
        <v>542</v>
      </c>
      <c r="E54" s="157" t="s">
        <v>671</v>
      </c>
      <c r="F54" s="157" t="s">
        <v>1103</v>
      </c>
      <c r="G54" s="157" t="s">
        <v>1757</v>
      </c>
      <c r="H54" s="157" t="s">
        <v>1758</v>
      </c>
      <c r="I54" s="95" t="s">
        <v>1759</v>
      </c>
    </row>
    <row r="55" spans="1:11">
      <c r="A55" s="157" t="s">
        <v>512</v>
      </c>
      <c r="B55" s="160" t="s">
        <v>547</v>
      </c>
      <c r="C55" s="160" t="s">
        <v>542</v>
      </c>
      <c r="D55" s="160" t="s">
        <v>542</v>
      </c>
      <c r="E55" s="157" t="s">
        <v>1081</v>
      </c>
      <c r="F55" s="157" t="s">
        <v>370</v>
      </c>
      <c r="G55" s="157" t="s">
        <v>1760</v>
      </c>
      <c r="H55" s="157" t="s">
        <v>1760</v>
      </c>
      <c r="I55" s="95"/>
      <c r="J55" t="s">
        <v>29</v>
      </c>
    </row>
    <row r="56" spans="1:11">
      <c r="A56" s="163" t="s">
        <v>504</v>
      </c>
      <c r="B56" s="160" t="s">
        <v>547</v>
      </c>
      <c r="C56" s="160" t="s">
        <v>542</v>
      </c>
      <c r="D56" s="160" t="s">
        <v>1761</v>
      </c>
      <c r="E56" s="157"/>
      <c r="F56" s="157" t="s">
        <v>370</v>
      </c>
      <c r="G56" s="157" t="s">
        <v>1762</v>
      </c>
      <c r="H56" s="157" t="s">
        <v>1762</v>
      </c>
      <c r="I56" s="95" t="s">
        <v>1763</v>
      </c>
    </row>
    <row r="57" spans="1:11">
      <c r="A57" s="163" t="s">
        <v>1764</v>
      </c>
      <c r="B57" s="160" t="s">
        <v>805</v>
      </c>
      <c r="C57" s="158" t="s">
        <v>542</v>
      </c>
      <c r="D57" s="157" t="s">
        <v>565</v>
      </c>
      <c r="E57" s="157"/>
      <c r="F57" s="157" t="s">
        <v>370</v>
      </c>
      <c r="G57" s="157" t="s">
        <v>1765</v>
      </c>
      <c r="H57" s="157" t="s">
        <v>1765</v>
      </c>
      <c r="I57" s="95" t="s">
        <v>1766</v>
      </c>
    </row>
    <row r="58" spans="1:11">
      <c r="A58" s="163" t="s">
        <v>1767</v>
      </c>
      <c r="B58" s="160" t="s">
        <v>805</v>
      </c>
      <c r="C58" s="160" t="s">
        <v>542</v>
      </c>
      <c r="D58" s="160" t="s">
        <v>1768</v>
      </c>
      <c r="E58" s="157"/>
      <c r="F58" s="157" t="s">
        <v>370</v>
      </c>
      <c r="G58" s="157"/>
      <c r="H58" s="157"/>
      <c r="I58" s="161"/>
    </row>
    <row r="59" spans="1:11">
      <c r="A59" s="163" t="s">
        <v>1769</v>
      </c>
      <c r="B59" s="160" t="s">
        <v>805</v>
      </c>
      <c r="C59" s="160" t="s">
        <v>542</v>
      </c>
      <c r="D59" s="160" t="s">
        <v>1768</v>
      </c>
      <c r="E59" s="157"/>
      <c r="F59" s="157" t="s">
        <v>370</v>
      </c>
      <c r="G59" s="157"/>
      <c r="H59" s="157"/>
      <c r="I59" s="161"/>
    </row>
    <row r="60" spans="1:11">
      <c r="A60" s="164" t="s">
        <v>1770</v>
      </c>
      <c r="B60" s="160" t="s">
        <v>547</v>
      </c>
      <c r="C60" s="160" t="s">
        <v>542</v>
      </c>
      <c r="D60" s="160" t="s">
        <v>542</v>
      </c>
      <c r="E60" s="157" t="s">
        <v>1771</v>
      </c>
      <c r="F60" s="157" t="s">
        <v>370</v>
      </c>
      <c r="G60" s="157" t="s">
        <v>1772</v>
      </c>
      <c r="H60" s="157" t="s">
        <v>1772</v>
      </c>
      <c r="I60" s="165" t="s">
        <v>1773</v>
      </c>
    </row>
    <row r="61" spans="1:11">
      <c r="A61" s="164" t="s">
        <v>441</v>
      </c>
      <c r="B61" s="160" t="s">
        <v>547</v>
      </c>
      <c r="C61" s="160" t="s">
        <v>542</v>
      </c>
      <c r="D61" s="160" t="s">
        <v>542</v>
      </c>
      <c r="E61" s="160" t="s">
        <v>1081</v>
      </c>
      <c r="F61" s="157" t="s">
        <v>1082</v>
      </c>
      <c r="G61" s="157" t="s">
        <v>1774</v>
      </c>
      <c r="H61" s="157" t="s">
        <v>1774</v>
      </c>
      <c r="I61" s="161"/>
    </row>
    <row r="62" spans="1:11">
      <c r="A62" s="163" t="s">
        <v>1775</v>
      </c>
      <c r="B62" s="160" t="s">
        <v>547</v>
      </c>
      <c r="C62" s="160" t="s">
        <v>542</v>
      </c>
      <c r="D62" s="160" t="s">
        <v>542</v>
      </c>
      <c r="E62" s="157" t="s">
        <v>1081</v>
      </c>
      <c r="F62" s="157" t="s">
        <v>1082</v>
      </c>
      <c r="G62" s="157" t="s">
        <v>1776</v>
      </c>
      <c r="H62" s="157" t="s">
        <v>1776</v>
      </c>
      <c r="I62" s="165" t="s">
        <v>1777</v>
      </c>
    </row>
    <row r="63" spans="1:11">
      <c r="A63" s="163" t="s">
        <v>1778</v>
      </c>
      <c r="B63" s="160" t="s">
        <v>547</v>
      </c>
      <c r="C63" s="160" t="s">
        <v>542</v>
      </c>
      <c r="D63" s="160" t="s">
        <v>542</v>
      </c>
      <c r="E63" s="157" t="s">
        <v>833</v>
      </c>
      <c r="F63" s="157" t="s">
        <v>1385</v>
      </c>
      <c r="G63" s="157" t="s">
        <v>1779</v>
      </c>
      <c r="H63" s="157" t="s">
        <v>1779</v>
      </c>
      <c r="I63" s="165" t="s">
        <v>1780</v>
      </c>
    </row>
    <row r="64" spans="1:11">
      <c r="A64" s="163" t="s">
        <v>1781</v>
      </c>
      <c r="B64" s="160" t="s">
        <v>547</v>
      </c>
      <c r="C64" s="160" t="s">
        <v>542</v>
      </c>
      <c r="D64" s="160" t="s">
        <v>542</v>
      </c>
      <c r="E64" s="157" t="s">
        <v>1315</v>
      </c>
      <c r="F64" s="157" t="s">
        <v>370</v>
      </c>
      <c r="G64" s="157" t="s">
        <v>1316</v>
      </c>
      <c r="H64" s="157" t="s">
        <v>1316</v>
      </c>
      <c r="I64" s="165" t="s">
        <v>1782</v>
      </c>
    </row>
    <row r="65" spans="1:10">
      <c r="A65" s="163" t="s">
        <v>1783</v>
      </c>
      <c r="B65" s="160" t="s">
        <v>547</v>
      </c>
      <c r="C65" s="160" t="s">
        <v>542</v>
      </c>
      <c r="D65" s="160" t="s">
        <v>542</v>
      </c>
      <c r="E65" s="157" t="s">
        <v>1784</v>
      </c>
      <c r="F65" s="157" t="s">
        <v>370</v>
      </c>
      <c r="G65" s="157" t="s">
        <v>1785</v>
      </c>
      <c r="H65" s="157" t="s">
        <v>1786</v>
      </c>
      <c r="I65" s="165" t="s">
        <v>1787</v>
      </c>
    </row>
    <row r="66" spans="1:10">
      <c r="A66" s="163" t="s">
        <v>510</v>
      </c>
      <c r="B66" s="160" t="s">
        <v>547</v>
      </c>
      <c r="C66" s="160" t="s">
        <v>542</v>
      </c>
      <c r="D66" s="160" t="s">
        <v>542</v>
      </c>
      <c r="E66" s="157" t="s">
        <v>1713</v>
      </c>
      <c r="F66" s="157" t="s">
        <v>370</v>
      </c>
      <c r="G66" s="157" t="s">
        <v>1788</v>
      </c>
      <c r="H66" s="157" t="s">
        <v>1788</v>
      </c>
      <c r="I66" s="165" t="s">
        <v>1789</v>
      </c>
    </row>
    <row r="67" spans="1:10">
      <c r="A67" s="163" t="s">
        <v>1790</v>
      </c>
      <c r="B67" s="160" t="s">
        <v>547</v>
      </c>
      <c r="C67" s="160" t="s">
        <v>542</v>
      </c>
      <c r="D67" s="160" t="s">
        <v>542</v>
      </c>
      <c r="E67" s="157" t="s">
        <v>1791</v>
      </c>
      <c r="F67" s="157" t="s">
        <v>370</v>
      </c>
      <c r="G67" s="157" t="s">
        <v>1792</v>
      </c>
      <c r="H67" s="157" t="s">
        <v>1792</v>
      </c>
      <c r="I67" s="165" t="s">
        <v>1793</v>
      </c>
    </row>
    <row r="68" spans="1:10">
      <c r="A68" s="163" t="s">
        <v>1794</v>
      </c>
      <c r="B68" s="160" t="s">
        <v>547</v>
      </c>
      <c r="C68" s="160" t="s">
        <v>542</v>
      </c>
      <c r="D68" s="160" t="s">
        <v>542</v>
      </c>
      <c r="E68" s="160" t="s">
        <v>1795</v>
      </c>
      <c r="F68" s="157" t="s">
        <v>1385</v>
      </c>
      <c r="G68" s="160" t="s">
        <v>974</v>
      </c>
      <c r="H68" s="160" t="s">
        <v>974</v>
      </c>
      <c r="I68" s="165" t="s">
        <v>1796</v>
      </c>
    </row>
    <row r="69" spans="1:10">
      <c r="A69" s="163" t="s">
        <v>1797</v>
      </c>
      <c r="B69" s="160" t="s">
        <v>547</v>
      </c>
      <c r="C69" s="160" t="s">
        <v>542</v>
      </c>
      <c r="D69" s="160" t="s">
        <v>934</v>
      </c>
      <c r="E69" s="160" t="s">
        <v>943</v>
      </c>
      <c r="F69" s="157" t="s">
        <v>370</v>
      </c>
      <c r="G69" s="157" t="s">
        <v>1069</v>
      </c>
      <c r="H69" s="157" t="s">
        <v>1070</v>
      </c>
      <c r="I69" s="95" t="s">
        <v>1798</v>
      </c>
    </row>
    <row r="70" spans="1:10">
      <c r="A70" s="163" t="s">
        <v>1799</v>
      </c>
      <c r="B70" s="160" t="s">
        <v>547</v>
      </c>
      <c r="C70" s="160" t="s">
        <v>542</v>
      </c>
      <c r="D70" s="160" t="s">
        <v>542</v>
      </c>
      <c r="E70" s="157" t="s">
        <v>1294</v>
      </c>
      <c r="F70" s="157" t="s">
        <v>370</v>
      </c>
      <c r="G70" s="157" t="s">
        <v>1664</v>
      </c>
      <c r="H70" s="157" t="s">
        <v>1664</v>
      </c>
      <c r="I70" s="95" t="s">
        <v>1800</v>
      </c>
    </row>
    <row r="71" spans="1:10">
      <c r="A71" s="163" t="s">
        <v>1801</v>
      </c>
      <c r="B71" s="160" t="s">
        <v>547</v>
      </c>
      <c r="C71" s="160" t="s">
        <v>542</v>
      </c>
      <c r="D71" s="160" t="s">
        <v>542</v>
      </c>
      <c r="E71" s="157" t="s">
        <v>1802</v>
      </c>
      <c r="F71" s="157" t="s">
        <v>1803</v>
      </c>
      <c r="G71" s="157" t="s">
        <v>1804</v>
      </c>
      <c r="H71" s="157" t="s">
        <v>1804</v>
      </c>
      <c r="I71" s="95" t="s">
        <v>1805</v>
      </c>
    </row>
    <row r="72" spans="1:10">
      <c r="A72" s="163" t="s">
        <v>1806</v>
      </c>
      <c r="B72" s="160" t="s">
        <v>547</v>
      </c>
      <c r="C72" s="160" t="s">
        <v>542</v>
      </c>
      <c r="D72" s="160" t="s">
        <v>542</v>
      </c>
      <c r="E72" s="157" t="s">
        <v>1807</v>
      </c>
      <c r="F72" s="157" t="s">
        <v>1082</v>
      </c>
      <c r="G72" s="157" t="s">
        <v>1228</v>
      </c>
      <c r="H72" s="157" t="s">
        <v>1228</v>
      </c>
      <c r="I72" s="95" t="s">
        <v>1808</v>
      </c>
    </row>
    <row r="73" spans="1:10">
      <c r="A73" s="163" t="s">
        <v>1809</v>
      </c>
      <c r="B73" s="160" t="s">
        <v>547</v>
      </c>
      <c r="C73" s="160" t="s">
        <v>542</v>
      </c>
      <c r="D73" s="160" t="s">
        <v>542</v>
      </c>
      <c r="E73" s="157" t="s">
        <v>1810</v>
      </c>
      <c r="F73" s="157" t="s">
        <v>370</v>
      </c>
      <c r="G73" s="157" t="s">
        <v>1811</v>
      </c>
      <c r="H73" s="157" t="s">
        <v>1811</v>
      </c>
      <c r="I73" s="251" t="s">
        <v>1812</v>
      </c>
    </row>
    <row r="74" spans="1:10">
      <c r="A74" s="166" t="s">
        <v>1813</v>
      </c>
      <c r="B74" s="160" t="s">
        <v>547</v>
      </c>
      <c r="C74" s="160" t="s">
        <v>542</v>
      </c>
      <c r="D74" s="160" t="s">
        <v>542</v>
      </c>
      <c r="E74" s="167" t="s">
        <v>1814</v>
      </c>
      <c r="F74" s="157" t="s">
        <v>370</v>
      </c>
      <c r="G74" s="167" t="s">
        <v>1815</v>
      </c>
      <c r="H74" s="167" t="s">
        <v>1815</v>
      </c>
      <c r="I74" t="s">
        <v>1816</v>
      </c>
    </row>
    <row r="75" spans="1:10">
      <c r="A75" s="168" t="s">
        <v>1817</v>
      </c>
      <c r="B75" s="160" t="s">
        <v>547</v>
      </c>
      <c r="C75" s="160" t="s">
        <v>542</v>
      </c>
      <c r="D75" s="160" t="s">
        <v>542</v>
      </c>
      <c r="E75" s="169" t="s">
        <v>1172</v>
      </c>
      <c r="F75" s="157" t="s">
        <v>370</v>
      </c>
      <c r="G75" s="167" t="s">
        <v>890</v>
      </c>
      <c r="H75" s="167" t="s">
        <v>890</v>
      </c>
      <c r="I75" s="251" t="s">
        <v>1818</v>
      </c>
    </row>
    <row r="76" spans="1:10">
      <c r="A76" s="168" t="s">
        <v>480</v>
      </c>
      <c r="B76" s="160" t="s">
        <v>547</v>
      </c>
      <c r="C76" s="160" t="s">
        <v>542</v>
      </c>
      <c r="D76" s="160" t="s">
        <v>542</v>
      </c>
      <c r="E76" s="169" t="s">
        <v>1172</v>
      </c>
      <c r="F76" s="157" t="s">
        <v>370</v>
      </c>
      <c r="G76" s="167" t="s">
        <v>890</v>
      </c>
      <c r="H76" s="167" t="s">
        <v>890</v>
      </c>
      <c r="I76" t="s">
        <v>1819</v>
      </c>
      <c r="J76" t="s">
        <v>29</v>
      </c>
    </row>
    <row r="77" spans="1:10">
      <c r="A77" s="170" t="s">
        <v>467</v>
      </c>
      <c r="B77" s="160" t="s">
        <v>547</v>
      </c>
      <c r="C77" s="160" t="s">
        <v>542</v>
      </c>
      <c r="D77" s="67" t="s">
        <v>1820</v>
      </c>
      <c r="E77" s="67" t="s">
        <v>870</v>
      </c>
      <c r="F77" s="67" t="s">
        <v>1821</v>
      </c>
      <c r="G77" s="167" t="s">
        <v>1822</v>
      </c>
      <c r="H77" s="167" t="s">
        <v>1822</v>
      </c>
      <c r="I77" s="251" t="s">
        <v>1823</v>
      </c>
    </row>
    <row r="78" spans="1:10">
      <c r="A78" s="170" t="s">
        <v>482</v>
      </c>
      <c r="B78" s="160" t="s">
        <v>547</v>
      </c>
      <c r="C78" s="160" t="s">
        <v>542</v>
      </c>
      <c r="D78" s="160" t="s">
        <v>542</v>
      </c>
      <c r="E78" s="169" t="s">
        <v>1824</v>
      </c>
      <c r="F78" s="169" t="s">
        <v>1825</v>
      </c>
      <c r="G78" s="167" t="s">
        <v>1826</v>
      </c>
      <c r="H78" s="167" t="s">
        <v>1826</v>
      </c>
      <c r="I78" s="252" t="s">
        <v>1827</v>
      </c>
    </row>
    <row r="79" spans="1:10">
      <c r="A79" s="170" t="s">
        <v>509</v>
      </c>
      <c r="B79" s="160" t="s">
        <v>547</v>
      </c>
      <c r="C79" s="160" t="s">
        <v>542</v>
      </c>
      <c r="D79" s="160" t="s">
        <v>1768</v>
      </c>
      <c r="E79" s="132"/>
      <c r="F79" s="157" t="s">
        <v>370</v>
      </c>
    </row>
    <row r="80" spans="1:10">
      <c r="A80" s="173" t="s">
        <v>444</v>
      </c>
      <c r="B80" s="160" t="s">
        <v>547</v>
      </c>
      <c r="C80" s="160" t="s">
        <v>542</v>
      </c>
      <c r="D80" s="160" t="s">
        <v>542</v>
      </c>
      <c r="E80" s="169" t="s">
        <v>1828</v>
      </c>
      <c r="F80" s="160" t="s">
        <v>831</v>
      </c>
      <c r="G80" s="167" t="s">
        <v>1829</v>
      </c>
      <c r="H80" s="167" t="s">
        <v>1829</v>
      </c>
    </row>
    <row r="81" spans="1:9">
      <c r="A81" s="170" t="s">
        <v>459</v>
      </c>
      <c r="B81" s="160" t="s">
        <v>547</v>
      </c>
      <c r="C81" s="160" t="s">
        <v>542</v>
      </c>
      <c r="D81" s="160" t="s">
        <v>542</v>
      </c>
      <c r="E81" s="169" t="s">
        <v>1359</v>
      </c>
      <c r="F81" s="161" t="s">
        <v>370</v>
      </c>
      <c r="G81" s="167" t="s">
        <v>1360</v>
      </c>
      <c r="H81" s="167" t="s">
        <v>1360</v>
      </c>
      <c r="I81" s="252" t="s">
        <v>1830</v>
      </c>
    </row>
    <row r="82" spans="1:9">
      <c r="A82" s="170" t="s">
        <v>443</v>
      </c>
      <c r="B82" s="160" t="s">
        <v>547</v>
      </c>
      <c r="C82" s="160" t="s">
        <v>542</v>
      </c>
      <c r="D82" s="160" t="s">
        <v>542</v>
      </c>
      <c r="E82" s="169" t="s">
        <v>1828</v>
      </c>
      <c r="F82" s="160" t="s">
        <v>831</v>
      </c>
      <c r="G82" s="167" t="s">
        <v>1831</v>
      </c>
      <c r="H82" s="167" t="s">
        <v>1832</v>
      </c>
      <c r="I82" s="252" t="s">
        <v>1833</v>
      </c>
    </row>
    <row r="83" spans="1:9">
      <c r="A83" s="170" t="s">
        <v>445</v>
      </c>
      <c r="B83" s="160" t="s">
        <v>547</v>
      </c>
      <c r="C83" s="160" t="s">
        <v>542</v>
      </c>
      <c r="D83" s="160" t="s">
        <v>542</v>
      </c>
      <c r="E83" s="169" t="s">
        <v>1834</v>
      </c>
      <c r="F83" s="161" t="s">
        <v>370</v>
      </c>
      <c r="G83" s="167" t="s">
        <v>1835</v>
      </c>
      <c r="H83" s="167" t="s">
        <v>1835</v>
      </c>
    </row>
    <row r="84" spans="1:9">
      <c r="A84" s="170" t="s">
        <v>464</v>
      </c>
      <c r="B84" s="160" t="s">
        <v>547</v>
      </c>
      <c r="C84" s="160" t="s">
        <v>542</v>
      </c>
      <c r="D84" s="160" t="s">
        <v>542</v>
      </c>
      <c r="E84" s="169" t="s">
        <v>1836</v>
      </c>
      <c r="F84" s="161" t="s">
        <v>370</v>
      </c>
      <c r="G84" s="167" t="s">
        <v>1837</v>
      </c>
      <c r="H84" s="167" t="s">
        <v>1837</v>
      </c>
      <c r="I84" s="251" t="s">
        <v>1838</v>
      </c>
    </row>
    <row r="85" spans="1:9">
      <c r="A85" s="170" t="s">
        <v>466</v>
      </c>
      <c r="B85" s="160" t="s">
        <v>547</v>
      </c>
      <c r="C85" s="160" t="s">
        <v>542</v>
      </c>
      <c r="D85" s="174" t="s">
        <v>1331</v>
      </c>
      <c r="E85" s="169"/>
      <c r="F85" s="161" t="s">
        <v>370</v>
      </c>
      <c r="G85" s="167" t="s">
        <v>1839</v>
      </c>
      <c r="H85" s="167" t="s">
        <v>1839</v>
      </c>
      <c r="I85" s="252" t="s">
        <v>1840</v>
      </c>
    </row>
    <row r="86" spans="1:9">
      <c r="A86" s="170" t="s">
        <v>469</v>
      </c>
      <c r="B86" s="160" t="s">
        <v>547</v>
      </c>
      <c r="C86" s="160" t="s">
        <v>542</v>
      </c>
      <c r="D86" s="160" t="s">
        <v>542</v>
      </c>
      <c r="E86" s="169" t="s">
        <v>1841</v>
      </c>
      <c r="F86" s="161" t="s">
        <v>370</v>
      </c>
      <c r="G86" s="167" t="s">
        <v>1842</v>
      </c>
      <c r="H86" s="167" t="s">
        <v>1842</v>
      </c>
    </row>
    <row r="87" spans="1:9">
      <c r="A87" s="170" t="s">
        <v>475</v>
      </c>
      <c r="B87" s="160" t="s">
        <v>547</v>
      </c>
      <c r="C87" s="160" t="s">
        <v>542</v>
      </c>
      <c r="D87" s="160" t="s">
        <v>542</v>
      </c>
      <c r="E87" s="169" t="s">
        <v>914</v>
      </c>
      <c r="F87" s="161" t="s">
        <v>370</v>
      </c>
      <c r="G87" s="167" t="s">
        <v>1843</v>
      </c>
      <c r="H87" s="167" t="s">
        <v>1843</v>
      </c>
      <c r="I87" s="252" t="s">
        <v>1844</v>
      </c>
    </row>
    <row r="88" spans="1:9">
      <c r="A88" s="170" t="s">
        <v>490</v>
      </c>
      <c r="B88" s="160" t="s">
        <v>547</v>
      </c>
      <c r="C88" s="160" t="s">
        <v>542</v>
      </c>
      <c r="D88" s="160" t="s">
        <v>542</v>
      </c>
      <c r="E88" s="176" t="s">
        <v>1717</v>
      </c>
      <c r="F88" s="161" t="s">
        <v>370</v>
      </c>
      <c r="G88" s="167" t="s">
        <v>1845</v>
      </c>
      <c r="H88" s="167" t="s">
        <v>1845</v>
      </c>
    </row>
    <row r="89" spans="1:9">
      <c r="A89" s="170" t="s">
        <v>496</v>
      </c>
      <c r="B89" s="160" t="s">
        <v>547</v>
      </c>
      <c r="C89" s="160" t="s">
        <v>542</v>
      </c>
      <c r="D89" s="160" t="s">
        <v>934</v>
      </c>
      <c r="E89" s="169" t="s">
        <v>1715</v>
      </c>
      <c r="F89" s="157" t="s">
        <v>1168</v>
      </c>
      <c r="G89" s="167" t="s">
        <v>1711</v>
      </c>
      <c r="H89" s="167" t="s">
        <v>1711</v>
      </c>
    </row>
    <row r="90" spans="1:9">
      <c r="A90" s="170" t="s">
        <v>497</v>
      </c>
      <c r="B90" s="160" t="s">
        <v>547</v>
      </c>
      <c r="C90" s="160" t="s">
        <v>542</v>
      </c>
      <c r="D90" s="174" t="s">
        <v>985</v>
      </c>
      <c r="E90" s="169" t="s">
        <v>1846</v>
      </c>
      <c r="F90" s="175"/>
      <c r="G90" s="167" t="s">
        <v>1847</v>
      </c>
      <c r="H90" s="167" t="s">
        <v>1847</v>
      </c>
      <c r="I90" s="252" t="s">
        <v>1848</v>
      </c>
    </row>
    <row r="91" spans="1:9">
      <c r="A91" s="170" t="s">
        <v>505</v>
      </c>
      <c r="B91" s="160" t="s">
        <v>547</v>
      </c>
      <c r="C91" s="160" t="s">
        <v>542</v>
      </c>
      <c r="D91" s="160" t="s">
        <v>542</v>
      </c>
      <c r="E91" s="169" t="s">
        <v>1849</v>
      </c>
      <c r="F91" s="161" t="s">
        <v>370</v>
      </c>
      <c r="G91" s="167" t="s">
        <v>1850</v>
      </c>
      <c r="H91" s="167" t="s">
        <v>1850</v>
      </c>
      <c r="I91" s="251" t="s">
        <v>1851</v>
      </c>
    </row>
    <row r="92" spans="1:9">
      <c r="A92" s="170" t="s">
        <v>515</v>
      </c>
      <c r="B92" s="160" t="s">
        <v>547</v>
      </c>
      <c r="C92" s="160" t="s">
        <v>542</v>
      </c>
      <c r="D92" s="160" t="s">
        <v>542</v>
      </c>
      <c r="E92" s="169" t="s">
        <v>1852</v>
      </c>
      <c r="F92" s="161" t="s">
        <v>370</v>
      </c>
      <c r="G92" s="167" t="s">
        <v>1853</v>
      </c>
      <c r="H92" s="167" t="s">
        <v>1853</v>
      </c>
      <c r="I92" s="184" t="s">
        <v>1854</v>
      </c>
    </row>
    <row r="93" spans="1:9">
      <c r="A93" s="170" t="s">
        <v>465</v>
      </c>
      <c r="B93" s="160" t="s">
        <v>547</v>
      </c>
      <c r="C93" s="160" t="s">
        <v>542</v>
      </c>
      <c r="D93" s="160" t="s">
        <v>542</v>
      </c>
      <c r="E93" s="169" t="s">
        <v>1099</v>
      </c>
      <c r="F93" s="161" t="s">
        <v>370</v>
      </c>
      <c r="G93" s="167"/>
      <c r="H93" s="167"/>
    </row>
    <row r="94" spans="1:9">
      <c r="A94" s="173" t="s">
        <v>1855</v>
      </c>
      <c r="B94" s="160" t="s">
        <v>547</v>
      </c>
      <c r="C94" s="160" t="s">
        <v>542</v>
      </c>
      <c r="D94" s="160" t="s">
        <v>542</v>
      </c>
      <c r="E94" s="169" t="s">
        <v>1856</v>
      </c>
      <c r="F94" s="161" t="s">
        <v>370</v>
      </c>
      <c r="G94" s="167" t="s">
        <v>1857</v>
      </c>
      <c r="H94" s="167" t="s">
        <v>1857</v>
      </c>
      <c r="I94" s="252" t="s">
        <v>1858</v>
      </c>
    </row>
    <row r="95" spans="1:9">
      <c r="A95" s="173" t="s">
        <v>1859</v>
      </c>
      <c r="B95" s="160" t="s">
        <v>547</v>
      </c>
      <c r="C95" s="160" t="s">
        <v>542</v>
      </c>
      <c r="D95" s="160" t="s">
        <v>542</v>
      </c>
      <c r="E95" s="169" t="s">
        <v>1860</v>
      </c>
      <c r="F95" s="161" t="s">
        <v>370</v>
      </c>
      <c r="G95" s="167" t="s">
        <v>1861</v>
      </c>
      <c r="H95" s="167" t="s">
        <v>1861</v>
      </c>
    </row>
    <row r="96" spans="1:9">
      <c r="A96" s="173" t="s">
        <v>1862</v>
      </c>
      <c r="B96" s="160" t="s">
        <v>547</v>
      </c>
      <c r="C96" s="160" t="s">
        <v>542</v>
      </c>
      <c r="D96" s="160" t="s">
        <v>542</v>
      </c>
      <c r="E96" s="169" t="s">
        <v>1577</v>
      </c>
      <c r="F96" s="161" t="s">
        <v>370</v>
      </c>
      <c r="G96" s="167" t="s">
        <v>1863</v>
      </c>
      <c r="H96" s="167" t="s">
        <v>1863</v>
      </c>
      <c r="I96" s="252" t="s">
        <v>1864</v>
      </c>
    </row>
    <row r="97" spans="1:9">
      <c r="A97" s="173" t="s">
        <v>1865</v>
      </c>
      <c r="B97" s="160" t="s">
        <v>547</v>
      </c>
      <c r="C97" s="160" t="s">
        <v>542</v>
      </c>
      <c r="D97" s="160" t="s">
        <v>934</v>
      </c>
      <c r="E97" s="169" t="s">
        <v>1866</v>
      </c>
      <c r="F97" s="161" t="s">
        <v>370</v>
      </c>
      <c r="G97" s="167" t="s">
        <v>1867</v>
      </c>
      <c r="H97" s="167" t="s">
        <v>1867</v>
      </c>
      <c r="I97" s="252" t="s">
        <v>1868</v>
      </c>
    </row>
    <row r="98" spans="1:9">
      <c r="A98" s="173" t="s">
        <v>1869</v>
      </c>
      <c r="B98" s="160" t="s">
        <v>547</v>
      </c>
      <c r="C98" s="160" t="s">
        <v>542</v>
      </c>
      <c r="D98" s="160" t="s">
        <v>542</v>
      </c>
      <c r="E98" s="169" t="s">
        <v>1294</v>
      </c>
      <c r="F98" s="161" t="s">
        <v>370</v>
      </c>
      <c r="G98" s="167" t="s">
        <v>1664</v>
      </c>
      <c r="H98" s="167" t="s">
        <v>1664</v>
      </c>
    </row>
    <row r="99" spans="1:9">
      <c r="A99" s="173" t="s">
        <v>1870</v>
      </c>
      <c r="B99" s="160" t="s">
        <v>547</v>
      </c>
      <c r="C99" s="160" t="s">
        <v>542</v>
      </c>
      <c r="D99" s="160" t="s">
        <v>542</v>
      </c>
      <c r="E99" s="169" t="s">
        <v>1871</v>
      </c>
      <c r="F99" s="161" t="s">
        <v>370</v>
      </c>
      <c r="G99" s="167" t="s">
        <v>1872</v>
      </c>
      <c r="H99" s="167" t="s">
        <v>1872</v>
      </c>
      <c r="I99" s="251" t="s">
        <v>1873</v>
      </c>
    </row>
    <row r="100" spans="1:9">
      <c r="A100" s="173" t="s">
        <v>1874</v>
      </c>
      <c r="B100" s="160" t="s">
        <v>547</v>
      </c>
      <c r="C100" s="160" t="s">
        <v>542</v>
      </c>
      <c r="D100" s="160" t="s">
        <v>1331</v>
      </c>
      <c r="E100" s="169"/>
      <c r="F100" s="161" t="s">
        <v>370</v>
      </c>
      <c r="G100" s="167" t="s">
        <v>1875</v>
      </c>
      <c r="H100" s="167" t="s">
        <v>1875</v>
      </c>
      <c r="I100" s="251" t="s">
        <v>1876</v>
      </c>
    </row>
    <row r="101" spans="1:9">
      <c r="A101" s="173" t="s">
        <v>1877</v>
      </c>
      <c r="B101" s="160" t="s">
        <v>547</v>
      </c>
      <c r="C101" s="160" t="s">
        <v>542</v>
      </c>
      <c r="D101" s="160" t="s">
        <v>542</v>
      </c>
      <c r="E101" s="169" t="s">
        <v>1878</v>
      </c>
      <c r="F101" s="161" t="s">
        <v>370</v>
      </c>
      <c r="G101" s="167" t="s">
        <v>1421</v>
      </c>
      <c r="H101" s="167" t="s">
        <v>1421</v>
      </c>
      <c r="I101" s="252" t="s">
        <v>1879</v>
      </c>
    </row>
    <row r="102" spans="1:9">
      <c r="A102" s="173" t="s">
        <v>1880</v>
      </c>
      <c r="B102" s="160" t="s">
        <v>547</v>
      </c>
      <c r="C102" s="160" t="s">
        <v>542</v>
      </c>
      <c r="D102" s="160" t="s">
        <v>542</v>
      </c>
      <c r="E102" s="169" t="s">
        <v>1881</v>
      </c>
      <c r="F102" s="161" t="s">
        <v>370</v>
      </c>
      <c r="G102" s="167" t="s">
        <v>1882</v>
      </c>
      <c r="H102" s="167" t="s">
        <v>1882</v>
      </c>
      <c r="I102" s="252" t="s">
        <v>1883</v>
      </c>
    </row>
    <row r="103" spans="1:9">
      <c r="A103" s="173" t="s">
        <v>461</v>
      </c>
      <c r="B103" s="160" t="s">
        <v>547</v>
      </c>
      <c r="C103" s="160" t="s">
        <v>542</v>
      </c>
      <c r="D103" s="160" t="s">
        <v>542</v>
      </c>
      <c r="E103" s="169" t="s">
        <v>1099</v>
      </c>
      <c r="F103" s="161" t="s">
        <v>370</v>
      </c>
      <c r="G103" s="167"/>
      <c r="H103" s="167"/>
    </row>
  </sheetData>
  <sheetProtection algorithmName="SHA-512" hashValue="/mTxdNbCHRphhDSsznQ3YyyAnnxKv6AGuxbt429cg/kxgClm/VOif+TJ9gKU6K1avPHgiGbBQKXNf58/RlNdsg==" saltValue="2fIo/d1Qr9RlhmFpS5QfKA==" spinCount="100000" sheet="1" scenarios="1" selectLockedCells="1" selectUnlockedCells="1"/>
  <phoneticPr fontId="2" type="noConversion"/>
  <conditionalFormatting sqref="A94:A1048576 A69:A74 A1:A61 A77:A80">
    <cfRule type="duplicateValues" dxfId="2" priority="2"/>
    <cfRule type="duplicateValues" dxfId="1" priority="3"/>
  </conditionalFormatting>
  <conditionalFormatting sqref="A94:A1048576 A77:A80 A1:A74">
    <cfRule type="duplicateValues" dxfId="0" priority="1"/>
  </conditionalFormatting>
  <hyperlinks>
    <hyperlink ref="I33" r:id="rId1" xr:uid="{C6ECE72C-5C5D-4347-B584-138F3D0A22C0}"/>
    <hyperlink ref="I38" r:id="rId2" xr:uid="{ECFC260F-1B6B-459A-A0F9-938D8EEDDDDA}"/>
    <hyperlink ref="I40" r:id="rId3" xr:uid="{1786E183-D030-4E52-83CB-BD781ECB8232}"/>
    <hyperlink ref="I10" r:id="rId4" xr:uid="{57A378E1-0299-4D55-8BEB-9D9F0D814531}"/>
    <hyperlink ref="I42" r:id="rId5" display="https://ask.krafton.com/browse/ASKIT-27729" xr:uid="{2E953216-B268-4678-91FC-9D13DC982118}"/>
    <hyperlink ref="I43" r:id="rId6" display="https://ask.krafton.com/browse/ASKIT-27724" xr:uid="{4E3A468C-DD11-4DFA-99F2-2BF2ED0AF2A9}"/>
    <hyperlink ref="I45" r:id="rId7" xr:uid="{8CE6AD98-1064-495D-AC87-C0CF626FAB7D}"/>
    <hyperlink ref="I47" r:id="rId8" xr:uid="{7F66F350-B9AC-418F-9C2C-E5B8E8D67EE5}"/>
    <hyperlink ref="I49" r:id="rId9" xr:uid="{4FF7A570-0E85-4A4F-B706-181C5AA2402E}"/>
    <hyperlink ref="I51" r:id="rId10" xr:uid="{F725BDEF-1CC1-4040-A192-F71BC3287F8D}"/>
    <hyperlink ref="I54" r:id="rId11" xr:uid="{77A64337-A28A-45DB-9FC9-59C8E6D2485D}"/>
    <hyperlink ref="I53" r:id="rId12" xr:uid="{7371172F-F456-4E5B-B32B-8239CC80775F}"/>
    <hyperlink ref="I56" r:id="rId13" xr:uid="{97E8E324-057B-DD46-BB18-3845148FFD55}"/>
    <hyperlink ref="I57" r:id="rId14" xr:uid="{9B827D9D-56AA-0A4C-A7B5-F69D57D8E0BD}"/>
    <hyperlink ref="I68" r:id="rId15" xr:uid="{685EE819-CC4E-364B-BE62-09C09EFC67D7}"/>
    <hyperlink ref="I67" r:id="rId16" xr:uid="{9A56B331-091A-0945-B7EE-7C6C7B588AEB}"/>
    <hyperlink ref="I66" r:id="rId17" xr:uid="{F22618B1-0ADA-6E44-8C95-AC3074BF5BDF}"/>
    <hyperlink ref="I65" r:id="rId18" xr:uid="{70E6490B-6DF6-8546-8679-D4D23186C6CA}"/>
    <hyperlink ref="I64" r:id="rId19" xr:uid="{46BCF92F-8945-C84D-A5F0-D61F076C73BC}"/>
    <hyperlink ref="I63" r:id="rId20" xr:uid="{1FAFE1CD-A164-EE4C-9872-44CFD30F3728}"/>
    <hyperlink ref="I62" r:id="rId21" xr:uid="{B4EA82FD-BAA2-DF41-B47B-1B8D9B16A99C}"/>
    <hyperlink ref="I60" r:id="rId22" xr:uid="{F4F784C2-79BE-C046-9919-909838256911}"/>
    <hyperlink ref="I69" r:id="rId23" xr:uid="{48FB039E-FF0F-B849-9BA9-A5838C65C15A}"/>
    <hyperlink ref="I70" r:id="rId24" xr:uid="{F8CAE9F6-E077-D945-B941-650E592385E7}"/>
    <hyperlink ref="I71" r:id="rId25" xr:uid="{4296BCB4-79E6-9541-864C-E90FA8588B8B}"/>
    <hyperlink ref="I72" r:id="rId26" xr:uid="{73331120-E394-DF4A-8D7F-88E2F025D5D8}"/>
    <hyperlink ref="I73" r:id="rId27" tooltip="https://ask.krafton.com/browse/ASKIT-30216" xr:uid="{C03AB3E1-0197-CD42-A98F-ADB3E72371F2}"/>
    <hyperlink ref="I75" r:id="rId28" xr:uid="{62DCB6D6-0D2D-6F43-B698-EDDD3A4C4A84}"/>
    <hyperlink ref="I77" r:id="rId29" xr:uid="{2338D07F-6F26-8C40-B6E3-15F667A6D993}"/>
    <hyperlink ref="I78" r:id="rId30" xr:uid="{A8E6F6EA-2D77-2C4F-B5E4-12022B9128FB}"/>
    <hyperlink ref="I81" r:id="rId31" xr:uid="{BBF5DBCB-29E0-A844-9900-858B0B05705D}"/>
    <hyperlink ref="I82" r:id="rId32" xr:uid="{B2D96400-F65B-B04F-8CE9-30C1B9CFF2B7}"/>
    <hyperlink ref="I84" r:id="rId33" xr:uid="{59FD456C-A8AC-E348-9A06-2926F2D78FAD}"/>
    <hyperlink ref="I85" r:id="rId34" xr:uid="{9F278A59-AB0F-F345-B153-531DEA0876FA}"/>
    <hyperlink ref="I87" r:id="rId35" xr:uid="{8C1760B9-EF97-184C-B1E0-856E4A34A815}"/>
    <hyperlink ref="I90" r:id="rId36" xr:uid="{2CF2745F-D230-E643-BF2E-BFAE34761807}"/>
    <hyperlink ref="I91" r:id="rId37" xr:uid="{24008A2F-7667-CB40-BCD8-AEDC6530515B}"/>
    <hyperlink ref="I92" r:id="rId38" xr:uid="{4E3AE642-64E5-2040-A048-18CD48FAF68F}"/>
    <hyperlink ref="I94" r:id="rId39" xr:uid="{C09B69D2-D57A-1E46-9D5A-516692239851}"/>
    <hyperlink ref="I96" r:id="rId40" xr:uid="{EB96D9EC-FC1A-244F-B47F-A2CF74159663}"/>
    <hyperlink ref="I97" r:id="rId41" xr:uid="{0B578D8D-5BD4-DD46-9466-A3642F0297D0}"/>
    <hyperlink ref="I99" r:id="rId42" xr:uid="{131393D5-FFE3-054B-805A-2A1B94735088}"/>
    <hyperlink ref="I100" r:id="rId43" xr:uid="{9C6B526A-77DE-3A4A-98A2-341F19994F50}"/>
    <hyperlink ref="I101" r:id="rId44" xr:uid="{893B219D-C4B0-094B-9434-E0553AD6D532}"/>
    <hyperlink ref="I102" r:id="rId45" xr:uid="{26643E87-473D-9A4E-A4AE-C01DC623AC50}"/>
  </hyperlinks>
  <pageMargins left="0.7" right="0.7" top="0.75" bottom="0.75" header="0.3" footer="0.3"/>
  <pageSetup paperSize="9" orientation="portrait" r:id="rId46"/>
  <legacyDrawing r:id="rId47"/>
  <tableParts count="1">
    <tablePart r:id="rId4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20DA-EAB2-405F-8074-F7252DFA0C09}">
  <sheetPr codeName="Sheet12"/>
  <dimension ref="A1:C4405"/>
  <sheetViews>
    <sheetView topLeftCell="A336" workbookViewId="0">
      <selection activeCell="A375" sqref="A375"/>
    </sheetView>
  </sheetViews>
  <sheetFormatPr baseColWidth="10" defaultColWidth="8.83203125" defaultRowHeight="17"/>
  <cols>
    <col min="1" max="1" width="47.5" bestFit="1" customWidth="1"/>
    <col min="2" max="2" width="26" bestFit="1" customWidth="1"/>
    <col min="3" max="3" width="13.33203125" customWidth="1"/>
    <col min="4" max="4" width="25.5" bestFit="1" customWidth="1"/>
    <col min="5" max="5" width="47.5" bestFit="1" customWidth="1"/>
    <col min="6" max="6" width="14.33203125" customWidth="1"/>
    <col min="7" max="7" width="15" customWidth="1"/>
    <col min="8" max="8" width="17.5" customWidth="1"/>
    <col min="9" max="9" width="31" bestFit="1" customWidth="1"/>
    <col min="10" max="10" width="23.83203125" customWidth="1"/>
    <col min="11" max="11" width="24.83203125" customWidth="1"/>
    <col min="12" max="12" width="26.33203125" customWidth="1"/>
    <col min="13" max="14" width="31" bestFit="1" customWidth="1"/>
    <col min="15" max="15" width="23.83203125" customWidth="1"/>
    <col min="16" max="16" width="14.5" customWidth="1"/>
  </cols>
  <sheetData>
    <row r="1" spans="1:3">
      <c r="A1" t="s">
        <v>1884</v>
      </c>
      <c r="B1" t="s">
        <v>1885</v>
      </c>
      <c r="C1" t="s">
        <v>1886</v>
      </c>
    </row>
    <row r="2" spans="1:3">
      <c r="A2" t="s">
        <v>1887</v>
      </c>
      <c r="B2">
        <v>10102</v>
      </c>
      <c r="C2">
        <v>1000</v>
      </c>
    </row>
    <row r="3" spans="1:3">
      <c r="A3" t="s">
        <v>1888</v>
      </c>
      <c r="B3">
        <v>27007</v>
      </c>
      <c r="C3">
        <v>2700</v>
      </c>
    </row>
    <row r="4" spans="1:3">
      <c r="A4" t="s">
        <v>1889</v>
      </c>
      <c r="B4">
        <v>27008</v>
      </c>
      <c r="C4">
        <v>2700</v>
      </c>
    </row>
    <row r="5" spans="1:3">
      <c r="A5" t="s">
        <v>1890</v>
      </c>
      <c r="B5">
        <v>27009</v>
      </c>
      <c r="C5">
        <v>2700</v>
      </c>
    </row>
    <row r="6" spans="1:3">
      <c r="A6" t="s">
        <v>1891</v>
      </c>
      <c r="B6">
        <v>27010</v>
      </c>
      <c r="C6">
        <v>2700</v>
      </c>
    </row>
    <row r="7" spans="1:3">
      <c r="A7" t="s">
        <v>1892</v>
      </c>
      <c r="B7">
        <v>50001</v>
      </c>
      <c r="C7">
        <v>5000</v>
      </c>
    </row>
    <row r="8" spans="1:3">
      <c r="A8" t="s">
        <v>1893</v>
      </c>
      <c r="B8">
        <v>100001</v>
      </c>
      <c r="C8">
        <v>1000</v>
      </c>
    </row>
    <row r="9" spans="1:3">
      <c r="A9" t="s">
        <v>1894</v>
      </c>
      <c r="B9">
        <v>100002</v>
      </c>
      <c r="C9">
        <v>1001</v>
      </c>
    </row>
    <row r="10" spans="1:3">
      <c r="A10" t="s">
        <v>1895</v>
      </c>
      <c r="B10">
        <v>100003</v>
      </c>
      <c r="C10">
        <v>1002</v>
      </c>
    </row>
    <row r="11" spans="1:3">
      <c r="A11" t="s">
        <v>1896</v>
      </c>
      <c r="B11">
        <v>100004</v>
      </c>
      <c r="C11">
        <v>1003</v>
      </c>
    </row>
    <row r="12" spans="1:3">
      <c r="A12" t="s">
        <v>1897</v>
      </c>
      <c r="B12">
        <v>100005</v>
      </c>
      <c r="C12">
        <v>1004</v>
      </c>
    </row>
    <row r="13" spans="1:3">
      <c r="A13" t="s">
        <v>1898</v>
      </c>
      <c r="B13">
        <v>100006</v>
      </c>
      <c r="C13">
        <v>1000</v>
      </c>
    </row>
    <row r="14" spans="1:3">
      <c r="A14" t="s">
        <v>1899</v>
      </c>
      <c r="B14">
        <v>100007</v>
      </c>
      <c r="C14">
        <v>1000</v>
      </c>
    </row>
    <row r="15" spans="1:3">
      <c r="A15" t="s">
        <v>1074</v>
      </c>
      <c r="B15">
        <v>100008</v>
      </c>
      <c r="C15">
        <v>1000</v>
      </c>
    </row>
    <row r="16" spans="1:3">
      <c r="A16" t="s">
        <v>542</v>
      </c>
      <c r="B16">
        <v>100009</v>
      </c>
      <c r="C16">
        <v>1000</v>
      </c>
    </row>
    <row r="17" spans="1:3">
      <c r="A17" t="s">
        <v>1900</v>
      </c>
      <c r="B17">
        <v>100010</v>
      </c>
      <c r="C17">
        <v>1000</v>
      </c>
    </row>
    <row r="18" spans="1:3">
      <c r="A18" t="s">
        <v>1901</v>
      </c>
      <c r="B18">
        <v>100011</v>
      </c>
      <c r="C18">
        <v>1000</v>
      </c>
    </row>
    <row r="19" spans="1:3">
      <c r="A19" t="s">
        <v>1902</v>
      </c>
      <c r="B19">
        <v>100012</v>
      </c>
      <c r="C19">
        <v>1000</v>
      </c>
    </row>
    <row r="20" spans="1:3">
      <c r="A20" t="s">
        <v>707</v>
      </c>
      <c r="B20">
        <v>100013</v>
      </c>
      <c r="C20">
        <v>1000</v>
      </c>
    </row>
    <row r="21" spans="1:3">
      <c r="A21" t="s">
        <v>1903</v>
      </c>
      <c r="B21">
        <v>100014</v>
      </c>
      <c r="C21">
        <v>1000</v>
      </c>
    </row>
    <row r="22" spans="1:3">
      <c r="A22" t="s">
        <v>1904</v>
      </c>
      <c r="B22">
        <v>100015</v>
      </c>
      <c r="C22">
        <v>1000</v>
      </c>
    </row>
    <row r="23" spans="1:3">
      <c r="A23" t="s">
        <v>1905</v>
      </c>
      <c r="B23">
        <v>100016</v>
      </c>
      <c r="C23">
        <v>1000</v>
      </c>
    </row>
    <row r="24" spans="1:3">
      <c r="A24" t="s">
        <v>1906</v>
      </c>
      <c r="B24">
        <v>100017</v>
      </c>
      <c r="C24">
        <v>1000</v>
      </c>
    </row>
    <row r="25" spans="1:3">
      <c r="A25" t="s">
        <v>1907</v>
      </c>
      <c r="B25">
        <v>100018</v>
      </c>
      <c r="C25">
        <v>1000</v>
      </c>
    </row>
    <row r="26" spans="1:3">
      <c r="A26" t="s">
        <v>1908</v>
      </c>
      <c r="B26">
        <v>100019</v>
      </c>
      <c r="C26">
        <v>1000</v>
      </c>
    </row>
    <row r="27" spans="1:3">
      <c r="A27" t="s">
        <v>1909</v>
      </c>
      <c r="B27">
        <v>100020</v>
      </c>
      <c r="C27">
        <v>1000</v>
      </c>
    </row>
    <row r="28" spans="1:3">
      <c r="A28" t="s">
        <v>1910</v>
      </c>
      <c r="B28">
        <v>100021</v>
      </c>
      <c r="C28">
        <v>1000</v>
      </c>
    </row>
    <row r="29" spans="1:3">
      <c r="A29" t="s">
        <v>1688</v>
      </c>
      <c r="B29">
        <v>100022</v>
      </c>
      <c r="C29">
        <v>1000</v>
      </c>
    </row>
    <row r="30" spans="1:3">
      <c r="A30" t="s">
        <v>1911</v>
      </c>
      <c r="B30">
        <v>100023</v>
      </c>
      <c r="C30">
        <v>1000</v>
      </c>
    </row>
    <row r="31" spans="1:3">
      <c r="A31" t="s">
        <v>645</v>
      </c>
      <c r="B31">
        <v>100024</v>
      </c>
      <c r="C31">
        <v>1000</v>
      </c>
    </row>
    <row r="32" spans="1:3">
      <c r="A32" t="s">
        <v>595</v>
      </c>
      <c r="B32">
        <v>100025</v>
      </c>
      <c r="C32">
        <v>1000</v>
      </c>
    </row>
    <row r="33" spans="1:3">
      <c r="A33" t="s">
        <v>1912</v>
      </c>
      <c r="B33">
        <v>100026</v>
      </c>
      <c r="C33">
        <v>1000</v>
      </c>
    </row>
    <row r="34" spans="1:3">
      <c r="A34" t="s">
        <v>1913</v>
      </c>
      <c r="B34">
        <v>100027</v>
      </c>
      <c r="C34">
        <v>1000</v>
      </c>
    </row>
    <row r="35" spans="1:3">
      <c r="A35" t="s">
        <v>1914</v>
      </c>
      <c r="B35">
        <v>100028</v>
      </c>
      <c r="C35">
        <v>1000</v>
      </c>
    </row>
    <row r="36" spans="1:3">
      <c r="A36" t="s">
        <v>1915</v>
      </c>
      <c r="B36">
        <v>100029</v>
      </c>
      <c r="C36">
        <v>1000</v>
      </c>
    </row>
    <row r="37" spans="1:3">
      <c r="A37" t="s">
        <v>1029</v>
      </c>
      <c r="B37">
        <v>100030</v>
      </c>
      <c r="C37">
        <v>1000</v>
      </c>
    </row>
    <row r="38" spans="1:3">
      <c r="A38" t="s">
        <v>1916</v>
      </c>
      <c r="B38">
        <v>100031</v>
      </c>
      <c r="C38">
        <v>1000</v>
      </c>
    </row>
    <row r="39" spans="1:3">
      <c r="A39" t="s">
        <v>1917</v>
      </c>
      <c r="B39">
        <v>100032</v>
      </c>
      <c r="C39">
        <v>1000</v>
      </c>
    </row>
    <row r="40" spans="1:3">
      <c r="A40" t="s">
        <v>951</v>
      </c>
      <c r="B40">
        <v>100033</v>
      </c>
      <c r="C40">
        <v>1000</v>
      </c>
    </row>
    <row r="41" spans="1:3">
      <c r="A41" t="s">
        <v>1918</v>
      </c>
      <c r="B41">
        <v>100034</v>
      </c>
      <c r="C41">
        <v>1000</v>
      </c>
    </row>
    <row r="42" spans="1:3">
      <c r="A42" t="s">
        <v>1919</v>
      </c>
      <c r="B42">
        <v>100035</v>
      </c>
      <c r="C42">
        <v>1000</v>
      </c>
    </row>
    <row r="43" spans="1:3">
      <c r="A43" t="s">
        <v>592</v>
      </c>
      <c r="B43">
        <v>100036</v>
      </c>
      <c r="C43">
        <v>1000</v>
      </c>
    </row>
    <row r="44" spans="1:3">
      <c r="A44" t="s">
        <v>617</v>
      </c>
      <c r="B44">
        <v>100037</v>
      </c>
      <c r="C44">
        <v>1000</v>
      </c>
    </row>
    <row r="45" spans="1:3">
      <c r="A45" t="s">
        <v>1920</v>
      </c>
      <c r="B45">
        <v>100038</v>
      </c>
      <c r="C45">
        <v>1000</v>
      </c>
    </row>
    <row r="46" spans="1:3">
      <c r="A46" t="s">
        <v>1921</v>
      </c>
      <c r="B46">
        <v>100039</v>
      </c>
      <c r="C46">
        <v>1000</v>
      </c>
    </row>
    <row r="47" spans="1:3">
      <c r="A47" t="s">
        <v>1922</v>
      </c>
      <c r="B47">
        <v>100040</v>
      </c>
      <c r="C47">
        <v>1000</v>
      </c>
    </row>
    <row r="48" spans="1:3">
      <c r="A48" t="s">
        <v>1923</v>
      </c>
      <c r="B48">
        <v>100041</v>
      </c>
      <c r="C48">
        <v>1000</v>
      </c>
    </row>
    <row r="49" spans="1:3">
      <c r="A49" t="s">
        <v>1924</v>
      </c>
      <c r="B49">
        <v>100042</v>
      </c>
      <c r="C49">
        <v>1000</v>
      </c>
    </row>
    <row r="50" spans="1:3">
      <c r="A50" t="s">
        <v>1925</v>
      </c>
      <c r="B50">
        <v>100043</v>
      </c>
      <c r="C50">
        <v>1000</v>
      </c>
    </row>
    <row r="51" spans="1:3">
      <c r="A51" t="s">
        <v>1926</v>
      </c>
      <c r="B51">
        <v>100044</v>
      </c>
      <c r="C51">
        <v>1000</v>
      </c>
    </row>
    <row r="52" spans="1:3">
      <c r="A52" t="s">
        <v>1927</v>
      </c>
      <c r="B52">
        <v>100045</v>
      </c>
      <c r="C52">
        <v>1000</v>
      </c>
    </row>
    <row r="53" spans="1:3">
      <c r="A53" t="s">
        <v>1928</v>
      </c>
      <c r="B53">
        <v>100046</v>
      </c>
      <c r="C53">
        <v>1000</v>
      </c>
    </row>
    <row r="54" spans="1:3">
      <c r="A54" t="s">
        <v>1929</v>
      </c>
      <c r="B54">
        <v>100047</v>
      </c>
      <c r="C54">
        <v>1000</v>
      </c>
    </row>
    <row r="55" spans="1:3">
      <c r="A55" t="s">
        <v>1930</v>
      </c>
      <c r="B55">
        <v>100048</v>
      </c>
      <c r="C55">
        <v>1000</v>
      </c>
    </row>
    <row r="56" spans="1:3">
      <c r="A56" t="s">
        <v>1931</v>
      </c>
      <c r="B56">
        <v>100049</v>
      </c>
      <c r="C56">
        <v>1000</v>
      </c>
    </row>
    <row r="57" spans="1:3">
      <c r="A57" t="s">
        <v>1932</v>
      </c>
      <c r="B57">
        <v>100050</v>
      </c>
      <c r="C57">
        <v>1000</v>
      </c>
    </row>
    <row r="58" spans="1:3">
      <c r="A58" t="s">
        <v>1933</v>
      </c>
      <c r="B58">
        <v>100051</v>
      </c>
      <c r="C58">
        <v>1000</v>
      </c>
    </row>
    <row r="59" spans="1:3">
      <c r="A59" t="s">
        <v>1934</v>
      </c>
      <c r="B59">
        <v>100052</v>
      </c>
      <c r="C59">
        <v>1000</v>
      </c>
    </row>
    <row r="60" spans="1:3">
      <c r="A60" t="s">
        <v>1935</v>
      </c>
      <c r="B60">
        <v>100053</v>
      </c>
      <c r="C60">
        <v>1000</v>
      </c>
    </row>
    <row r="61" spans="1:3">
      <c r="A61" t="s">
        <v>1936</v>
      </c>
      <c r="B61">
        <v>100054</v>
      </c>
      <c r="C61">
        <v>1000</v>
      </c>
    </row>
    <row r="62" spans="1:3">
      <c r="A62" t="s">
        <v>1937</v>
      </c>
      <c r="B62">
        <v>100055</v>
      </c>
      <c r="C62">
        <v>1000</v>
      </c>
    </row>
    <row r="63" spans="1:3">
      <c r="A63" t="s">
        <v>1938</v>
      </c>
      <c r="B63">
        <v>100056</v>
      </c>
      <c r="C63">
        <v>1000</v>
      </c>
    </row>
    <row r="64" spans="1:3">
      <c r="A64" t="s">
        <v>1939</v>
      </c>
      <c r="B64">
        <v>100057</v>
      </c>
      <c r="C64">
        <v>1000</v>
      </c>
    </row>
    <row r="65" spans="1:3">
      <c r="A65" t="s">
        <v>1940</v>
      </c>
      <c r="B65">
        <v>100058</v>
      </c>
      <c r="C65">
        <v>1000</v>
      </c>
    </row>
    <row r="66" spans="1:3">
      <c r="A66" t="s">
        <v>1941</v>
      </c>
      <c r="B66">
        <v>100059</v>
      </c>
      <c r="C66">
        <v>1000</v>
      </c>
    </row>
    <row r="67" spans="1:3">
      <c r="A67" t="s">
        <v>1942</v>
      </c>
      <c r="B67">
        <v>100060</v>
      </c>
      <c r="C67">
        <v>1000</v>
      </c>
    </row>
    <row r="68" spans="1:3">
      <c r="A68" t="s">
        <v>1943</v>
      </c>
      <c r="B68">
        <v>100061</v>
      </c>
      <c r="C68">
        <v>1000</v>
      </c>
    </row>
    <row r="69" spans="1:3">
      <c r="A69" t="s">
        <v>1944</v>
      </c>
      <c r="B69">
        <v>100062</v>
      </c>
      <c r="C69">
        <v>1000</v>
      </c>
    </row>
    <row r="70" spans="1:3">
      <c r="A70" t="s">
        <v>1945</v>
      </c>
      <c r="B70">
        <v>100063</v>
      </c>
      <c r="C70">
        <v>1000</v>
      </c>
    </row>
    <row r="71" spans="1:3">
      <c r="A71" t="s">
        <v>1946</v>
      </c>
      <c r="B71">
        <v>100064</v>
      </c>
      <c r="C71">
        <v>1000</v>
      </c>
    </row>
    <row r="72" spans="1:3">
      <c r="A72" t="s">
        <v>1947</v>
      </c>
      <c r="B72">
        <v>100065</v>
      </c>
      <c r="C72">
        <v>1000</v>
      </c>
    </row>
    <row r="73" spans="1:3">
      <c r="A73" t="s">
        <v>1948</v>
      </c>
      <c r="B73">
        <v>100066</v>
      </c>
      <c r="C73">
        <v>1000</v>
      </c>
    </row>
    <row r="74" spans="1:3">
      <c r="A74" t="s">
        <v>1949</v>
      </c>
      <c r="B74">
        <v>100067</v>
      </c>
      <c r="C74">
        <v>1000</v>
      </c>
    </row>
    <row r="75" spans="1:3">
      <c r="A75" t="s">
        <v>1950</v>
      </c>
      <c r="B75">
        <v>100068</v>
      </c>
      <c r="C75">
        <v>1000</v>
      </c>
    </row>
    <row r="76" spans="1:3">
      <c r="A76" t="s">
        <v>1951</v>
      </c>
      <c r="B76">
        <v>100069</v>
      </c>
      <c r="C76">
        <v>1000</v>
      </c>
    </row>
    <row r="77" spans="1:3">
      <c r="A77" t="s">
        <v>1952</v>
      </c>
      <c r="B77">
        <v>100070</v>
      </c>
      <c r="C77">
        <v>1000</v>
      </c>
    </row>
    <row r="78" spans="1:3">
      <c r="A78" t="s">
        <v>1953</v>
      </c>
      <c r="B78">
        <v>100071</v>
      </c>
      <c r="C78">
        <v>1000</v>
      </c>
    </row>
    <row r="79" spans="1:3">
      <c r="A79" t="s">
        <v>1954</v>
      </c>
      <c r="B79">
        <v>100072</v>
      </c>
      <c r="C79">
        <v>1000</v>
      </c>
    </row>
    <row r="80" spans="1:3">
      <c r="A80" t="s">
        <v>1955</v>
      </c>
      <c r="B80">
        <v>100073</v>
      </c>
      <c r="C80">
        <v>1000</v>
      </c>
    </row>
    <row r="81" spans="1:3">
      <c r="A81" t="s">
        <v>1956</v>
      </c>
      <c r="B81">
        <v>100074</v>
      </c>
      <c r="C81">
        <v>1000</v>
      </c>
    </row>
    <row r="82" spans="1:3">
      <c r="A82" t="s">
        <v>1957</v>
      </c>
      <c r="B82">
        <v>100075</v>
      </c>
      <c r="C82">
        <v>1000</v>
      </c>
    </row>
    <row r="83" spans="1:3">
      <c r="A83" t="s">
        <v>725</v>
      </c>
      <c r="B83">
        <v>100076</v>
      </c>
      <c r="C83">
        <v>1000</v>
      </c>
    </row>
    <row r="84" spans="1:3">
      <c r="A84" t="s">
        <v>1958</v>
      </c>
      <c r="B84">
        <v>100077</v>
      </c>
      <c r="C84">
        <v>1000</v>
      </c>
    </row>
    <row r="85" spans="1:3">
      <c r="A85" t="s">
        <v>1959</v>
      </c>
      <c r="B85">
        <v>100078</v>
      </c>
      <c r="C85">
        <v>1000</v>
      </c>
    </row>
    <row r="86" spans="1:3">
      <c r="A86" t="s">
        <v>712</v>
      </c>
      <c r="B86">
        <v>100079</v>
      </c>
      <c r="C86">
        <v>1000</v>
      </c>
    </row>
    <row r="87" spans="1:3">
      <c r="A87" t="s">
        <v>1960</v>
      </c>
      <c r="B87">
        <v>100080</v>
      </c>
      <c r="C87">
        <v>1000</v>
      </c>
    </row>
    <row r="88" spans="1:3">
      <c r="A88" t="s">
        <v>1961</v>
      </c>
      <c r="B88">
        <v>100081</v>
      </c>
      <c r="C88">
        <v>1000</v>
      </c>
    </row>
    <row r="89" spans="1:3">
      <c r="A89" t="s">
        <v>1962</v>
      </c>
      <c r="B89">
        <v>100082</v>
      </c>
      <c r="C89">
        <v>1000</v>
      </c>
    </row>
    <row r="90" spans="1:3">
      <c r="A90" t="s">
        <v>1963</v>
      </c>
      <c r="B90">
        <v>100083</v>
      </c>
      <c r="C90">
        <v>1000</v>
      </c>
    </row>
    <row r="91" spans="1:3">
      <c r="A91" t="s">
        <v>1964</v>
      </c>
      <c r="B91">
        <v>100084</v>
      </c>
      <c r="C91">
        <v>1000</v>
      </c>
    </row>
    <row r="92" spans="1:3">
      <c r="A92" t="s">
        <v>711</v>
      </c>
      <c r="B92">
        <v>100085</v>
      </c>
      <c r="C92">
        <v>1000</v>
      </c>
    </row>
    <row r="93" spans="1:3">
      <c r="A93" t="s">
        <v>1965</v>
      </c>
      <c r="B93">
        <v>100086</v>
      </c>
      <c r="C93">
        <v>1000</v>
      </c>
    </row>
    <row r="94" spans="1:3">
      <c r="A94" t="s">
        <v>1966</v>
      </c>
      <c r="B94">
        <v>100087</v>
      </c>
      <c r="C94">
        <v>1000</v>
      </c>
    </row>
    <row r="95" spans="1:3">
      <c r="A95" t="s">
        <v>1967</v>
      </c>
      <c r="B95">
        <v>100088</v>
      </c>
      <c r="C95">
        <v>1000</v>
      </c>
    </row>
    <row r="96" spans="1:3">
      <c r="A96" t="s">
        <v>1968</v>
      </c>
      <c r="B96">
        <v>100089</v>
      </c>
      <c r="C96">
        <v>1000</v>
      </c>
    </row>
    <row r="97" spans="1:3">
      <c r="A97" t="s">
        <v>696</v>
      </c>
      <c r="B97">
        <v>100090</v>
      </c>
      <c r="C97">
        <v>1000</v>
      </c>
    </row>
    <row r="98" spans="1:3">
      <c r="A98" t="s">
        <v>1969</v>
      </c>
      <c r="B98">
        <v>100091</v>
      </c>
      <c r="C98">
        <v>1000</v>
      </c>
    </row>
    <row r="99" spans="1:3">
      <c r="A99" t="s">
        <v>614</v>
      </c>
      <c r="B99">
        <v>100092</v>
      </c>
      <c r="C99">
        <v>1000</v>
      </c>
    </row>
    <row r="100" spans="1:3">
      <c r="A100" t="s">
        <v>1970</v>
      </c>
      <c r="B100">
        <v>100093</v>
      </c>
      <c r="C100">
        <v>1000</v>
      </c>
    </row>
    <row r="101" spans="1:3">
      <c r="A101" t="s">
        <v>1971</v>
      </c>
      <c r="B101">
        <v>100094</v>
      </c>
      <c r="C101">
        <v>1000</v>
      </c>
    </row>
    <row r="102" spans="1:3">
      <c r="A102" t="s">
        <v>1972</v>
      </c>
      <c r="B102">
        <v>100095</v>
      </c>
      <c r="C102">
        <v>1000</v>
      </c>
    </row>
    <row r="103" spans="1:3">
      <c r="A103" t="s">
        <v>1973</v>
      </c>
      <c r="B103">
        <v>100096</v>
      </c>
      <c r="C103">
        <v>1000</v>
      </c>
    </row>
    <row r="104" spans="1:3">
      <c r="A104" t="s">
        <v>1974</v>
      </c>
      <c r="B104">
        <v>100097</v>
      </c>
      <c r="C104">
        <v>1000</v>
      </c>
    </row>
    <row r="105" spans="1:3">
      <c r="A105" t="s">
        <v>1975</v>
      </c>
      <c r="B105">
        <v>100098</v>
      </c>
      <c r="C105">
        <v>1000</v>
      </c>
    </row>
    <row r="106" spans="1:3">
      <c r="A106" t="s">
        <v>1976</v>
      </c>
      <c r="B106">
        <v>100099</v>
      </c>
      <c r="C106">
        <v>1000</v>
      </c>
    </row>
    <row r="107" spans="1:3">
      <c r="A107" t="s">
        <v>1977</v>
      </c>
      <c r="B107">
        <v>100100</v>
      </c>
      <c r="C107">
        <v>1000</v>
      </c>
    </row>
    <row r="108" spans="1:3">
      <c r="A108" t="s">
        <v>1978</v>
      </c>
      <c r="B108">
        <v>100101</v>
      </c>
      <c r="C108">
        <v>1000</v>
      </c>
    </row>
    <row r="109" spans="1:3">
      <c r="A109" t="s">
        <v>1979</v>
      </c>
      <c r="B109">
        <v>100102</v>
      </c>
      <c r="C109">
        <v>1000</v>
      </c>
    </row>
    <row r="110" spans="1:3">
      <c r="A110" t="s">
        <v>1980</v>
      </c>
      <c r="B110">
        <v>100103</v>
      </c>
      <c r="C110">
        <v>1000</v>
      </c>
    </row>
    <row r="111" spans="1:3">
      <c r="A111" t="s">
        <v>1981</v>
      </c>
      <c r="B111">
        <v>100104</v>
      </c>
      <c r="C111">
        <v>1000</v>
      </c>
    </row>
    <row r="112" spans="1:3">
      <c r="A112" t="s">
        <v>1982</v>
      </c>
      <c r="B112">
        <v>100105</v>
      </c>
      <c r="C112">
        <v>1000</v>
      </c>
    </row>
    <row r="113" spans="1:3">
      <c r="A113" t="s">
        <v>1983</v>
      </c>
      <c r="B113">
        <v>100106</v>
      </c>
      <c r="C113">
        <v>1000</v>
      </c>
    </row>
    <row r="114" spans="1:3">
      <c r="A114" t="s">
        <v>1984</v>
      </c>
      <c r="B114">
        <v>100107</v>
      </c>
      <c r="C114">
        <v>1000</v>
      </c>
    </row>
    <row r="115" spans="1:3">
      <c r="A115" t="s">
        <v>1985</v>
      </c>
      <c r="B115">
        <v>100108</v>
      </c>
      <c r="C115">
        <v>1000</v>
      </c>
    </row>
    <row r="116" spans="1:3">
      <c r="A116" t="s">
        <v>1986</v>
      </c>
      <c r="B116">
        <v>100109</v>
      </c>
      <c r="C116">
        <v>1000</v>
      </c>
    </row>
    <row r="117" spans="1:3">
      <c r="A117" t="s">
        <v>1987</v>
      </c>
      <c r="B117">
        <v>100110</v>
      </c>
      <c r="C117">
        <v>1000</v>
      </c>
    </row>
    <row r="118" spans="1:3">
      <c r="A118" t="s">
        <v>1988</v>
      </c>
      <c r="B118">
        <v>100111</v>
      </c>
      <c r="C118">
        <v>1000</v>
      </c>
    </row>
    <row r="119" spans="1:3">
      <c r="A119" t="s">
        <v>1989</v>
      </c>
      <c r="B119">
        <v>100112</v>
      </c>
      <c r="C119">
        <v>1000</v>
      </c>
    </row>
    <row r="120" spans="1:3">
      <c r="A120" t="s">
        <v>1990</v>
      </c>
      <c r="B120">
        <v>100113</v>
      </c>
      <c r="C120">
        <v>1000</v>
      </c>
    </row>
    <row r="121" spans="1:3">
      <c r="A121" t="s">
        <v>1991</v>
      </c>
      <c r="B121">
        <v>100114</v>
      </c>
      <c r="C121">
        <v>1000</v>
      </c>
    </row>
    <row r="122" spans="1:3">
      <c r="A122" t="s">
        <v>1992</v>
      </c>
      <c r="B122">
        <v>100115</v>
      </c>
      <c r="C122">
        <v>1000</v>
      </c>
    </row>
    <row r="123" spans="1:3">
      <c r="A123" t="s">
        <v>1993</v>
      </c>
      <c r="B123">
        <v>100116</v>
      </c>
      <c r="C123">
        <v>1000</v>
      </c>
    </row>
    <row r="124" spans="1:3">
      <c r="A124" t="s">
        <v>1994</v>
      </c>
      <c r="B124">
        <v>100117</v>
      </c>
      <c r="C124">
        <v>1000</v>
      </c>
    </row>
    <row r="125" spans="1:3">
      <c r="A125" t="s">
        <v>1995</v>
      </c>
      <c r="B125">
        <v>100118</v>
      </c>
      <c r="C125">
        <v>1000</v>
      </c>
    </row>
    <row r="126" spans="1:3">
      <c r="A126" t="s">
        <v>1996</v>
      </c>
      <c r="B126">
        <v>100119</v>
      </c>
      <c r="C126">
        <v>1000</v>
      </c>
    </row>
    <row r="127" spans="1:3">
      <c r="A127" t="s">
        <v>1997</v>
      </c>
      <c r="B127">
        <v>100120</v>
      </c>
      <c r="C127">
        <v>1000</v>
      </c>
    </row>
    <row r="128" spans="1:3">
      <c r="A128" t="s">
        <v>1998</v>
      </c>
      <c r="B128">
        <v>100121</v>
      </c>
      <c r="C128">
        <v>1000</v>
      </c>
    </row>
    <row r="129" spans="1:3">
      <c r="A129" t="s">
        <v>1999</v>
      </c>
      <c r="B129">
        <v>100122</v>
      </c>
      <c r="C129">
        <v>1000</v>
      </c>
    </row>
    <row r="130" spans="1:3">
      <c r="A130" t="s">
        <v>2000</v>
      </c>
      <c r="B130">
        <v>100123</v>
      </c>
      <c r="C130">
        <v>1000</v>
      </c>
    </row>
    <row r="131" spans="1:3">
      <c r="A131" t="s">
        <v>2001</v>
      </c>
      <c r="B131">
        <v>100124</v>
      </c>
      <c r="C131">
        <v>1000</v>
      </c>
    </row>
    <row r="132" spans="1:3">
      <c r="A132" t="s">
        <v>2002</v>
      </c>
      <c r="B132">
        <v>100125</v>
      </c>
      <c r="C132">
        <v>1000</v>
      </c>
    </row>
    <row r="133" spans="1:3">
      <c r="A133" t="s">
        <v>2003</v>
      </c>
      <c r="B133">
        <v>100126</v>
      </c>
      <c r="C133">
        <v>1000</v>
      </c>
    </row>
    <row r="134" spans="1:3">
      <c r="A134" t="s">
        <v>2004</v>
      </c>
      <c r="B134">
        <v>100127</v>
      </c>
      <c r="C134">
        <v>1000</v>
      </c>
    </row>
    <row r="135" spans="1:3">
      <c r="A135" t="s">
        <v>2005</v>
      </c>
      <c r="B135">
        <v>100128</v>
      </c>
      <c r="C135">
        <v>1000</v>
      </c>
    </row>
    <row r="136" spans="1:3">
      <c r="A136" t="s">
        <v>2006</v>
      </c>
      <c r="B136">
        <v>100129</v>
      </c>
      <c r="C136">
        <v>1000</v>
      </c>
    </row>
    <row r="137" spans="1:3">
      <c r="A137" t="s">
        <v>2007</v>
      </c>
      <c r="B137">
        <v>100130</v>
      </c>
      <c r="C137">
        <v>1000</v>
      </c>
    </row>
    <row r="138" spans="1:3">
      <c r="A138" t="s">
        <v>2008</v>
      </c>
      <c r="B138">
        <v>100131</v>
      </c>
      <c r="C138">
        <v>1000</v>
      </c>
    </row>
    <row r="139" spans="1:3">
      <c r="A139" t="s">
        <v>2009</v>
      </c>
      <c r="B139">
        <v>100132</v>
      </c>
      <c r="C139">
        <v>1000</v>
      </c>
    </row>
    <row r="140" spans="1:3">
      <c r="A140" t="s">
        <v>2010</v>
      </c>
      <c r="B140">
        <v>100133</v>
      </c>
      <c r="C140">
        <v>1000</v>
      </c>
    </row>
    <row r="141" spans="1:3">
      <c r="A141" t="s">
        <v>2011</v>
      </c>
      <c r="B141">
        <v>100134</v>
      </c>
      <c r="C141">
        <v>1000</v>
      </c>
    </row>
    <row r="142" spans="1:3">
      <c r="A142" t="s">
        <v>2012</v>
      </c>
      <c r="B142">
        <v>100135</v>
      </c>
      <c r="C142">
        <v>1000</v>
      </c>
    </row>
    <row r="143" spans="1:3">
      <c r="A143" t="s">
        <v>2013</v>
      </c>
      <c r="B143">
        <v>100136</v>
      </c>
      <c r="C143">
        <v>1000</v>
      </c>
    </row>
    <row r="144" spans="1:3">
      <c r="A144" t="s">
        <v>2014</v>
      </c>
      <c r="B144">
        <v>100137</v>
      </c>
      <c r="C144">
        <v>1000</v>
      </c>
    </row>
    <row r="145" spans="1:3">
      <c r="A145" t="s">
        <v>2015</v>
      </c>
      <c r="B145">
        <v>100138</v>
      </c>
      <c r="C145">
        <v>1000</v>
      </c>
    </row>
    <row r="146" spans="1:3">
      <c r="A146" t="s">
        <v>2016</v>
      </c>
      <c r="B146">
        <v>100139</v>
      </c>
      <c r="C146">
        <v>1000</v>
      </c>
    </row>
    <row r="147" spans="1:3">
      <c r="A147" t="s">
        <v>2017</v>
      </c>
      <c r="B147">
        <v>100140</v>
      </c>
      <c r="C147">
        <v>1000</v>
      </c>
    </row>
    <row r="148" spans="1:3">
      <c r="A148" t="s">
        <v>2018</v>
      </c>
      <c r="B148">
        <v>100141</v>
      </c>
      <c r="C148">
        <v>1000</v>
      </c>
    </row>
    <row r="149" spans="1:3">
      <c r="A149" t="s">
        <v>2019</v>
      </c>
      <c r="B149">
        <v>100142</v>
      </c>
      <c r="C149">
        <v>1000</v>
      </c>
    </row>
    <row r="150" spans="1:3">
      <c r="A150" t="s">
        <v>2020</v>
      </c>
      <c r="B150">
        <v>100143</v>
      </c>
      <c r="C150">
        <v>1000</v>
      </c>
    </row>
    <row r="151" spans="1:3">
      <c r="A151" t="s">
        <v>2021</v>
      </c>
      <c r="B151">
        <v>100144</v>
      </c>
      <c r="C151">
        <v>1000</v>
      </c>
    </row>
    <row r="152" spans="1:3">
      <c r="A152" t="s">
        <v>2022</v>
      </c>
      <c r="B152">
        <v>100145</v>
      </c>
      <c r="C152">
        <v>1000</v>
      </c>
    </row>
    <row r="153" spans="1:3">
      <c r="A153" t="s">
        <v>2023</v>
      </c>
      <c r="B153">
        <v>100146</v>
      </c>
      <c r="C153">
        <v>1000</v>
      </c>
    </row>
    <row r="154" spans="1:3">
      <c r="A154" t="s">
        <v>2024</v>
      </c>
      <c r="B154">
        <v>100147</v>
      </c>
      <c r="C154">
        <v>1000</v>
      </c>
    </row>
    <row r="155" spans="1:3">
      <c r="A155" t="s">
        <v>2025</v>
      </c>
      <c r="B155">
        <v>100148</v>
      </c>
      <c r="C155">
        <v>1000</v>
      </c>
    </row>
    <row r="156" spans="1:3">
      <c r="A156" t="s">
        <v>2026</v>
      </c>
      <c r="B156">
        <v>100149</v>
      </c>
      <c r="C156">
        <v>1000</v>
      </c>
    </row>
    <row r="157" spans="1:3">
      <c r="A157" t="s">
        <v>2027</v>
      </c>
      <c r="B157">
        <v>100150</v>
      </c>
      <c r="C157">
        <v>1000</v>
      </c>
    </row>
    <row r="158" spans="1:3">
      <c r="A158" t="s">
        <v>2028</v>
      </c>
      <c r="B158">
        <v>100151</v>
      </c>
      <c r="C158">
        <v>1000</v>
      </c>
    </row>
    <row r="159" spans="1:3">
      <c r="A159" t="s">
        <v>2029</v>
      </c>
      <c r="B159">
        <v>100152</v>
      </c>
      <c r="C159">
        <v>1000</v>
      </c>
    </row>
    <row r="160" spans="1:3">
      <c r="A160" t="s">
        <v>2030</v>
      </c>
      <c r="B160">
        <v>100153</v>
      </c>
      <c r="C160">
        <v>1000</v>
      </c>
    </row>
    <row r="161" spans="1:3">
      <c r="A161" t="s">
        <v>2031</v>
      </c>
      <c r="B161">
        <v>100154</v>
      </c>
      <c r="C161">
        <v>1000</v>
      </c>
    </row>
    <row r="162" spans="1:3">
      <c r="A162" t="s">
        <v>2032</v>
      </c>
      <c r="B162">
        <v>100155</v>
      </c>
      <c r="C162">
        <v>1000</v>
      </c>
    </row>
    <row r="163" spans="1:3">
      <c r="A163" t="s">
        <v>633</v>
      </c>
      <c r="B163">
        <v>100156</v>
      </c>
      <c r="C163">
        <v>1000</v>
      </c>
    </row>
    <row r="164" spans="1:3">
      <c r="A164" t="s">
        <v>2033</v>
      </c>
      <c r="B164">
        <v>100157</v>
      </c>
      <c r="C164">
        <v>1000</v>
      </c>
    </row>
    <row r="165" spans="1:3">
      <c r="A165" t="s">
        <v>2034</v>
      </c>
      <c r="B165">
        <v>100158</v>
      </c>
      <c r="C165">
        <v>1000</v>
      </c>
    </row>
    <row r="166" spans="1:3">
      <c r="A166" t="s">
        <v>2035</v>
      </c>
      <c r="B166">
        <v>100159</v>
      </c>
      <c r="C166">
        <v>1000</v>
      </c>
    </row>
    <row r="167" spans="1:3">
      <c r="A167" t="s">
        <v>2036</v>
      </c>
      <c r="B167">
        <v>100160</v>
      </c>
      <c r="C167">
        <v>1000</v>
      </c>
    </row>
    <row r="168" spans="1:3">
      <c r="A168" t="s">
        <v>2037</v>
      </c>
      <c r="B168">
        <v>100161</v>
      </c>
      <c r="C168">
        <v>1000</v>
      </c>
    </row>
    <row r="169" spans="1:3">
      <c r="A169" t="s">
        <v>2038</v>
      </c>
      <c r="B169">
        <v>100162</v>
      </c>
      <c r="C169">
        <v>1000</v>
      </c>
    </row>
    <row r="170" spans="1:3">
      <c r="A170" t="s">
        <v>2039</v>
      </c>
      <c r="B170">
        <v>100163</v>
      </c>
      <c r="C170">
        <v>1000</v>
      </c>
    </row>
    <row r="171" spans="1:3">
      <c r="A171" t="s">
        <v>2040</v>
      </c>
      <c r="B171">
        <v>100164</v>
      </c>
      <c r="C171">
        <v>1000</v>
      </c>
    </row>
    <row r="172" spans="1:3">
      <c r="A172" t="s">
        <v>2041</v>
      </c>
      <c r="B172">
        <v>100165</v>
      </c>
      <c r="C172">
        <v>1000</v>
      </c>
    </row>
    <row r="173" spans="1:3">
      <c r="A173" t="s">
        <v>2042</v>
      </c>
      <c r="B173">
        <v>100166</v>
      </c>
      <c r="C173">
        <v>1000</v>
      </c>
    </row>
    <row r="174" spans="1:3">
      <c r="A174" t="s">
        <v>2043</v>
      </c>
      <c r="B174">
        <v>100167</v>
      </c>
      <c r="C174">
        <v>1000</v>
      </c>
    </row>
    <row r="175" spans="1:3">
      <c r="A175" t="s">
        <v>2044</v>
      </c>
      <c r="B175">
        <v>100168</v>
      </c>
      <c r="C175">
        <v>1000</v>
      </c>
    </row>
    <row r="176" spans="1:3">
      <c r="A176" t="s">
        <v>2045</v>
      </c>
      <c r="B176">
        <v>100169</v>
      </c>
      <c r="C176">
        <v>1000</v>
      </c>
    </row>
    <row r="177" spans="1:3">
      <c r="A177" t="s">
        <v>2046</v>
      </c>
      <c r="B177">
        <v>100170</v>
      </c>
      <c r="C177">
        <v>1000</v>
      </c>
    </row>
    <row r="178" spans="1:3">
      <c r="A178" t="s">
        <v>2047</v>
      </c>
      <c r="B178">
        <v>100171</v>
      </c>
      <c r="C178">
        <v>1000</v>
      </c>
    </row>
    <row r="179" spans="1:3">
      <c r="A179" t="s">
        <v>2048</v>
      </c>
      <c r="B179">
        <v>100172</v>
      </c>
      <c r="C179">
        <v>1000</v>
      </c>
    </row>
    <row r="180" spans="1:3">
      <c r="A180" t="s">
        <v>2049</v>
      </c>
      <c r="B180">
        <v>100173</v>
      </c>
      <c r="C180">
        <v>1000</v>
      </c>
    </row>
    <row r="181" spans="1:3">
      <c r="A181" t="s">
        <v>2050</v>
      </c>
      <c r="B181">
        <v>100174</v>
      </c>
      <c r="C181">
        <v>1000</v>
      </c>
    </row>
    <row r="182" spans="1:3">
      <c r="A182" t="s">
        <v>2051</v>
      </c>
      <c r="B182">
        <v>100175</v>
      </c>
      <c r="C182">
        <v>1000</v>
      </c>
    </row>
    <row r="183" spans="1:3">
      <c r="A183" t="s">
        <v>2052</v>
      </c>
      <c r="B183">
        <v>100176</v>
      </c>
      <c r="C183">
        <v>1000</v>
      </c>
    </row>
    <row r="184" spans="1:3">
      <c r="A184" t="s">
        <v>2053</v>
      </c>
      <c r="B184">
        <v>100177</v>
      </c>
      <c r="C184">
        <v>1000</v>
      </c>
    </row>
    <row r="185" spans="1:3">
      <c r="A185" t="s">
        <v>2054</v>
      </c>
      <c r="B185">
        <v>100178</v>
      </c>
      <c r="C185">
        <v>1000</v>
      </c>
    </row>
    <row r="186" spans="1:3">
      <c r="A186" t="s">
        <v>2055</v>
      </c>
      <c r="B186">
        <v>100179</v>
      </c>
      <c r="C186">
        <v>1000</v>
      </c>
    </row>
    <row r="187" spans="1:3">
      <c r="A187" t="s">
        <v>2056</v>
      </c>
      <c r="B187">
        <v>100180</v>
      </c>
      <c r="C187">
        <v>1000</v>
      </c>
    </row>
    <row r="188" spans="1:3">
      <c r="A188" t="s">
        <v>2057</v>
      </c>
      <c r="B188">
        <v>100181</v>
      </c>
      <c r="C188">
        <v>1000</v>
      </c>
    </row>
    <row r="189" spans="1:3">
      <c r="A189" t="s">
        <v>2058</v>
      </c>
      <c r="B189">
        <v>100182</v>
      </c>
      <c r="C189">
        <v>1000</v>
      </c>
    </row>
    <row r="190" spans="1:3">
      <c r="A190" t="s">
        <v>2059</v>
      </c>
      <c r="B190">
        <v>100183</v>
      </c>
      <c r="C190">
        <v>1000</v>
      </c>
    </row>
    <row r="191" spans="1:3">
      <c r="A191" t="s">
        <v>2060</v>
      </c>
      <c r="B191">
        <v>100184</v>
      </c>
      <c r="C191">
        <v>1000</v>
      </c>
    </row>
    <row r="192" spans="1:3">
      <c r="A192" t="s">
        <v>2061</v>
      </c>
      <c r="B192">
        <v>100185</v>
      </c>
      <c r="C192">
        <v>1000</v>
      </c>
    </row>
    <row r="193" spans="1:3">
      <c r="A193" t="s">
        <v>2062</v>
      </c>
      <c r="B193">
        <v>100186</v>
      </c>
      <c r="C193">
        <v>1000</v>
      </c>
    </row>
    <row r="194" spans="1:3">
      <c r="A194" t="s">
        <v>2063</v>
      </c>
      <c r="B194">
        <v>100187</v>
      </c>
      <c r="C194">
        <v>1000</v>
      </c>
    </row>
    <row r="195" spans="1:3">
      <c r="A195" t="s">
        <v>2064</v>
      </c>
      <c r="B195">
        <v>100188</v>
      </c>
      <c r="C195">
        <v>1000</v>
      </c>
    </row>
    <row r="196" spans="1:3">
      <c r="A196" t="s">
        <v>2065</v>
      </c>
      <c r="B196">
        <v>100189</v>
      </c>
      <c r="C196">
        <v>1000</v>
      </c>
    </row>
    <row r="197" spans="1:3">
      <c r="A197" t="s">
        <v>2066</v>
      </c>
      <c r="B197">
        <v>100190</v>
      </c>
      <c r="C197">
        <v>1000</v>
      </c>
    </row>
    <row r="198" spans="1:3">
      <c r="A198" t="s">
        <v>2067</v>
      </c>
      <c r="B198">
        <v>100191</v>
      </c>
      <c r="C198">
        <v>1000</v>
      </c>
    </row>
    <row r="199" spans="1:3">
      <c r="A199" t="s">
        <v>2068</v>
      </c>
      <c r="B199">
        <v>100192</v>
      </c>
      <c r="C199">
        <v>1000</v>
      </c>
    </row>
    <row r="200" spans="1:3">
      <c r="A200" t="s">
        <v>2069</v>
      </c>
      <c r="B200">
        <v>100193</v>
      </c>
      <c r="C200">
        <v>1000</v>
      </c>
    </row>
    <row r="201" spans="1:3">
      <c r="A201" t="s">
        <v>2070</v>
      </c>
      <c r="B201">
        <v>100194</v>
      </c>
      <c r="C201">
        <v>1000</v>
      </c>
    </row>
    <row r="202" spans="1:3">
      <c r="A202" t="s">
        <v>2071</v>
      </c>
      <c r="B202">
        <v>100195</v>
      </c>
      <c r="C202">
        <v>1000</v>
      </c>
    </row>
    <row r="203" spans="1:3">
      <c r="A203" t="s">
        <v>2072</v>
      </c>
      <c r="B203">
        <v>100196</v>
      </c>
      <c r="C203">
        <v>1000</v>
      </c>
    </row>
    <row r="204" spans="1:3">
      <c r="A204" t="s">
        <v>2073</v>
      </c>
      <c r="B204">
        <v>100197</v>
      </c>
      <c r="C204">
        <v>1000</v>
      </c>
    </row>
    <row r="205" spans="1:3">
      <c r="A205" t="s">
        <v>2074</v>
      </c>
      <c r="B205">
        <v>100198</v>
      </c>
      <c r="C205">
        <v>1000</v>
      </c>
    </row>
    <row r="206" spans="1:3">
      <c r="A206" t="s">
        <v>2075</v>
      </c>
      <c r="B206">
        <v>100199</v>
      </c>
      <c r="C206">
        <v>1000</v>
      </c>
    </row>
    <row r="207" spans="1:3">
      <c r="A207" t="s">
        <v>2076</v>
      </c>
      <c r="B207">
        <v>100200</v>
      </c>
      <c r="C207">
        <v>1000</v>
      </c>
    </row>
    <row r="208" spans="1:3">
      <c r="A208" t="s">
        <v>2077</v>
      </c>
      <c r="B208">
        <v>100201</v>
      </c>
      <c r="C208">
        <v>1000</v>
      </c>
    </row>
    <row r="209" spans="1:3">
      <c r="A209" t="s">
        <v>2078</v>
      </c>
      <c r="B209">
        <v>100202</v>
      </c>
      <c r="C209">
        <v>1000</v>
      </c>
    </row>
    <row r="210" spans="1:3">
      <c r="A210" t="s">
        <v>705</v>
      </c>
      <c r="B210">
        <v>100203</v>
      </c>
      <c r="C210">
        <v>1000</v>
      </c>
    </row>
    <row r="211" spans="1:3">
      <c r="A211" t="s">
        <v>2079</v>
      </c>
      <c r="B211">
        <v>100204</v>
      </c>
      <c r="C211">
        <v>1000</v>
      </c>
    </row>
    <row r="212" spans="1:3">
      <c r="A212" t="s">
        <v>2080</v>
      </c>
      <c r="B212">
        <v>100205</v>
      </c>
      <c r="C212">
        <v>1000</v>
      </c>
    </row>
    <row r="213" spans="1:3">
      <c r="A213" t="s">
        <v>2081</v>
      </c>
      <c r="B213">
        <v>100206</v>
      </c>
      <c r="C213">
        <v>1000</v>
      </c>
    </row>
    <row r="214" spans="1:3">
      <c r="A214" t="s">
        <v>2082</v>
      </c>
      <c r="B214">
        <v>100207</v>
      </c>
      <c r="C214">
        <v>1000</v>
      </c>
    </row>
    <row r="215" spans="1:3">
      <c r="A215" t="s">
        <v>2083</v>
      </c>
      <c r="B215">
        <v>100208</v>
      </c>
      <c r="C215">
        <v>1000</v>
      </c>
    </row>
    <row r="216" spans="1:3">
      <c r="A216" t="s">
        <v>2084</v>
      </c>
      <c r="B216">
        <v>100209</v>
      </c>
      <c r="C216">
        <v>1000</v>
      </c>
    </row>
    <row r="217" spans="1:3">
      <c r="A217" t="s">
        <v>2085</v>
      </c>
      <c r="B217">
        <v>100210</v>
      </c>
      <c r="C217">
        <v>1000</v>
      </c>
    </row>
    <row r="218" spans="1:3">
      <c r="A218" t="s">
        <v>2086</v>
      </c>
      <c r="B218">
        <v>100211</v>
      </c>
      <c r="C218">
        <v>1000</v>
      </c>
    </row>
    <row r="219" spans="1:3">
      <c r="A219" t="s">
        <v>609</v>
      </c>
      <c r="B219">
        <v>100212</v>
      </c>
      <c r="C219">
        <v>1000</v>
      </c>
    </row>
    <row r="220" spans="1:3">
      <c r="A220" t="s">
        <v>2087</v>
      </c>
      <c r="B220">
        <v>100213</v>
      </c>
      <c r="C220">
        <v>1000</v>
      </c>
    </row>
    <row r="221" spans="1:3">
      <c r="A221" t="s">
        <v>2088</v>
      </c>
      <c r="B221">
        <v>100214</v>
      </c>
      <c r="C221">
        <v>1000</v>
      </c>
    </row>
    <row r="222" spans="1:3">
      <c r="A222" t="s">
        <v>2089</v>
      </c>
      <c r="B222">
        <v>100215</v>
      </c>
      <c r="C222">
        <v>1000</v>
      </c>
    </row>
    <row r="223" spans="1:3">
      <c r="A223" t="s">
        <v>2090</v>
      </c>
      <c r="B223">
        <v>100216</v>
      </c>
      <c r="C223">
        <v>1000</v>
      </c>
    </row>
    <row r="224" spans="1:3">
      <c r="A224" t="s">
        <v>2091</v>
      </c>
      <c r="B224">
        <v>100217</v>
      </c>
      <c r="C224">
        <v>1000</v>
      </c>
    </row>
    <row r="225" spans="1:3">
      <c r="A225" t="s">
        <v>2092</v>
      </c>
      <c r="B225">
        <v>100218</v>
      </c>
      <c r="C225">
        <v>1000</v>
      </c>
    </row>
    <row r="226" spans="1:3">
      <c r="A226" t="s">
        <v>2093</v>
      </c>
      <c r="B226">
        <v>100219</v>
      </c>
      <c r="C226">
        <v>1000</v>
      </c>
    </row>
    <row r="227" spans="1:3">
      <c r="A227" t="s">
        <v>2094</v>
      </c>
      <c r="B227">
        <v>100220</v>
      </c>
      <c r="C227">
        <v>1000</v>
      </c>
    </row>
    <row r="228" spans="1:3">
      <c r="A228" t="s">
        <v>2095</v>
      </c>
      <c r="B228">
        <v>100221</v>
      </c>
      <c r="C228">
        <v>1000</v>
      </c>
    </row>
    <row r="229" spans="1:3">
      <c r="A229" t="s">
        <v>2096</v>
      </c>
      <c r="B229">
        <v>100222</v>
      </c>
      <c r="C229">
        <v>1000</v>
      </c>
    </row>
    <row r="230" spans="1:3">
      <c r="A230" t="s">
        <v>2097</v>
      </c>
      <c r="B230">
        <v>100223</v>
      </c>
      <c r="C230">
        <v>1000</v>
      </c>
    </row>
    <row r="231" spans="1:3">
      <c r="A231" t="s">
        <v>2098</v>
      </c>
      <c r="B231">
        <v>100224</v>
      </c>
      <c r="C231">
        <v>1000</v>
      </c>
    </row>
    <row r="232" spans="1:3">
      <c r="A232" t="s">
        <v>2099</v>
      </c>
      <c r="B232">
        <v>100225</v>
      </c>
      <c r="C232">
        <v>1000</v>
      </c>
    </row>
    <row r="233" spans="1:3">
      <c r="A233" t="s">
        <v>2100</v>
      </c>
      <c r="B233">
        <v>100226</v>
      </c>
      <c r="C233">
        <v>1000</v>
      </c>
    </row>
    <row r="234" spans="1:3">
      <c r="A234" t="s">
        <v>2101</v>
      </c>
      <c r="B234">
        <v>100227</v>
      </c>
      <c r="C234">
        <v>1000</v>
      </c>
    </row>
    <row r="235" spans="1:3">
      <c r="A235" t="s">
        <v>2102</v>
      </c>
      <c r="B235">
        <v>100228</v>
      </c>
      <c r="C235">
        <v>1000</v>
      </c>
    </row>
    <row r="236" spans="1:3">
      <c r="A236" t="s">
        <v>2103</v>
      </c>
      <c r="B236">
        <v>100229</v>
      </c>
      <c r="C236">
        <v>1000</v>
      </c>
    </row>
    <row r="237" spans="1:3">
      <c r="A237" t="s">
        <v>2104</v>
      </c>
      <c r="B237">
        <v>100230</v>
      </c>
      <c r="C237">
        <v>1000</v>
      </c>
    </row>
    <row r="238" spans="1:3">
      <c r="A238" t="s">
        <v>2105</v>
      </c>
      <c r="B238">
        <v>100231</v>
      </c>
      <c r="C238">
        <v>1000</v>
      </c>
    </row>
    <row r="239" spans="1:3">
      <c r="A239" t="s">
        <v>2106</v>
      </c>
      <c r="B239">
        <v>100232</v>
      </c>
      <c r="C239">
        <v>1000</v>
      </c>
    </row>
    <row r="240" spans="1:3">
      <c r="A240" t="s">
        <v>2107</v>
      </c>
      <c r="B240">
        <v>100233</v>
      </c>
      <c r="C240">
        <v>1000</v>
      </c>
    </row>
    <row r="241" spans="1:3">
      <c r="A241" t="s">
        <v>2108</v>
      </c>
      <c r="B241">
        <v>100234</v>
      </c>
      <c r="C241">
        <v>1000</v>
      </c>
    </row>
    <row r="242" spans="1:3">
      <c r="A242" t="s">
        <v>2109</v>
      </c>
      <c r="B242">
        <v>100235</v>
      </c>
      <c r="C242">
        <v>1000</v>
      </c>
    </row>
    <row r="243" spans="1:3">
      <c r="A243" t="s">
        <v>2110</v>
      </c>
      <c r="B243">
        <v>100236</v>
      </c>
      <c r="C243">
        <v>1000</v>
      </c>
    </row>
    <row r="244" spans="1:3">
      <c r="A244" t="s">
        <v>2111</v>
      </c>
      <c r="B244">
        <v>100237</v>
      </c>
      <c r="C244">
        <v>1000</v>
      </c>
    </row>
    <row r="245" spans="1:3">
      <c r="A245" t="s">
        <v>2112</v>
      </c>
      <c r="B245">
        <v>100238</v>
      </c>
      <c r="C245">
        <v>1000</v>
      </c>
    </row>
    <row r="246" spans="1:3">
      <c r="A246" t="s">
        <v>2113</v>
      </c>
      <c r="B246">
        <v>100239</v>
      </c>
      <c r="C246">
        <v>1000</v>
      </c>
    </row>
    <row r="247" spans="1:3">
      <c r="A247" t="s">
        <v>2114</v>
      </c>
      <c r="B247">
        <v>100240</v>
      </c>
      <c r="C247">
        <v>1000</v>
      </c>
    </row>
    <row r="248" spans="1:3">
      <c r="A248" t="s">
        <v>2115</v>
      </c>
      <c r="B248">
        <v>100241</v>
      </c>
      <c r="C248">
        <v>1000</v>
      </c>
    </row>
    <row r="249" spans="1:3">
      <c r="A249" t="s">
        <v>2116</v>
      </c>
      <c r="B249">
        <v>100242</v>
      </c>
      <c r="C249">
        <v>1000</v>
      </c>
    </row>
    <row r="250" spans="1:3">
      <c r="A250" t="s">
        <v>2117</v>
      </c>
      <c r="B250">
        <v>100243</v>
      </c>
      <c r="C250">
        <v>1000</v>
      </c>
    </row>
    <row r="251" spans="1:3">
      <c r="A251" t="s">
        <v>2118</v>
      </c>
      <c r="B251">
        <v>100244</v>
      </c>
      <c r="C251">
        <v>1000</v>
      </c>
    </row>
    <row r="252" spans="1:3">
      <c r="A252" t="s">
        <v>2119</v>
      </c>
      <c r="B252">
        <v>100245</v>
      </c>
      <c r="C252">
        <v>1000</v>
      </c>
    </row>
    <row r="253" spans="1:3">
      <c r="A253" t="s">
        <v>2120</v>
      </c>
      <c r="B253">
        <v>100246</v>
      </c>
      <c r="C253">
        <v>1000</v>
      </c>
    </row>
    <row r="254" spans="1:3">
      <c r="A254" t="s">
        <v>2121</v>
      </c>
      <c r="B254">
        <v>100247</v>
      </c>
      <c r="C254">
        <v>1000</v>
      </c>
    </row>
    <row r="255" spans="1:3">
      <c r="A255" t="s">
        <v>2122</v>
      </c>
      <c r="B255">
        <v>100248</v>
      </c>
      <c r="C255">
        <v>1000</v>
      </c>
    </row>
    <row r="256" spans="1:3">
      <c r="A256" t="s">
        <v>2123</v>
      </c>
      <c r="B256">
        <v>100249</v>
      </c>
      <c r="C256">
        <v>1000</v>
      </c>
    </row>
    <row r="257" spans="1:3">
      <c r="A257" t="s">
        <v>2124</v>
      </c>
      <c r="B257">
        <v>100250</v>
      </c>
      <c r="C257">
        <v>1000</v>
      </c>
    </row>
    <row r="258" spans="1:3">
      <c r="A258" t="s">
        <v>2125</v>
      </c>
      <c r="B258">
        <v>100251</v>
      </c>
      <c r="C258">
        <v>1000</v>
      </c>
    </row>
    <row r="259" spans="1:3">
      <c r="A259" t="s">
        <v>2126</v>
      </c>
      <c r="B259">
        <v>100252</v>
      </c>
      <c r="C259">
        <v>1000</v>
      </c>
    </row>
    <row r="260" spans="1:3">
      <c r="A260" t="s">
        <v>2127</v>
      </c>
      <c r="B260">
        <v>100253</v>
      </c>
      <c r="C260">
        <v>1000</v>
      </c>
    </row>
    <row r="261" spans="1:3">
      <c r="A261" t="s">
        <v>2128</v>
      </c>
      <c r="B261">
        <v>100254</v>
      </c>
      <c r="C261">
        <v>1000</v>
      </c>
    </row>
    <row r="262" spans="1:3">
      <c r="A262" t="s">
        <v>2129</v>
      </c>
      <c r="B262">
        <v>100255</v>
      </c>
      <c r="C262">
        <v>1000</v>
      </c>
    </row>
    <row r="263" spans="1:3">
      <c r="A263" t="s">
        <v>2130</v>
      </c>
      <c r="B263">
        <v>100256</v>
      </c>
      <c r="C263">
        <v>1000</v>
      </c>
    </row>
    <row r="264" spans="1:3">
      <c r="A264" t="s">
        <v>2131</v>
      </c>
      <c r="B264">
        <v>100257</v>
      </c>
      <c r="C264">
        <v>1000</v>
      </c>
    </row>
    <row r="265" spans="1:3">
      <c r="A265" t="s">
        <v>2132</v>
      </c>
      <c r="B265">
        <v>100258</v>
      </c>
      <c r="C265">
        <v>1000</v>
      </c>
    </row>
    <row r="266" spans="1:3">
      <c r="A266" t="s">
        <v>2133</v>
      </c>
      <c r="B266">
        <v>100259</v>
      </c>
      <c r="C266">
        <v>1000</v>
      </c>
    </row>
    <row r="267" spans="1:3">
      <c r="A267" t="s">
        <v>2134</v>
      </c>
      <c r="B267">
        <v>100260</v>
      </c>
      <c r="C267">
        <v>1000</v>
      </c>
    </row>
    <row r="268" spans="1:3">
      <c r="A268" t="s">
        <v>2135</v>
      </c>
      <c r="B268">
        <v>100261</v>
      </c>
      <c r="C268">
        <v>1000</v>
      </c>
    </row>
    <row r="269" spans="1:3">
      <c r="A269" t="s">
        <v>2136</v>
      </c>
      <c r="B269">
        <v>100262</v>
      </c>
      <c r="C269">
        <v>1000</v>
      </c>
    </row>
    <row r="270" spans="1:3">
      <c r="A270" t="s">
        <v>2137</v>
      </c>
      <c r="B270">
        <v>100263</v>
      </c>
      <c r="C270">
        <v>1000</v>
      </c>
    </row>
    <row r="271" spans="1:3">
      <c r="A271" t="s">
        <v>2138</v>
      </c>
      <c r="B271">
        <v>100264</v>
      </c>
      <c r="C271">
        <v>1000</v>
      </c>
    </row>
    <row r="272" spans="1:3">
      <c r="A272" t="s">
        <v>2139</v>
      </c>
      <c r="B272">
        <v>100265</v>
      </c>
      <c r="C272">
        <v>1000</v>
      </c>
    </row>
    <row r="273" spans="1:3">
      <c r="A273" t="s">
        <v>2140</v>
      </c>
      <c r="B273">
        <v>100266</v>
      </c>
      <c r="C273">
        <v>1000</v>
      </c>
    </row>
    <row r="274" spans="1:3">
      <c r="A274" t="s">
        <v>2141</v>
      </c>
      <c r="B274">
        <v>100267</v>
      </c>
      <c r="C274">
        <v>1000</v>
      </c>
    </row>
    <row r="275" spans="1:3">
      <c r="A275" t="s">
        <v>2142</v>
      </c>
      <c r="B275">
        <v>100268</v>
      </c>
      <c r="C275">
        <v>1000</v>
      </c>
    </row>
    <row r="276" spans="1:3">
      <c r="A276" t="s">
        <v>2143</v>
      </c>
      <c r="B276">
        <v>100269</v>
      </c>
      <c r="C276">
        <v>1000</v>
      </c>
    </row>
    <row r="277" spans="1:3">
      <c r="A277" t="s">
        <v>2144</v>
      </c>
      <c r="B277">
        <v>100270</v>
      </c>
      <c r="C277">
        <v>1000</v>
      </c>
    </row>
    <row r="278" spans="1:3">
      <c r="A278" t="s">
        <v>2145</v>
      </c>
      <c r="B278">
        <v>100271</v>
      </c>
      <c r="C278">
        <v>1000</v>
      </c>
    </row>
    <row r="279" spans="1:3">
      <c r="A279" t="s">
        <v>2146</v>
      </c>
      <c r="B279">
        <v>100272</v>
      </c>
      <c r="C279">
        <v>1000</v>
      </c>
    </row>
    <row r="280" spans="1:3">
      <c r="A280" t="s">
        <v>2147</v>
      </c>
      <c r="B280">
        <v>100273</v>
      </c>
      <c r="C280">
        <v>1000</v>
      </c>
    </row>
    <row r="281" spans="1:3">
      <c r="A281" t="s">
        <v>2148</v>
      </c>
      <c r="B281">
        <v>100274</v>
      </c>
      <c r="C281">
        <v>1000</v>
      </c>
    </row>
    <row r="282" spans="1:3">
      <c r="A282" t="s">
        <v>2149</v>
      </c>
      <c r="B282">
        <v>100275</v>
      </c>
      <c r="C282">
        <v>1000</v>
      </c>
    </row>
    <row r="283" spans="1:3">
      <c r="A283" t="s">
        <v>2150</v>
      </c>
      <c r="B283">
        <v>100276</v>
      </c>
      <c r="C283">
        <v>1000</v>
      </c>
    </row>
    <row r="284" spans="1:3">
      <c r="A284" t="s">
        <v>2151</v>
      </c>
      <c r="B284">
        <v>100277</v>
      </c>
      <c r="C284">
        <v>1002</v>
      </c>
    </row>
    <row r="285" spans="1:3">
      <c r="A285" t="s">
        <v>2152</v>
      </c>
      <c r="B285">
        <v>100278</v>
      </c>
      <c r="C285">
        <v>1002</v>
      </c>
    </row>
    <row r="286" spans="1:3">
      <c r="A286" t="s">
        <v>2153</v>
      </c>
      <c r="B286">
        <v>100279</v>
      </c>
      <c r="C286">
        <v>1002</v>
      </c>
    </row>
    <row r="287" spans="1:3">
      <c r="A287" t="s">
        <v>2154</v>
      </c>
      <c r="B287">
        <v>100280</v>
      </c>
      <c r="C287">
        <v>1002</v>
      </c>
    </row>
    <row r="288" spans="1:3">
      <c r="A288" t="s">
        <v>2155</v>
      </c>
      <c r="B288">
        <v>100281</v>
      </c>
      <c r="C288">
        <v>1002</v>
      </c>
    </row>
    <row r="289" spans="1:3">
      <c r="A289" t="s">
        <v>2156</v>
      </c>
      <c r="B289">
        <v>100282</v>
      </c>
      <c r="C289">
        <v>1002</v>
      </c>
    </row>
    <row r="290" spans="1:3">
      <c r="A290" t="s">
        <v>2157</v>
      </c>
      <c r="B290">
        <v>100283</v>
      </c>
      <c r="C290">
        <v>1002</v>
      </c>
    </row>
    <row r="291" spans="1:3">
      <c r="A291" t="s">
        <v>2158</v>
      </c>
      <c r="B291">
        <v>100284</v>
      </c>
      <c r="C291">
        <v>1002</v>
      </c>
    </row>
    <row r="292" spans="1:3">
      <c r="A292" t="s">
        <v>2159</v>
      </c>
      <c r="B292">
        <v>100285</v>
      </c>
      <c r="C292">
        <v>1002</v>
      </c>
    </row>
    <row r="293" spans="1:3">
      <c r="A293" t="s">
        <v>2160</v>
      </c>
      <c r="B293">
        <v>100286</v>
      </c>
      <c r="C293">
        <v>1002</v>
      </c>
    </row>
    <row r="294" spans="1:3">
      <c r="A294" t="s">
        <v>2161</v>
      </c>
      <c r="B294">
        <v>100287</v>
      </c>
      <c r="C294">
        <v>1002</v>
      </c>
    </row>
    <row r="295" spans="1:3">
      <c r="A295" t="s">
        <v>2162</v>
      </c>
      <c r="B295">
        <v>100288</v>
      </c>
      <c r="C295">
        <v>1002</v>
      </c>
    </row>
    <row r="296" spans="1:3">
      <c r="A296" t="s">
        <v>2163</v>
      </c>
      <c r="B296">
        <v>100289</v>
      </c>
      <c r="C296">
        <v>1002</v>
      </c>
    </row>
    <row r="297" spans="1:3">
      <c r="A297" t="s">
        <v>2164</v>
      </c>
      <c r="B297">
        <v>100290</v>
      </c>
      <c r="C297">
        <v>1002</v>
      </c>
    </row>
    <row r="298" spans="1:3">
      <c r="A298" t="s">
        <v>2165</v>
      </c>
      <c r="B298">
        <v>100291</v>
      </c>
      <c r="C298">
        <v>1002</v>
      </c>
    </row>
    <row r="299" spans="1:3">
      <c r="A299" t="s">
        <v>2166</v>
      </c>
      <c r="B299">
        <v>100292</v>
      </c>
      <c r="C299">
        <v>1002</v>
      </c>
    </row>
    <row r="300" spans="1:3">
      <c r="A300" t="s">
        <v>2167</v>
      </c>
      <c r="B300">
        <v>100293</v>
      </c>
      <c r="C300">
        <v>1002</v>
      </c>
    </row>
    <row r="301" spans="1:3">
      <c r="A301" t="s">
        <v>2168</v>
      </c>
      <c r="B301">
        <v>100294</v>
      </c>
      <c r="C301">
        <v>1002</v>
      </c>
    </row>
    <row r="302" spans="1:3">
      <c r="A302" t="s">
        <v>2169</v>
      </c>
      <c r="B302">
        <v>100295</v>
      </c>
      <c r="C302">
        <v>1002</v>
      </c>
    </row>
    <row r="303" spans="1:3">
      <c r="A303" t="s">
        <v>2170</v>
      </c>
      <c r="B303">
        <v>100296</v>
      </c>
      <c r="C303">
        <v>1002</v>
      </c>
    </row>
    <row r="304" spans="1:3">
      <c r="A304" t="s">
        <v>2171</v>
      </c>
      <c r="B304">
        <v>100297</v>
      </c>
      <c r="C304">
        <v>1002</v>
      </c>
    </row>
    <row r="305" spans="1:3">
      <c r="A305" t="s">
        <v>2172</v>
      </c>
      <c r="B305">
        <v>100298</v>
      </c>
      <c r="C305">
        <v>1002</v>
      </c>
    </row>
    <row r="306" spans="1:3">
      <c r="A306" t="s">
        <v>2173</v>
      </c>
      <c r="B306">
        <v>100299</v>
      </c>
      <c r="C306">
        <v>1002</v>
      </c>
    </row>
    <row r="307" spans="1:3">
      <c r="A307" t="s">
        <v>2174</v>
      </c>
      <c r="B307">
        <v>100300</v>
      </c>
      <c r="C307">
        <v>1002</v>
      </c>
    </row>
    <row r="308" spans="1:3">
      <c r="A308" t="s">
        <v>2175</v>
      </c>
      <c r="B308">
        <v>100301</v>
      </c>
      <c r="C308">
        <v>1002</v>
      </c>
    </row>
    <row r="309" spans="1:3">
      <c r="A309" t="s">
        <v>2176</v>
      </c>
      <c r="B309">
        <v>100302</v>
      </c>
      <c r="C309">
        <v>1002</v>
      </c>
    </row>
    <row r="310" spans="1:3">
      <c r="A310" t="s">
        <v>2177</v>
      </c>
      <c r="B310">
        <v>100303</v>
      </c>
      <c r="C310">
        <v>1002</v>
      </c>
    </row>
    <row r="311" spans="1:3">
      <c r="A311" t="s">
        <v>2178</v>
      </c>
      <c r="B311">
        <v>100304</v>
      </c>
      <c r="C311">
        <v>1002</v>
      </c>
    </row>
    <row r="312" spans="1:3">
      <c r="A312" t="s">
        <v>2179</v>
      </c>
      <c r="B312">
        <v>100305</v>
      </c>
      <c r="C312">
        <v>1002</v>
      </c>
    </row>
    <row r="313" spans="1:3">
      <c r="A313" t="s">
        <v>2180</v>
      </c>
      <c r="B313">
        <v>100306</v>
      </c>
      <c r="C313">
        <v>1000</v>
      </c>
    </row>
    <row r="314" spans="1:3">
      <c r="A314" t="s">
        <v>2181</v>
      </c>
      <c r="B314">
        <v>100307</v>
      </c>
      <c r="C314">
        <v>1000</v>
      </c>
    </row>
    <row r="315" spans="1:3">
      <c r="A315" t="s">
        <v>2182</v>
      </c>
      <c r="B315">
        <v>100308</v>
      </c>
      <c r="C315">
        <v>1000</v>
      </c>
    </row>
    <row r="316" spans="1:3">
      <c r="A316" t="s">
        <v>2183</v>
      </c>
      <c r="B316">
        <v>100309</v>
      </c>
      <c r="C316">
        <v>1000</v>
      </c>
    </row>
    <row r="317" spans="1:3">
      <c r="A317" t="s">
        <v>2184</v>
      </c>
      <c r="B317">
        <v>100310</v>
      </c>
      <c r="C317">
        <v>1000</v>
      </c>
    </row>
    <row r="318" spans="1:3">
      <c r="A318" t="s">
        <v>2185</v>
      </c>
      <c r="B318">
        <v>100311</v>
      </c>
      <c r="C318">
        <v>1000</v>
      </c>
    </row>
    <row r="319" spans="1:3">
      <c r="A319" t="s">
        <v>2186</v>
      </c>
      <c r="B319">
        <v>100312</v>
      </c>
      <c r="C319">
        <v>1000</v>
      </c>
    </row>
    <row r="320" spans="1:3">
      <c r="A320" t="s">
        <v>2187</v>
      </c>
      <c r="B320">
        <v>100313</v>
      </c>
      <c r="C320">
        <v>1000</v>
      </c>
    </row>
    <row r="321" spans="1:3">
      <c r="A321" t="s">
        <v>2188</v>
      </c>
      <c r="B321">
        <v>100314</v>
      </c>
      <c r="C321">
        <v>1000</v>
      </c>
    </row>
    <row r="322" spans="1:3">
      <c r="A322" t="s">
        <v>2189</v>
      </c>
      <c r="B322">
        <v>100315</v>
      </c>
      <c r="C322">
        <v>1000</v>
      </c>
    </row>
    <row r="323" spans="1:3">
      <c r="A323" t="s">
        <v>2190</v>
      </c>
      <c r="B323">
        <v>100316</v>
      </c>
      <c r="C323">
        <v>1000</v>
      </c>
    </row>
    <row r="324" spans="1:3">
      <c r="A324" t="s">
        <v>2191</v>
      </c>
      <c r="B324">
        <v>100317</v>
      </c>
      <c r="C324">
        <v>1000</v>
      </c>
    </row>
    <row r="325" spans="1:3">
      <c r="A325" t="s">
        <v>2192</v>
      </c>
      <c r="B325">
        <v>100318</v>
      </c>
      <c r="C325">
        <v>1000</v>
      </c>
    </row>
    <row r="326" spans="1:3">
      <c r="A326" t="s">
        <v>2193</v>
      </c>
      <c r="B326">
        <v>100319</v>
      </c>
      <c r="C326">
        <v>1000</v>
      </c>
    </row>
    <row r="327" spans="1:3">
      <c r="A327" t="s">
        <v>2194</v>
      </c>
      <c r="B327">
        <v>100320</v>
      </c>
      <c r="C327">
        <v>1000</v>
      </c>
    </row>
    <row r="328" spans="1:3">
      <c r="A328" t="s">
        <v>2195</v>
      </c>
      <c r="B328">
        <v>100321</v>
      </c>
      <c r="C328">
        <v>1000</v>
      </c>
    </row>
    <row r="329" spans="1:3">
      <c r="A329" t="s">
        <v>2196</v>
      </c>
      <c r="B329">
        <v>100322</v>
      </c>
      <c r="C329">
        <v>1000</v>
      </c>
    </row>
    <row r="330" spans="1:3">
      <c r="A330" t="s">
        <v>2197</v>
      </c>
      <c r="B330">
        <v>100323</v>
      </c>
      <c r="C330">
        <v>1000</v>
      </c>
    </row>
    <row r="331" spans="1:3">
      <c r="A331" t="s">
        <v>2198</v>
      </c>
      <c r="B331">
        <v>100324</v>
      </c>
      <c r="C331">
        <v>1001</v>
      </c>
    </row>
    <row r="332" spans="1:3">
      <c r="A332" t="s">
        <v>2199</v>
      </c>
      <c r="B332">
        <v>100325</v>
      </c>
      <c r="C332">
        <v>1000</v>
      </c>
    </row>
    <row r="333" spans="1:3">
      <c r="A333" t="s">
        <v>2200</v>
      </c>
      <c r="B333">
        <v>100326</v>
      </c>
      <c r="C333">
        <v>1000</v>
      </c>
    </row>
    <row r="334" spans="1:3">
      <c r="A334" t="s">
        <v>2201</v>
      </c>
      <c r="B334">
        <v>100327</v>
      </c>
      <c r="C334">
        <v>1000</v>
      </c>
    </row>
    <row r="335" spans="1:3">
      <c r="A335" t="s">
        <v>2202</v>
      </c>
      <c r="B335">
        <v>100328</v>
      </c>
      <c r="C335">
        <v>1000</v>
      </c>
    </row>
    <row r="336" spans="1:3">
      <c r="A336" t="s">
        <v>2203</v>
      </c>
      <c r="B336">
        <v>100329</v>
      </c>
      <c r="C336">
        <v>1003</v>
      </c>
    </row>
    <row r="337" spans="1:3">
      <c r="A337" t="s">
        <v>2204</v>
      </c>
      <c r="B337">
        <v>100330</v>
      </c>
      <c r="C337">
        <v>1000</v>
      </c>
    </row>
    <row r="338" spans="1:3">
      <c r="A338" t="s">
        <v>2205</v>
      </c>
      <c r="B338">
        <v>100331</v>
      </c>
      <c r="C338">
        <v>1000</v>
      </c>
    </row>
    <row r="339" spans="1:3">
      <c r="A339" t="s">
        <v>2206</v>
      </c>
      <c r="B339">
        <v>100332</v>
      </c>
      <c r="C339">
        <v>1000</v>
      </c>
    </row>
    <row r="340" spans="1:3">
      <c r="A340" t="s">
        <v>2207</v>
      </c>
      <c r="B340">
        <v>100333</v>
      </c>
      <c r="C340">
        <v>1000</v>
      </c>
    </row>
    <row r="341" spans="1:3">
      <c r="A341" t="s">
        <v>2208</v>
      </c>
      <c r="B341">
        <v>100334</v>
      </c>
      <c r="C341">
        <v>1000</v>
      </c>
    </row>
    <row r="342" spans="1:3">
      <c r="A342" t="s">
        <v>2209</v>
      </c>
      <c r="B342">
        <v>100335</v>
      </c>
      <c r="C342">
        <v>1000</v>
      </c>
    </row>
    <row r="343" spans="1:3">
      <c r="A343" t="s">
        <v>2210</v>
      </c>
      <c r="B343">
        <v>100336</v>
      </c>
      <c r="C343">
        <v>1000</v>
      </c>
    </row>
    <row r="344" spans="1:3">
      <c r="A344" t="s">
        <v>2211</v>
      </c>
      <c r="B344">
        <v>100337</v>
      </c>
      <c r="C344">
        <v>1000</v>
      </c>
    </row>
    <row r="345" spans="1:3">
      <c r="A345" t="s">
        <v>2212</v>
      </c>
      <c r="B345">
        <v>100338</v>
      </c>
      <c r="C345">
        <v>1000</v>
      </c>
    </row>
    <row r="346" spans="1:3">
      <c r="A346" t="s">
        <v>2213</v>
      </c>
      <c r="B346">
        <v>100339</v>
      </c>
      <c r="C346">
        <v>1000</v>
      </c>
    </row>
    <row r="347" spans="1:3">
      <c r="A347" t="s">
        <v>734</v>
      </c>
      <c r="B347">
        <v>100340</v>
      </c>
      <c r="C347">
        <v>1000</v>
      </c>
    </row>
    <row r="348" spans="1:3">
      <c r="A348" t="s">
        <v>2214</v>
      </c>
      <c r="B348">
        <v>100341</v>
      </c>
      <c r="C348">
        <v>1000</v>
      </c>
    </row>
    <row r="349" spans="1:3">
      <c r="A349" t="s">
        <v>2215</v>
      </c>
      <c r="B349">
        <v>100342</v>
      </c>
      <c r="C349">
        <v>1000</v>
      </c>
    </row>
    <row r="350" spans="1:3">
      <c r="A350" t="s">
        <v>2216</v>
      </c>
      <c r="B350">
        <v>100343</v>
      </c>
      <c r="C350">
        <v>1000</v>
      </c>
    </row>
    <row r="351" spans="1:3">
      <c r="A351" t="s">
        <v>2217</v>
      </c>
      <c r="B351">
        <v>100344</v>
      </c>
      <c r="C351">
        <v>1000</v>
      </c>
    </row>
    <row r="352" spans="1:3">
      <c r="A352" t="s">
        <v>2218</v>
      </c>
      <c r="B352">
        <v>100345</v>
      </c>
      <c r="C352">
        <v>1000</v>
      </c>
    </row>
    <row r="353" spans="1:3">
      <c r="A353" t="s">
        <v>2219</v>
      </c>
      <c r="B353">
        <v>100346</v>
      </c>
      <c r="C353">
        <v>1000</v>
      </c>
    </row>
    <row r="354" spans="1:3">
      <c r="A354" t="s">
        <v>2220</v>
      </c>
      <c r="B354">
        <v>100347</v>
      </c>
      <c r="C354">
        <v>1000</v>
      </c>
    </row>
    <row r="355" spans="1:3">
      <c r="A355" t="s">
        <v>2221</v>
      </c>
      <c r="B355">
        <v>100348</v>
      </c>
      <c r="C355">
        <v>1000</v>
      </c>
    </row>
    <row r="356" spans="1:3">
      <c r="A356" t="s">
        <v>2222</v>
      </c>
      <c r="B356">
        <v>100349</v>
      </c>
      <c r="C356">
        <v>1000</v>
      </c>
    </row>
    <row r="357" spans="1:3">
      <c r="A357" t="s">
        <v>2223</v>
      </c>
      <c r="B357">
        <v>100350</v>
      </c>
      <c r="C357">
        <v>1000</v>
      </c>
    </row>
    <row r="358" spans="1:3">
      <c r="A358" t="s">
        <v>969</v>
      </c>
      <c r="B358">
        <v>100351</v>
      </c>
      <c r="C358">
        <v>1000</v>
      </c>
    </row>
    <row r="359" spans="1:3">
      <c r="A359" t="s">
        <v>2224</v>
      </c>
      <c r="B359">
        <v>100352</v>
      </c>
      <c r="C359">
        <v>1000</v>
      </c>
    </row>
    <row r="360" spans="1:3">
      <c r="A360" t="s">
        <v>2225</v>
      </c>
      <c r="B360">
        <v>100353</v>
      </c>
      <c r="C360">
        <v>1000</v>
      </c>
    </row>
    <row r="361" spans="1:3">
      <c r="A361" t="s">
        <v>2226</v>
      </c>
      <c r="B361">
        <v>100354</v>
      </c>
      <c r="C361">
        <v>1000</v>
      </c>
    </row>
    <row r="362" spans="1:3">
      <c r="A362" t="s">
        <v>612</v>
      </c>
      <c r="B362">
        <v>100355</v>
      </c>
      <c r="C362">
        <v>1000</v>
      </c>
    </row>
    <row r="363" spans="1:3">
      <c r="A363" t="s">
        <v>2227</v>
      </c>
      <c r="B363">
        <v>100356</v>
      </c>
      <c r="C363">
        <v>1000</v>
      </c>
    </row>
    <row r="364" spans="1:3">
      <c r="A364" t="s">
        <v>2228</v>
      </c>
      <c r="B364">
        <v>100357</v>
      </c>
      <c r="C364">
        <v>1000</v>
      </c>
    </row>
    <row r="365" spans="1:3">
      <c r="A365" t="s">
        <v>2229</v>
      </c>
      <c r="B365">
        <v>100358</v>
      </c>
      <c r="C365">
        <v>1000</v>
      </c>
    </row>
    <row r="366" spans="1:3">
      <c r="A366" t="s">
        <v>2230</v>
      </c>
      <c r="B366">
        <v>100359</v>
      </c>
      <c r="C366">
        <v>1000</v>
      </c>
    </row>
    <row r="367" spans="1:3">
      <c r="A367" t="s">
        <v>2231</v>
      </c>
      <c r="B367">
        <v>100360</v>
      </c>
      <c r="C367">
        <v>1000</v>
      </c>
    </row>
    <row r="368" spans="1:3">
      <c r="A368" t="s">
        <v>2232</v>
      </c>
      <c r="B368">
        <v>100361</v>
      </c>
      <c r="C368">
        <v>1000</v>
      </c>
    </row>
    <row r="369" spans="1:3">
      <c r="A369" t="s">
        <v>2233</v>
      </c>
      <c r="B369">
        <v>100362</v>
      </c>
      <c r="C369">
        <v>1000</v>
      </c>
    </row>
    <row r="370" spans="1:3">
      <c r="A370" t="s">
        <v>2234</v>
      </c>
      <c r="B370">
        <v>100363</v>
      </c>
      <c r="C370">
        <v>1000</v>
      </c>
    </row>
    <row r="371" spans="1:3">
      <c r="A371" t="s">
        <v>2235</v>
      </c>
      <c r="B371">
        <v>100364</v>
      </c>
      <c r="C371">
        <v>1000</v>
      </c>
    </row>
    <row r="372" spans="1:3">
      <c r="A372" t="s">
        <v>2236</v>
      </c>
      <c r="B372">
        <v>100365</v>
      </c>
      <c r="C372">
        <v>1000</v>
      </c>
    </row>
    <row r="373" spans="1:3">
      <c r="A373" t="s">
        <v>2237</v>
      </c>
      <c r="B373">
        <v>100366</v>
      </c>
      <c r="C373">
        <v>1000</v>
      </c>
    </row>
    <row r="374" spans="1:3">
      <c r="A374" t="s">
        <v>2238</v>
      </c>
      <c r="B374">
        <v>100367</v>
      </c>
      <c r="C374">
        <v>1000</v>
      </c>
    </row>
    <row r="375" spans="1:3">
      <c r="A375" t="s">
        <v>822</v>
      </c>
      <c r="B375">
        <v>100368</v>
      </c>
      <c r="C375">
        <v>1000</v>
      </c>
    </row>
    <row r="376" spans="1:3">
      <c r="A376" t="s">
        <v>2239</v>
      </c>
      <c r="B376">
        <v>100369</v>
      </c>
      <c r="C376">
        <v>1000</v>
      </c>
    </row>
    <row r="377" spans="1:3">
      <c r="A377" t="s">
        <v>2240</v>
      </c>
      <c r="B377">
        <v>100370</v>
      </c>
      <c r="C377">
        <v>1000</v>
      </c>
    </row>
    <row r="378" spans="1:3">
      <c r="A378" t="s">
        <v>2241</v>
      </c>
      <c r="B378">
        <v>100371</v>
      </c>
      <c r="C378">
        <v>1000</v>
      </c>
    </row>
    <row r="379" spans="1:3">
      <c r="A379" t="s">
        <v>2242</v>
      </c>
      <c r="B379">
        <v>100372</v>
      </c>
      <c r="C379">
        <v>1000</v>
      </c>
    </row>
    <row r="380" spans="1:3">
      <c r="A380" t="s">
        <v>2243</v>
      </c>
      <c r="B380">
        <v>100373</v>
      </c>
      <c r="C380">
        <v>1000</v>
      </c>
    </row>
    <row r="381" spans="1:3">
      <c r="A381" t="s">
        <v>2244</v>
      </c>
      <c r="B381">
        <v>100374</v>
      </c>
      <c r="C381">
        <v>1000</v>
      </c>
    </row>
    <row r="382" spans="1:3">
      <c r="A382" t="s">
        <v>2245</v>
      </c>
      <c r="B382">
        <v>100375</v>
      </c>
      <c r="C382">
        <v>1000</v>
      </c>
    </row>
    <row r="383" spans="1:3">
      <c r="A383" t="s">
        <v>2246</v>
      </c>
      <c r="B383">
        <v>100376</v>
      </c>
      <c r="C383">
        <v>1000</v>
      </c>
    </row>
    <row r="384" spans="1:3">
      <c r="A384" t="s">
        <v>2247</v>
      </c>
      <c r="B384">
        <v>100377</v>
      </c>
      <c r="C384">
        <v>1000</v>
      </c>
    </row>
    <row r="385" spans="1:3">
      <c r="A385" t="s">
        <v>2248</v>
      </c>
      <c r="B385">
        <v>100378</v>
      </c>
      <c r="C385">
        <v>1000</v>
      </c>
    </row>
    <row r="386" spans="1:3">
      <c r="A386" t="s">
        <v>2249</v>
      </c>
      <c r="B386">
        <v>100379</v>
      </c>
      <c r="C386">
        <v>1000</v>
      </c>
    </row>
    <row r="387" spans="1:3">
      <c r="A387" t="s">
        <v>2250</v>
      </c>
      <c r="B387">
        <v>100380</v>
      </c>
      <c r="C387">
        <v>1000</v>
      </c>
    </row>
    <row r="388" spans="1:3">
      <c r="A388" t="s">
        <v>2251</v>
      </c>
      <c r="B388">
        <v>100381</v>
      </c>
      <c r="C388">
        <v>1000</v>
      </c>
    </row>
    <row r="389" spans="1:3">
      <c r="A389" t="s">
        <v>2252</v>
      </c>
      <c r="B389">
        <v>100382</v>
      </c>
      <c r="C389">
        <v>1000</v>
      </c>
    </row>
    <row r="390" spans="1:3">
      <c r="A390" t="s">
        <v>2253</v>
      </c>
      <c r="B390">
        <v>100383</v>
      </c>
      <c r="C390">
        <v>1000</v>
      </c>
    </row>
    <row r="391" spans="1:3">
      <c r="A391" t="s">
        <v>2254</v>
      </c>
      <c r="B391">
        <v>100384</v>
      </c>
      <c r="C391">
        <v>1000</v>
      </c>
    </row>
    <row r="392" spans="1:3">
      <c r="A392" t="s">
        <v>2255</v>
      </c>
      <c r="B392">
        <v>100385</v>
      </c>
      <c r="C392">
        <v>1000</v>
      </c>
    </row>
    <row r="393" spans="1:3">
      <c r="A393" t="s">
        <v>2256</v>
      </c>
      <c r="B393">
        <v>100386</v>
      </c>
      <c r="C393">
        <v>1000</v>
      </c>
    </row>
    <row r="394" spans="1:3">
      <c r="A394" t="s">
        <v>2257</v>
      </c>
      <c r="B394">
        <v>100387</v>
      </c>
      <c r="C394">
        <v>1000</v>
      </c>
    </row>
    <row r="395" spans="1:3">
      <c r="A395" t="s">
        <v>2258</v>
      </c>
      <c r="B395">
        <v>100388</v>
      </c>
      <c r="C395">
        <v>1000</v>
      </c>
    </row>
    <row r="396" spans="1:3">
      <c r="A396" t="s">
        <v>2259</v>
      </c>
      <c r="B396">
        <v>100389</v>
      </c>
      <c r="C396">
        <v>1000</v>
      </c>
    </row>
    <row r="397" spans="1:3">
      <c r="A397" t="s">
        <v>2260</v>
      </c>
      <c r="B397">
        <v>100390</v>
      </c>
      <c r="C397">
        <v>1000</v>
      </c>
    </row>
    <row r="398" spans="1:3">
      <c r="A398" t="s">
        <v>2261</v>
      </c>
      <c r="B398">
        <v>100391</v>
      </c>
      <c r="C398">
        <v>1000</v>
      </c>
    </row>
    <row r="399" spans="1:3">
      <c r="A399" t="s">
        <v>2262</v>
      </c>
      <c r="B399">
        <v>100392</v>
      </c>
      <c r="C399">
        <v>1000</v>
      </c>
    </row>
    <row r="400" spans="1:3">
      <c r="A400" t="s">
        <v>2263</v>
      </c>
      <c r="B400">
        <v>100393</v>
      </c>
      <c r="C400">
        <v>1000</v>
      </c>
    </row>
    <row r="401" spans="1:3">
      <c r="A401" t="s">
        <v>2264</v>
      </c>
      <c r="B401">
        <v>100394</v>
      </c>
      <c r="C401">
        <v>1000</v>
      </c>
    </row>
    <row r="402" spans="1:3">
      <c r="A402" t="s">
        <v>2265</v>
      </c>
      <c r="B402">
        <v>100395</v>
      </c>
      <c r="C402">
        <v>1000</v>
      </c>
    </row>
    <row r="403" spans="1:3">
      <c r="A403" t="s">
        <v>2266</v>
      </c>
      <c r="B403">
        <v>100396</v>
      </c>
      <c r="C403">
        <v>1000</v>
      </c>
    </row>
    <row r="404" spans="1:3">
      <c r="A404" t="s">
        <v>2267</v>
      </c>
      <c r="B404">
        <v>100397</v>
      </c>
      <c r="C404">
        <v>1000</v>
      </c>
    </row>
    <row r="405" spans="1:3">
      <c r="A405" t="s">
        <v>2268</v>
      </c>
      <c r="B405">
        <v>100398</v>
      </c>
      <c r="C405">
        <v>1000</v>
      </c>
    </row>
    <row r="406" spans="1:3">
      <c r="A406" t="s">
        <v>2269</v>
      </c>
      <c r="B406">
        <v>100399</v>
      </c>
      <c r="C406">
        <v>1000</v>
      </c>
    </row>
    <row r="407" spans="1:3">
      <c r="A407" t="s">
        <v>2270</v>
      </c>
      <c r="B407">
        <v>100400</v>
      </c>
      <c r="C407">
        <v>1000</v>
      </c>
    </row>
    <row r="408" spans="1:3">
      <c r="A408" t="s">
        <v>2271</v>
      </c>
      <c r="B408">
        <v>100401</v>
      </c>
      <c r="C408">
        <v>1000</v>
      </c>
    </row>
    <row r="409" spans="1:3">
      <c r="A409" t="s">
        <v>2272</v>
      </c>
      <c r="B409">
        <v>100402</v>
      </c>
      <c r="C409">
        <v>1000</v>
      </c>
    </row>
    <row r="410" spans="1:3">
      <c r="A410" t="s">
        <v>2273</v>
      </c>
      <c r="B410">
        <v>100403</v>
      </c>
      <c r="C410">
        <v>1000</v>
      </c>
    </row>
    <row r="411" spans="1:3">
      <c r="A411" t="s">
        <v>2274</v>
      </c>
      <c r="B411">
        <v>100404</v>
      </c>
      <c r="C411">
        <v>1000</v>
      </c>
    </row>
    <row r="412" spans="1:3">
      <c r="A412" t="s">
        <v>2275</v>
      </c>
      <c r="B412">
        <v>100405</v>
      </c>
      <c r="C412">
        <v>1000</v>
      </c>
    </row>
    <row r="413" spans="1:3">
      <c r="A413" t="s">
        <v>2276</v>
      </c>
      <c r="B413">
        <v>100406</v>
      </c>
      <c r="C413">
        <v>1000</v>
      </c>
    </row>
    <row r="414" spans="1:3">
      <c r="A414" t="s">
        <v>2277</v>
      </c>
      <c r="B414">
        <v>100407</v>
      </c>
      <c r="C414">
        <v>1000</v>
      </c>
    </row>
    <row r="415" spans="1:3">
      <c r="A415" t="s">
        <v>2278</v>
      </c>
      <c r="B415">
        <v>100408</v>
      </c>
      <c r="C415">
        <v>1000</v>
      </c>
    </row>
    <row r="416" spans="1:3">
      <c r="A416" t="s">
        <v>2279</v>
      </c>
      <c r="B416">
        <v>100409</v>
      </c>
      <c r="C416">
        <v>1000</v>
      </c>
    </row>
    <row r="417" spans="1:3">
      <c r="A417" t="s">
        <v>2280</v>
      </c>
      <c r="B417">
        <v>100410</v>
      </c>
      <c r="C417">
        <v>1000</v>
      </c>
    </row>
    <row r="418" spans="1:3">
      <c r="A418" t="s">
        <v>2281</v>
      </c>
      <c r="B418">
        <v>100411</v>
      </c>
      <c r="C418">
        <v>1000</v>
      </c>
    </row>
    <row r="419" spans="1:3">
      <c r="A419" t="s">
        <v>2282</v>
      </c>
      <c r="B419">
        <v>100412</v>
      </c>
      <c r="C419">
        <v>1000</v>
      </c>
    </row>
    <row r="420" spans="1:3">
      <c r="A420" t="s">
        <v>2283</v>
      </c>
      <c r="B420">
        <v>100413</v>
      </c>
      <c r="C420">
        <v>1000</v>
      </c>
    </row>
    <row r="421" spans="1:3">
      <c r="A421" t="s">
        <v>593</v>
      </c>
      <c r="B421">
        <v>100414</v>
      </c>
      <c r="C421">
        <v>1000</v>
      </c>
    </row>
    <row r="422" spans="1:3">
      <c r="A422" t="s">
        <v>628</v>
      </c>
      <c r="B422">
        <v>100415</v>
      </c>
      <c r="C422">
        <v>1000</v>
      </c>
    </row>
    <row r="423" spans="1:3">
      <c r="A423" t="s">
        <v>2284</v>
      </c>
      <c r="B423">
        <v>100416</v>
      </c>
      <c r="C423">
        <v>1000</v>
      </c>
    </row>
    <row r="424" spans="1:3">
      <c r="A424" t="s">
        <v>2285</v>
      </c>
      <c r="B424">
        <v>100417</v>
      </c>
      <c r="C424">
        <v>1000</v>
      </c>
    </row>
    <row r="425" spans="1:3">
      <c r="A425" t="s">
        <v>2286</v>
      </c>
      <c r="B425">
        <v>100418</v>
      </c>
      <c r="C425">
        <v>1000</v>
      </c>
    </row>
    <row r="426" spans="1:3">
      <c r="A426" t="s">
        <v>2287</v>
      </c>
      <c r="B426">
        <v>100419</v>
      </c>
      <c r="C426">
        <v>1000</v>
      </c>
    </row>
    <row r="427" spans="1:3">
      <c r="A427" t="s">
        <v>2288</v>
      </c>
      <c r="B427">
        <v>100420</v>
      </c>
      <c r="C427">
        <v>1000</v>
      </c>
    </row>
    <row r="428" spans="1:3">
      <c r="A428" t="s">
        <v>2289</v>
      </c>
      <c r="B428">
        <v>100421</v>
      </c>
      <c r="C428">
        <v>1000</v>
      </c>
    </row>
    <row r="429" spans="1:3">
      <c r="A429" t="s">
        <v>2290</v>
      </c>
      <c r="B429">
        <v>100422</v>
      </c>
      <c r="C429">
        <v>1000</v>
      </c>
    </row>
    <row r="430" spans="1:3">
      <c r="A430" t="s">
        <v>2291</v>
      </c>
      <c r="B430">
        <v>100423</v>
      </c>
      <c r="C430">
        <v>1000</v>
      </c>
    </row>
    <row r="431" spans="1:3">
      <c r="A431" t="s">
        <v>668</v>
      </c>
      <c r="B431">
        <v>100424</v>
      </c>
      <c r="C431">
        <v>1000</v>
      </c>
    </row>
    <row r="432" spans="1:3">
      <c r="A432" t="s">
        <v>2292</v>
      </c>
      <c r="B432">
        <v>100425</v>
      </c>
      <c r="C432">
        <v>1000</v>
      </c>
    </row>
    <row r="433" spans="1:3">
      <c r="A433" t="s">
        <v>2293</v>
      </c>
      <c r="B433">
        <v>100426</v>
      </c>
      <c r="C433">
        <v>1000</v>
      </c>
    </row>
    <row r="434" spans="1:3">
      <c r="A434" t="s">
        <v>2294</v>
      </c>
      <c r="B434">
        <v>100427</v>
      </c>
      <c r="C434">
        <v>1000</v>
      </c>
    </row>
    <row r="435" spans="1:3">
      <c r="A435" t="s">
        <v>2295</v>
      </c>
      <c r="B435">
        <v>100428</v>
      </c>
      <c r="C435">
        <v>1000</v>
      </c>
    </row>
    <row r="436" spans="1:3">
      <c r="A436" t="s">
        <v>2296</v>
      </c>
      <c r="B436">
        <v>100429</v>
      </c>
      <c r="C436">
        <v>1000</v>
      </c>
    </row>
    <row r="437" spans="1:3">
      <c r="A437" t="s">
        <v>2297</v>
      </c>
      <c r="B437">
        <v>100430</v>
      </c>
      <c r="C437">
        <v>1000</v>
      </c>
    </row>
    <row r="438" spans="1:3">
      <c r="A438" t="s">
        <v>2298</v>
      </c>
      <c r="B438">
        <v>100431</v>
      </c>
      <c r="C438">
        <v>1000</v>
      </c>
    </row>
    <row r="439" spans="1:3">
      <c r="A439" t="s">
        <v>2299</v>
      </c>
      <c r="B439">
        <v>100432</v>
      </c>
      <c r="C439">
        <v>1000</v>
      </c>
    </row>
    <row r="440" spans="1:3">
      <c r="A440" t="s">
        <v>2300</v>
      </c>
      <c r="B440">
        <v>100433</v>
      </c>
      <c r="C440">
        <v>1000</v>
      </c>
    </row>
    <row r="441" spans="1:3">
      <c r="A441" t="s">
        <v>2301</v>
      </c>
      <c r="B441">
        <v>100434</v>
      </c>
      <c r="C441">
        <v>1000</v>
      </c>
    </row>
    <row r="442" spans="1:3">
      <c r="A442" t="s">
        <v>2302</v>
      </c>
      <c r="B442">
        <v>100435</v>
      </c>
      <c r="C442">
        <v>1000</v>
      </c>
    </row>
    <row r="443" spans="1:3">
      <c r="A443" t="s">
        <v>2303</v>
      </c>
      <c r="B443">
        <v>100436</v>
      </c>
      <c r="C443">
        <v>1000</v>
      </c>
    </row>
    <row r="444" spans="1:3">
      <c r="A444" t="s">
        <v>2304</v>
      </c>
      <c r="B444">
        <v>100437</v>
      </c>
      <c r="C444">
        <v>1000</v>
      </c>
    </row>
    <row r="445" spans="1:3">
      <c r="A445" t="s">
        <v>2305</v>
      </c>
      <c r="B445">
        <v>100438</v>
      </c>
      <c r="C445">
        <v>1000</v>
      </c>
    </row>
    <row r="446" spans="1:3">
      <c r="A446" t="s">
        <v>2306</v>
      </c>
      <c r="B446">
        <v>100439</v>
      </c>
      <c r="C446">
        <v>1000</v>
      </c>
    </row>
    <row r="447" spans="1:3">
      <c r="A447" t="s">
        <v>2307</v>
      </c>
      <c r="B447">
        <v>100440</v>
      </c>
      <c r="C447">
        <v>1000</v>
      </c>
    </row>
    <row r="448" spans="1:3">
      <c r="A448" t="s">
        <v>2308</v>
      </c>
      <c r="B448">
        <v>100441</v>
      </c>
      <c r="C448">
        <v>1000</v>
      </c>
    </row>
    <row r="449" spans="1:3">
      <c r="A449" t="s">
        <v>2309</v>
      </c>
      <c r="B449">
        <v>100442</v>
      </c>
      <c r="C449">
        <v>1000</v>
      </c>
    </row>
    <row r="450" spans="1:3">
      <c r="A450" t="s">
        <v>2310</v>
      </c>
      <c r="B450">
        <v>100443</v>
      </c>
      <c r="C450">
        <v>1000</v>
      </c>
    </row>
    <row r="451" spans="1:3">
      <c r="A451" t="s">
        <v>2311</v>
      </c>
      <c r="B451">
        <v>100444</v>
      </c>
      <c r="C451">
        <v>1000</v>
      </c>
    </row>
    <row r="452" spans="1:3">
      <c r="A452" t="s">
        <v>2312</v>
      </c>
      <c r="B452">
        <v>100445</v>
      </c>
      <c r="C452">
        <v>1000</v>
      </c>
    </row>
    <row r="453" spans="1:3">
      <c r="A453" t="s">
        <v>2313</v>
      </c>
      <c r="B453">
        <v>100446</v>
      </c>
      <c r="C453">
        <v>1000</v>
      </c>
    </row>
    <row r="454" spans="1:3">
      <c r="A454" t="s">
        <v>2314</v>
      </c>
      <c r="B454">
        <v>100447</v>
      </c>
      <c r="C454">
        <v>1000</v>
      </c>
    </row>
    <row r="455" spans="1:3">
      <c r="A455" t="s">
        <v>2315</v>
      </c>
      <c r="B455">
        <v>100448</v>
      </c>
      <c r="C455">
        <v>1000</v>
      </c>
    </row>
    <row r="456" spans="1:3">
      <c r="A456" t="s">
        <v>2316</v>
      </c>
      <c r="B456">
        <v>100449</v>
      </c>
      <c r="C456">
        <v>1000</v>
      </c>
    </row>
    <row r="457" spans="1:3">
      <c r="A457" t="s">
        <v>2317</v>
      </c>
      <c r="B457">
        <v>100450</v>
      </c>
      <c r="C457">
        <v>1000</v>
      </c>
    </row>
    <row r="458" spans="1:3">
      <c r="A458" t="s">
        <v>2318</v>
      </c>
      <c r="B458">
        <v>100451</v>
      </c>
      <c r="C458">
        <v>1000</v>
      </c>
    </row>
    <row r="459" spans="1:3">
      <c r="A459" t="s">
        <v>2319</v>
      </c>
      <c r="B459">
        <v>100452</v>
      </c>
      <c r="C459">
        <v>1000</v>
      </c>
    </row>
    <row r="460" spans="1:3">
      <c r="A460" t="s">
        <v>2320</v>
      </c>
      <c r="B460">
        <v>100453</v>
      </c>
      <c r="C460">
        <v>1000</v>
      </c>
    </row>
    <row r="461" spans="1:3">
      <c r="A461" t="s">
        <v>2321</v>
      </c>
      <c r="B461">
        <v>100454</v>
      </c>
      <c r="C461">
        <v>1000</v>
      </c>
    </row>
    <row r="462" spans="1:3">
      <c r="A462" t="s">
        <v>2322</v>
      </c>
      <c r="B462">
        <v>100455</v>
      </c>
      <c r="C462">
        <v>1000</v>
      </c>
    </row>
    <row r="463" spans="1:3">
      <c r="A463" t="s">
        <v>2323</v>
      </c>
      <c r="B463">
        <v>100456</v>
      </c>
      <c r="C463">
        <v>1000</v>
      </c>
    </row>
    <row r="464" spans="1:3">
      <c r="A464" t="s">
        <v>2324</v>
      </c>
      <c r="B464">
        <v>100457</v>
      </c>
      <c r="C464">
        <v>1000</v>
      </c>
    </row>
    <row r="465" spans="1:3">
      <c r="A465" t="s">
        <v>2325</v>
      </c>
      <c r="B465">
        <v>100458</v>
      </c>
      <c r="C465">
        <v>1000</v>
      </c>
    </row>
    <row r="466" spans="1:3">
      <c r="A466" t="s">
        <v>699</v>
      </c>
      <c r="B466">
        <v>100459</v>
      </c>
      <c r="C466">
        <v>1000</v>
      </c>
    </row>
    <row r="467" spans="1:3">
      <c r="A467" t="s">
        <v>2326</v>
      </c>
      <c r="B467">
        <v>100460</v>
      </c>
      <c r="C467">
        <v>1000</v>
      </c>
    </row>
    <row r="468" spans="1:3">
      <c r="A468" t="s">
        <v>2327</v>
      </c>
      <c r="B468">
        <v>100461</v>
      </c>
      <c r="C468">
        <v>1000</v>
      </c>
    </row>
    <row r="469" spans="1:3">
      <c r="A469" t="s">
        <v>2328</v>
      </c>
      <c r="B469">
        <v>100462</v>
      </c>
      <c r="C469">
        <v>1000</v>
      </c>
    </row>
    <row r="470" spans="1:3">
      <c r="A470" t="s">
        <v>2329</v>
      </c>
      <c r="B470">
        <v>100463</v>
      </c>
      <c r="C470">
        <v>1000</v>
      </c>
    </row>
    <row r="471" spans="1:3">
      <c r="A471" t="s">
        <v>2330</v>
      </c>
      <c r="B471">
        <v>100464</v>
      </c>
      <c r="C471">
        <v>1000</v>
      </c>
    </row>
    <row r="472" spans="1:3">
      <c r="A472" t="s">
        <v>2331</v>
      </c>
      <c r="B472">
        <v>100465</v>
      </c>
      <c r="C472">
        <v>1000</v>
      </c>
    </row>
    <row r="473" spans="1:3">
      <c r="A473" t="s">
        <v>2332</v>
      </c>
      <c r="B473">
        <v>100466</v>
      </c>
      <c r="C473">
        <v>1000</v>
      </c>
    </row>
    <row r="474" spans="1:3">
      <c r="A474" t="s">
        <v>2333</v>
      </c>
      <c r="B474">
        <v>100467</v>
      </c>
      <c r="C474">
        <v>1000</v>
      </c>
    </row>
    <row r="475" spans="1:3">
      <c r="A475" t="s">
        <v>2334</v>
      </c>
      <c r="B475">
        <v>100468</v>
      </c>
      <c r="C475">
        <v>1000</v>
      </c>
    </row>
    <row r="476" spans="1:3">
      <c r="A476" t="s">
        <v>2335</v>
      </c>
      <c r="B476">
        <v>100469</v>
      </c>
      <c r="C476">
        <v>1000</v>
      </c>
    </row>
    <row r="477" spans="1:3">
      <c r="A477" t="s">
        <v>2336</v>
      </c>
      <c r="B477">
        <v>100470</v>
      </c>
      <c r="C477">
        <v>1000</v>
      </c>
    </row>
    <row r="478" spans="1:3">
      <c r="A478" t="s">
        <v>2337</v>
      </c>
      <c r="B478">
        <v>100471</v>
      </c>
      <c r="C478">
        <v>1000</v>
      </c>
    </row>
    <row r="479" spans="1:3">
      <c r="A479" t="s">
        <v>2338</v>
      </c>
      <c r="B479">
        <v>100472</v>
      </c>
      <c r="C479">
        <v>1000</v>
      </c>
    </row>
    <row r="480" spans="1:3">
      <c r="A480" t="s">
        <v>2339</v>
      </c>
      <c r="B480">
        <v>100473</v>
      </c>
      <c r="C480">
        <v>1000</v>
      </c>
    </row>
    <row r="481" spans="1:3">
      <c r="A481" t="s">
        <v>2340</v>
      </c>
      <c r="B481">
        <v>100474</v>
      </c>
      <c r="C481">
        <v>1000</v>
      </c>
    </row>
    <row r="482" spans="1:3">
      <c r="A482" t="s">
        <v>2341</v>
      </c>
      <c r="B482">
        <v>100475</v>
      </c>
      <c r="C482">
        <v>1000</v>
      </c>
    </row>
    <row r="483" spans="1:3">
      <c r="A483" t="s">
        <v>2342</v>
      </c>
      <c r="B483">
        <v>100476</v>
      </c>
      <c r="C483">
        <v>1000</v>
      </c>
    </row>
    <row r="484" spans="1:3">
      <c r="A484" t="s">
        <v>2343</v>
      </c>
      <c r="B484">
        <v>100477</v>
      </c>
      <c r="C484">
        <v>1000</v>
      </c>
    </row>
    <row r="485" spans="1:3">
      <c r="A485" t="s">
        <v>2344</v>
      </c>
      <c r="B485">
        <v>100478</v>
      </c>
      <c r="C485">
        <v>1000</v>
      </c>
    </row>
    <row r="486" spans="1:3">
      <c r="A486" t="s">
        <v>2345</v>
      </c>
      <c r="B486">
        <v>100479</v>
      </c>
      <c r="C486">
        <v>1000</v>
      </c>
    </row>
    <row r="487" spans="1:3">
      <c r="A487" t="s">
        <v>2346</v>
      </c>
      <c r="B487">
        <v>100480</v>
      </c>
      <c r="C487">
        <v>1000</v>
      </c>
    </row>
    <row r="488" spans="1:3">
      <c r="A488" t="s">
        <v>2347</v>
      </c>
      <c r="B488">
        <v>100481</v>
      </c>
      <c r="C488">
        <v>1000</v>
      </c>
    </row>
    <row r="489" spans="1:3">
      <c r="A489" t="s">
        <v>2348</v>
      </c>
      <c r="B489">
        <v>100482</v>
      </c>
      <c r="C489">
        <v>1000</v>
      </c>
    </row>
    <row r="490" spans="1:3">
      <c r="A490" t="s">
        <v>2349</v>
      </c>
      <c r="B490">
        <v>100483</v>
      </c>
      <c r="C490">
        <v>1000</v>
      </c>
    </row>
    <row r="491" spans="1:3">
      <c r="A491" t="s">
        <v>2350</v>
      </c>
      <c r="B491">
        <v>100484</v>
      </c>
      <c r="C491">
        <v>1000</v>
      </c>
    </row>
    <row r="492" spans="1:3">
      <c r="A492" t="s">
        <v>2351</v>
      </c>
      <c r="B492">
        <v>100485</v>
      </c>
      <c r="C492">
        <v>1000</v>
      </c>
    </row>
    <row r="493" spans="1:3">
      <c r="A493" t="s">
        <v>2352</v>
      </c>
      <c r="B493">
        <v>100486</v>
      </c>
      <c r="C493">
        <v>1000</v>
      </c>
    </row>
    <row r="494" spans="1:3">
      <c r="A494" t="s">
        <v>2353</v>
      </c>
      <c r="B494">
        <v>100487</v>
      </c>
      <c r="C494">
        <v>1000</v>
      </c>
    </row>
    <row r="495" spans="1:3">
      <c r="A495" t="s">
        <v>2354</v>
      </c>
      <c r="B495">
        <v>100488</v>
      </c>
      <c r="C495">
        <v>1000</v>
      </c>
    </row>
    <row r="496" spans="1:3">
      <c r="A496" t="s">
        <v>2355</v>
      </c>
      <c r="B496">
        <v>100489</v>
      </c>
      <c r="C496">
        <v>1000</v>
      </c>
    </row>
    <row r="497" spans="1:3">
      <c r="A497" t="s">
        <v>2356</v>
      </c>
      <c r="B497">
        <v>100490</v>
      </c>
      <c r="C497">
        <v>1000</v>
      </c>
    </row>
    <row r="498" spans="1:3">
      <c r="A498" t="s">
        <v>2357</v>
      </c>
      <c r="B498">
        <v>100491</v>
      </c>
      <c r="C498">
        <v>1000</v>
      </c>
    </row>
    <row r="499" spans="1:3">
      <c r="A499" t="s">
        <v>2358</v>
      </c>
      <c r="B499">
        <v>100492</v>
      </c>
      <c r="C499">
        <v>1000</v>
      </c>
    </row>
    <row r="500" spans="1:3">
      <c r="A500" t="s">
        <v>2359</v>
      </c>
      <c r="B500">
        <v>100493</v>
      </c>
      <c r="C500">
        <v>1000</v>
      </c>
    </row>
    <row r="501" spans="1:3">
      <c r="A501" t="s">
        <v>2360</v>
      </c>
      <c r="B501">
        <v>100494</v>
      </c>
      <c r="C501">
        <v>1000</v>
      </c>
    </row>
    <row r="502" spans="1:3">
      <c r="A502" t="s">
        <v>2361</v>
      </c>
      <c r="B502">
        <v>100495</v>
      </c>
      <c r="C502">
        <v>1000</v>
      </c>
    </row>
    <row r="503" spans="1:3">
      <c r="A503" t="s">
        <v>2362</v>
      </c>
      <c r="B503">
        <v>100496</v>
      </c>
      <c r="C503">
        <v>1000</v>
      </c>
    </row>
    <row r="504" spans="1:3">
      <c r="A504" t="s">
        <v>2363</v>
      </c>
      <c r="B504">
        <v>100497</v>
      </c>
      <c r="C504">
        <v>1000</v>
      </c>
    </row>
    <row r="505" spans="1:3">
      <c r="A505" t="s">
        <v>2364</v>
      </c>
      <c r="B505">
        <v>100498</v>
      </c>
      <c r="C505">
        <v>1000</v>
      </c>
    </row>
    <row r="506" spans="1:3">
      <c r="A506" t="s">
        <v>2365</v>
      </c>
      <c r="B506">
        <v>100499</v>
      </c>
      <c r="C506">
        <v>1000</v>
      </c>
    </row>
    <row r="507" spans="1:3">
      <c r="A507" t="s">
        <v>2366</v>
      </c>
      <c r="B507">
        <v>100500</v>
      </c>
      <c r="C507">
        <v>1000</v>
      </c>
    </row>
    <row r="508" spans="1:3">
      <c r="A508" t="s">
        <v>2367</v>
      </c>
      <c r="B508">
        <v>100501</v>
      </c>
      <c r="C508">
        <v>1000</v>
      </c>
    </row>
    <row r="509" spans="1:3">
      <c r="A509" t="s">
        <v>2368</v>
      </c>
      <c r="B509">
        <v>100502</v>
      </c>
      <c r="C509">
        <v>1000</v>
      </c>
    </row>
    <row r="510" spans="1:3">
      <c r="A510" t="s">
        <v>2369</v>
      </c>
      <c r="B510">
        <v>100503</v>
      </c>
      <c r="C510">
        <v>1000</v>
      </c>
    </row>
    <row r="511" spans="1:3">
      <c r="A511" t="s">
        <v>2370</v>
      </c>
      <c r="B511">
        <v>100504</v>
      </c>
      <c r="C511">
        <v>1000</v>
      </c>
    </row>
    <row r="512" spans="1:3">
      <c r="A512" t="s">
        <v>2371</v>
      </c>
      <c r="B512">
        <v>100505</v>
      </c>
      <c r="C512">
        <v>1000</v>
      </c>
    </row>
    <row r="513" spans="1:3">
      <c r="A513" t="s">
        <v>2372</v>
      </c>
      <c r="B513">
        <v>100506</v>
      </c>
      <c r="C513">
        <v>1000</v>
      </c>
    </row>
    <row r="514" spans="1:3">
      <c r="A514" t="s">
        <v>2373</v>
      </c>
      <c r="B514">
        <v>100507</v>
      </c>
      <c r="C514">
        <v>1000</v>
      </c>
    </row>
    <row r="515" spans="1:3">
      <c r="A515" t="s">
        <v>2374</v>
      </c>
      <c r="B515">
        <v>100508</v>
      </c>
      <c r="C515">
        <v>1000</v>
      </c>
    </row>
    <row r="516" spans="1:3">
      <c r="A516" t="s">
        <v>2375</v>
      </c>
      <c r="B516">
        <v>100509</v>
      </c>
      <c r="C516">
        <v>1000</v>
      </c>
    </row>
    <row r="517" spans="1:3">
      <c r="A517" t="s">
        <v>2376</v>
      </c>
      <c r="B517">
        <v>100510</v>
      </c>
      <c r="C517">
        <v>1000</v>
      </c>
    </row>
    <row r="518" spans="1:3">
      <c r="A518" t="s">
        <v>2377</v>
      </c>
      <c r="B518">
        <v>100511</v>
      </c>
      <c r="C518">
        <v>1000</v>
      </c>
    </row>
    <row r="519" spans="1:3">
      <c r="A519" t="s">
        <v>2378</v>
      </c>
      <c r="B519">
        <v>100512</v>
      </c>
      <c r="C519">
        <v>1000</v>
      </c>
    </row>
    <row r="520" spans="1:3">
      <c r="A520" t="s">
        <v>2379</v>
      </c>
      <c r="B520">
        <v>100513</v>
      </c>
      <c r="C520">
        <v>1000</v>
      </c>
    </row>
    <row r="521" spans="1:3">
      <c r="A521" t="s">
        <v>2380</v>
      </c>
      <c r="B521">
        <v>100514</v>
      </c>
      <c r="C521">
        <v>1000</v>
      </c>
    </row>
    <row r="522" spans="1:3">
      <c r="A522" t="s">
        <v>2381</v>
      </c>
      <c r="B522">
        <v>100515</v>
      </c>
      <c r="C522">
        <v>1000</v>
      </c>
    </row>
    <row r="523" spans="1:3">
      <c r="A523" t="s">
        <v>2382</v>
      </c>
      <c r="B523">
        <v>100516</v>
      </c>
      <c r="C523">
        <v>1000</v>
      </c>
    </row>
    <row r="524" spans="1:3">
      <c r="A524" t="s">
        <v>2383</v>
      </c>
      <c r="B524">
        <v>100517</v>
      </c>
      <c r="C524">
        <v>1000</v>
      </c>
    </row>
    <row r="525" spans="1:3">
      <c r="A525" t="s">
        <v>2384</v>
      </c>
      <c r="B525">
        <v>100518</v>
      </c>
      <c r="C525">
        <v>1000</v>
      </c>
    </row>
    <row r="526" spans="1:3">
      <c r="A526" t="s">
        <v>2385</v>
      </c>
      <c r="B526">
        <v>100519</v>
      </c>
      <c r="C526">
        <v>1002</v>
      </c>
    </row>
    <row r="527" spans="1:3">
      <c r="A527" t="s">
        <v>2386</v>
      </c>
      <c r="B527">
        <v>100520</v>
      </c>
      <c r="C527">
        <v>1000</v>
      </c>
    </row>
    <row r="528" spans="1:3">
      <c r="A528" t="s">
        <v>2387</v>
      </c>
      <c r="B528">
        <v>100521</v>
      </c>
      <c r="C528">
        <v>1000</v>
      </c>
    </row>
    <row r="529" spans="1:3">
      <c r="A529" t="s">
        <v>704</v>
      </c>
      <c r="B529">
        <v>100522</v>
      </c>
      <c r="C529">
        <v>1000</v>
      </c>
    </row>
    <row r="530" spans="1:3">
      <c r="A530" t="s">
        <v>2388</v>
      </c>
      <c r="B530">
        <v>100523</v>
      </c>
      <c r="C530">
        <v>1000</v>
      </c>
    </row>
    <row r="531" spans="1:3">
      <c r="A531" t="s">
        <v>2389</v>
      </c>
      <c r="B531">
        <v>100524</v>
      </c>
      <c r="C531">
        <v>1000</v>
      </c>
    </row>
    <row r="532" spans="1:3">
      <c r="A532" t="s">
        <v>2390</v>
      </c>
      <c r="B532">
        <v>100525</v>
      </c>
      <c r="C532">
        <v>1000</v>
      </c>
    </row>
    <row r="533" spans="1:3">
      <c r="A533" t="s">
        <v>2391</v>
      </c>
      <c r="B533">
        <v>100526</v>
      </c>
      <c r="C533">
        <v>1000</v>
      </c>
    </row>
    <row r="534" spans="1:3">
      <c r="A534" t="s">
        <v>2392</v>
      </c>
      <c r="B534">
        <v>100527</v>
      </c>
      <c r="C534">
        <v>1000</v>
      </c>
    </row>
    <row r="535" spans="1:3">
      <c r="A535" t="s">
        <v>2393</v>
      </c>
      <c r="B535">
        <v>100528</v>
      </c>
      <c r="C535">
        <v>1000</v>
      </c>
    </row>
    <row r="536" spans="1:3">
      <c r="A536" t="s">
        <v>2394</v>
      </c>
      <c r="B536">
        <v>100529</v>
      </c>
      <c r="C536">
        <v>1000</v>
      </c>
    </row>
    <row r="537" spans="1:3">
      <c r="A537" t="s">
        <v>2395</v>
      </c>
      <c r="B537">
        <v>100530</v>
      </c>
      <c r="C537">
        <v>1000</v>
      </c>
    </row>
    <row r="538" spans="1:3">
      <c r="A538" t="s">
        <v>2396</v>
      </c>
      <c r="B538">
        <v>100531</v>
      </c>
      <c r="C538">
        <v>1000</v>
      </c>
    </row>
    <row r="539" spans="1:3">
      <c r="A539" t="s">
        <v>2397</v>
      </c>
      <c r="B539">
        <v>100532</v>
      </c>
      <c r="C539">
        <v>1000</v>
      </c>
    </row>
    <row r="540" spans="1:3">
      <c r="A540" t="s">
        <v>2398</v>
      </c>
      <c r="B540">
        <v>100533</v>
      </c>
      <c r="C540">
        <v>1000</v>
      </c>
    </row>
    <row r="541" spans="1:3">
      <c r="A541" t="s">
        <v>2399</v>
      </c>
      <c r="B541">
        <v>100534</v>
      </c>
      <c r="C541">
        <v>1000</v>
      </c>
    </row>
    <row r="542" spans="1:3">
      <c r="A542" t="s">
        <v>2400</v>
      </c>
      <c r="B542">
        <v>100535</v>
      </c>
      <c r="C542">
        <v>1000</v>
      </c>
    </row>
    <row r="543" spans="1:3">
      <c r="A543" t="s">
        <v>2401</v>
      </c>
      <c r="B543">
        <v>100536</v>
      </c>
      <c r="C543">
        <v>1000</v>
      </c>
    </row>
    <row r="544" spans="1:3">
      <c r="A544" t="s">
        <v>2402</v>
      </c>
      <c r="B544">
        <v>100537</v>
      </c>
      <c r="C544">
        <v>1000</v>
      </c>
    </row>
    <row r="545" spans="1:3">
      <c r="A545" t="s">
        <v>2403</v>
      </c>
      <c r="B545">
        <v>100538</v>
      </c>
      <c r="C545">
        <v>1000</v>
      </c>
    </row>
    <row r="546" spans="1:3">
      <c r="A546" t="s">
        <v>2404</v>
      </c>
      <c r="B546">
        <v>100539</v>
      </c>
      <c r="C546">
        <v>1000</v>
      </c>
    </row>
    <row r="547" spans="1:3">
      <c r="A547" t="s">
        <v>2405</v>
      </c>
      <c r="B547">
        <v>100540</v>
      </c>
      <c r="C547">
        <v>1000</v>
      </c>
    </row>
    <row r="548" spans="1:3">
      <c r="A548" t="s">
        <v>2406</v>
      </c>
      <c r="B548">
        <v>100541</v>
      </c>
      <c r="C548">
        <v>1000</v>
      </c>
    </row>
    <row r="549" spans="1:3">
      <c r="A549" t="s">
        <v>1476</v>
      </c>
      <c r="B549">
        <v>100542</v>
      </c>
      <c r="C549">
        <v>1000</v>
      </c>
    </row>
    <row r="550" spans="1:3">
      <c r="A550" t="s">
        <v>2407</v>
      </c>
      <c r="B550">
        <v>100543</v>
      </c>
      <c r="C550">
        <v>1000</v>
      </c>
    </row>
    <row r="551" spans="1:3">
      <c r="A551" t="s">
        <v>2408</v>
      </c>
      <c r="B551">
        <v>100544</v>
      </c>
      <c r="C551">
        <v>1000</v>
      </c>
    </row>
    <row r="552" spans="1:3">
      <c r="A552" t="s">
        <v>2409</v>
      </c>
      <c r="B552">
        <v>100545</v>
      </c>
      <c r="C552">
        <v>1000</v>
      </c>
    </row>
    <row r="553" spans="1:3">
      <c r="A553" t="s">
        <v>2410</v>
      </c>
      <c r="B553">
        <v>100546</v>
      </c>
      <c r="C553">
        <v>1000</v>
      </c>
    </row>
    <row r="554" spans="1:3">
      <c r="A554" t="s">
        <v>2411</v>
      </c>
      <c r="B554">
        <v>100547</v>
      </c>
      <c r="C554">
        <v>1000</v>
      </c>
    </row>
    <row r="555" spans="1:3">
      <c r="A555" t="s">
        <v>2412</v>
      </c>
      <c r="B555">
        <v>100548</v>
      </c>
      <c r="C555">
        <v>1000</v>
      </c>
    </row>
    <row r="556" spans="1:3">
      <c r="A556" t="s">
        <v>2413</v>
      </c>
      <c r="B556">
        <v>100549</v>
      </c>
      <c r="C556">
        <v>1000</v>
      </c>
    </row>
    <row r="557" spans="1:3">
      <c r="A557" t="s">
        <v>2414</v>
      </c>
      <c r="B557">
        <v>100550</v>
      </c>
      <c r="C557">
        <v>1000</v>
      </c>
    </row>
    <row r="558" spans="1:3">
      <c r="A558" t="s">
        <v>733</v>
      </c>
      <c r="B558">
        <v>100551</v>
      </c>
      <c r="C558">
        <v>1000</v>
      </c>
    </row>
    <row r="559" spans="1:3">
      <c r="A559" t="s">
        <v>627</v>
      </c>
      <c r="B559">
        <v>100552</v>
      </c>
      <c r="C559">
        <v>1000</v>
      </c>
    </row>
    <row r="560" spans="1:3">
      <c r="A560" t="s">
        <v>590</v>
      </c>
      <c r="B560">
        <v>100553</v>
      </c>
      <c r="C560">
        <v>1000</v>
      </c>
    </row>
    <row r="561" spans="1:3">
      <c r="A561" t="s">
        <v>2415</v>
      </c>
      <c r="B561">
        <v>100554</v>
      </c>
      <c r="C561">
        <v>1000</v>
      </c>
    </row>
    <row r="562" spans="1:3">
      <c r="A562" t="s">
        <v>2416</v>
      </c>
      <c r="B562">
        <v>100555</v>
      </c>
      <c r="C562">
        <v>1000</v>
      </c>
    </row>
    <row r="563" spans="1:3">
      <c r="A563" t="s">
        <v>2417</v>
      </c>
      <c r="B563">
        <v>100556</v>
      </c>
      <c r="C563">
        <v>1000</v>
      </c>
    </row>
    <row r="564" spans="1:3">
      <c r="A564" t="s">
        <v>2418</v>
      </c>
      <c r="B564">
        <v>100557</v>
      </c>
      <c r="C564">
        <v>1000</v>
      </c>
    </row>
    <row r="565" spans="1:3">
      <c r="A565" t="s">
        <v>2419</v>
      </c>
      <c r="B565">
        <v>100558</v>
      </c>
      <c r="C565">
        <v>1000</v>
      </c>
    </row>
    <row r="566" spans="1:3">
      <c r="A566" t="s">
        <v>2420</v>
      </c>
      <c r="B566">
        <v>100559</v>
      </c>
      <c r="C566">
        <v>1000</v>
      </c>
    </row>
    <row r="567" spans="1:3">
      <c r="A567" t="s">
        <v>2421</v>
      </c>
      <c r="B567">
        <v>100560</v>
      </c>
      <c r="C567">
        <v>1000</v>
      </c>
    </row>
    <row r="568" spans="1:3">
      <c r="A568" t="s">
        <v>678</v>
      </c>
      <c r="B568">
        <v>100561</v>
      </c>
      <c r="C568">
        <v>1000</v>
      </c>
    </row>
    <row r="569" spans="1:3">
      <c r="A569" t="s">
        <v>2422</v>
      </c>
      <c r="B569">
        <v>100562</v>
      </c>
      <c r="C569">
        <v>1000</v>
      </c>
    </row>
    <row r="570" spans="1:3">
      <c r="A570" t="s">
        <v>2423</v>
      </c>
      <c r="B570">
        <v>100563</v>
      </c>
      <c r="C570">
        <v>1000</v>
      </c>
    </row>
    <row r="571" spans="1:3">
      <c r="A571" t="s">
        <v>2424</v>
      </c>
      <c r="B571">
        <v>100564</v>
      </c>
      <c r="C571">
        <v>1000</v>
      </c>
    </row>
    <row r="572" spans="1:3">
      <c r="A572" t="s">
        <v>2425</v>
      </c>
      <c r="B572">
        <v>100565</v>
      </c>
      <c r="C572">
        <v>1000</v>
      </c>
    </row>
    <row r="573" spans="1:3">
      <c r="A573" t="s">
        <v>2426</v>
      </c>
      <c r="B573">
        <v>100566</v>
      </c>
      <c r="C573">
        <v>1000</v>
      </c>
    </row>
    <row r="574" spans="1:3">
      <c r="A574" t="s">
        <v>2427</v>
      </c>
      <c r="B574">
        <v>100567</v>
      </c>
      <c r="C574">
        <v>1000</v>
      </c>
    </row>
    <row r="575" spans="1:3">
      <c r="A575" t="s">
        <v>2428</v>
      </c>
      <c r="B575">
        <v>100568</v>
      </c>
      <c r="C575">
        <v>1000</v>
      </c>
    </row>
    <row r="576" spans="1:3">
      <c r="A576" t="s">
        <v>2429</v>
      </c>
      <c r="B576">
        <v>100569</v>
      </c>
      <c r="C576">
        <v>1000</v>
      </c>
    </row>
    <row r="577" spans="1:3">
      <c r="A577" t="s">
        <v>2430</v>
      </c>
      <c r="B577">
        <v>100570</v>
      </c>
      <c r="C577">
        <v>1000</v>
      </c>
    </row>
    <row r="578" spans="1:3">
      <c r="A578" t="s">
        <v>2431</v>
      </c>
      <c r="B578">
        <v>100571</v>
      </c>
      <c r="C578">
        <v>1000</v>
      </c>
    </row>
    <row r="579" spans="1:3">
      <c r="A579" t="s">
        <v>2432</v>
      </c>
      <c r="B579">
        <v>100572</v>
      </c>
      <c r="C579">
        <v>1000</v>
      </c>
    </row>
    <row r="580" spans="1:3">
      <c r="A580" t="s">
        <v>2433</v>
      </c>
      <c r="B580">
        <v>100573</v>
      </c>
      <c r="C580">
        <v>1000</v>
      </c>
    </row>
    <row r="581" spans="1:3">
      <c r="A581" t="s">
        <v>2434</v>
      </c>
      <c r="B581">
        <v>100574</v>
      </c>
      <c r="C581">
        <v>1000</v>
      </c>
    </row>
    <row r="582" spans="1:3">
      <c r="A582" t="s">
        <v>2435</v>
      </c>
      <c r="B582">
        <v>100575</v>
      </c>
      <c r="C582">
        <v>1000</v>
      </c>
    </row>
    <row r="583" spans="1:3">
      <c r="A583" t="s">
        <v>2436</v>
      </c>
      <c r="B583">
        <v>100576</v>
      </c>
      <c r="C583">
        <v>1000</v>
      </c>
    </row>
    <row r="584" spans="1:3">
      <c r="A584" t="s">
        <v>2437</v>
      </c>
      <c r="B584">
        <v>100577</v>
      </c>
      <c r="C584">
        <v>1000</v>
      </c>
    </row>
    <row r="585" spans="1:3">
      <c r="A585" t="s">
        <v>2438</v>
      </c>
      <c r="B585">
        <v>100578</v>
      </c>
      <c r="C585">
        <v>1000</v>
      </c>
    </row>
    <row r="586" spans="1:3">
      <c r="A586" t="s">
        <v>2439</v>
      </c>
      <c r="B586">
        <v>100579</v>
      </c>
      <c r="C586">
        <v>1000</v>
      </c>
    </row>
    <row r="587" spans="1:3">
      <c r="A587" t="s">
        <v>2440</v>
      </c>
      <c r="B587">
        <v>100580</v>
      </c>
      <c r="C587">
        <v>1000</v>
      </c>
    </row>
    <row r="588" spans="1:3">
      <c r="A588" t="s">
        <v>2441</v>
      </c>
      <c r="B588">
        <v>100581</v>
      </c>
      <c r="C588">
        <v>1000</v>
      </c>
    </row>
    <row r="589" spans="1:3">
      <c r="A589" t="s">
        <v>2442</v>
      </c>
      <c r="B589">
        <v>100582</v>
      </c>
      <c r="C589">
        <v>1000</v>
      </c>
    </row>
    <row r="590" spans="1:3">
      <c r="A590" t="s">
        <v>2443</v>
      </c>
      <c r="B590">
        <v>100583</v>
      </c>
      <c r="C590">
        <v>1000</v>
      </c>
    </row>
    <row r="591" spans="1:3">
      <c r="A591" t="s">
        <v>2444</v>
      </c>
      <c r="B591">
        <v>100584</v>
      </c>
      <c r="C591">
        <v>1000</v>
      </c>
    </row>
    <row r="592" spans="1:3">
      <c r="A592" t="s">
        <v>2445</v>
      </c>
      <c r="B592">
        <v>100585</v>
      </c>
      <c r="C592">
        <v>1000</v>
      </c>
    </row>
    <row r="593" spans="1:3">
      <c r="A593" t="s">
        <v>2446</v>
      </c>
      <c r="B593">
        <v>100586</v>
      </c>
      <c r="C593">
        <v>1000</v>
      </c>
    </row>
    <row r="594" spans="1:3">
      <c r="A594" t="s">
        <v>2447</v>
      </c>
      <c r="B594">
        <v>100587</v>
      </c>
      <c r="C594">
        <v>1000</v>
      </c>
    </row>
    <row r="595" spans="1:3">
      <c r="A595" t="s">
        <v>2448</v>
      </c>
      <c r="B595">
        <v>100588</v>
      </c>
      <c r="C595">
        <v>1000</v>
      </c>
    </row>
    <row r="596" spans="1:3">
      <c r="A596" t="s">
        <v>2449</v>
      </c>
      <c r="B596">
        <v>100589</v>
      </c>
      <c r="C596">
        <v>1000</v>
      </c>
    </row>
    <row r="597" spans="1:3">
      <c r="A597" t="s">
        <v>2450</v>
      </c>
      <c r="B597">
        <v>100590</v>
      </c>
      <c r="C597">
        <v>1000</v>
      </c>
    </row>
    <row r="598" spans="1:3">
      <c r="A598" t="s">
        <v>2451</v>
      </c>
      <c r="B598">
        <v>100591</v>
      </c>
      <c r="C598">
        <v>1000</v>
      </c>
    </row>
    <row r="599" spans="1:3">
      <c r="A599" t="s">
        <v>2452</v>
      </c>
      <c r="B599">
        <v>100592</v>
      </c>
      <c r="C599">
        <v>1000</v>
      </c>
    </row>
    <row r="600" spans="1:3">
      <c r="A600" t="s">
        <v>2453</v>
      </c>
      <c r="B600">
        <v>100593</v>
      </c>
      <c r="C600">
        <v>1000</v>
      </c>
    </row>
    <row r="601" spans="1:3">
      <c r="A601" t="s">
        <v>2454</v>
      </c>
      <c r="B601">
        <v>100594</v>
      </c>
      <c r="C601">
        <v>1000</v>
      </c>
    </row>
    <row r="602" spans="1:3">
      <c r="A602" t="s">
        <v>2455</v>
      </c>
      <c r="B602">
        <v>100595</v>
      </c>
      <c r="C602">
        <v>1000</v>
      </c>
    </row>
    <row r="603" spans="1:3">
      <c r="A603" t="s">
        <v>2456</v>
      </c>
      <c r="B603">
        <v>100596</v>
      </c>
      <c r="C603">
        <v>1000</v>
      </c>
    </row>
    <row r="604" spans="1:3">
      <c r="A604" t="s">
        <v>2457</v>
      </c>
      <c r="B604">
        <v>100597</v>
      </c>
      <c r="C604">
        <v>1000</v>
      </c>
    </row>
    <row r="605" spans="1:3">
      <c r="A605" t="s">
        <v>2458</v>
      </c>
      <c r="B605">
        <v>100598</v>
      </c>
      <c r="C605">
        <v>1000</v>
      </c>
    </row>
    <row r="606" spans="1:3">
      <c r="A606" t="s">
        <v>2459</v>
      </c>
      <c r="B606">
        <v>100599</v>
      </c>
      <c r="C606">
        <v>1000</v>
      </c>
    </row>
    <row r="607" spans="1:3">
      <c r="A607" t="s">
        <v>2460</v>
      </c>
      <c r="B607">
        <v>100600</v>
      </c>
      <c r="C607">
        <v>1000</v>
      </c>
    </row>
    <row r="608" spans="1:3">
      <c r="A608" t="s">
        <v>2461</v>
      </c>
      <c r="B608">
        <v>100601</v>
      </c>
      <c r="C608">
        <v>1000</v>
      </c>
    </row>
    <row r="609" spans="1:3">
      <c r="A609" t="s">
        <v>2462</v>
      </c>
      <c r="B609">
        <v>100602</v>
      </c>
      <c r="C609">
        <v>1000</v>
      </c>
    </row>
    <row r="610" spans="1:3">
      <c r="A610" t="s">
        <v>2463</v>
      </c>
      <c r="B610">
        <v>100603</v>
      </c>
      <c r="C610">
        <v>1000</v>
      </c>
    </row>
    <row r="611" spans="1:3">
      <c r="A611" t="s">
        <v>2464</v>
      </c>
      <c r="B611">
        <v>100604</v>
      </c>
      <c r="C611">
        <v>1000</v>
      </c>
    </row>
    <row r="612" spans="1:3">
      <c r="A612" t="s">
        <v>2465</v>
      </c>
      <c r="B612">
        <v>100605</v>
      </c>
      <c r="C612">
        <v>1000</v>
      </c>
    </row>
    <row r="613" spans="1:3">
      <c r="A613" t="s">
        <v>2466</v>
      </c>
      <c r="B613">
        <v>100606</v>
      </c>
      <c r="C613">
        <v>1000</v>
      </c>
    </row>
    <row r="614" spans="1:3">
      <c r="A614" t="s">
        <v>2467</v>
      </c>
      <c r="B614">
        <v>100607</v>
      </c>
      <c r="C614">
        <v>1000</v>
      </c>
    </row>
    <row r="615" spans="1:3">
      <c r="A615" t="s">
        <v>2468</v>
      </c>
      <c r="B615">
        <v>100608</v>
      </c>
      <c r="C615">
        <v>1000</v>
      </c>
    </row>
    <row r="616" spans="1:3">
      <c r="A616" t="s">
        <v>2469</v>
      </c>
      <c r="B616">
        <v>100609</v>
      </c>
      <c r="C616">
        <v>1000</v>
      </c>
    </row>
    <row r="617" spans="1:3">
      <c r="A617" t="s">
        <v>2470</v>
      </c>
      <c r="B617">
        <v>100610</v>
      </c>
      <c r="C617">
        <v>1000</v>
      </c>
    </row>
    <row r="618" spans="1:3">
      <c r="A618" t="s">
        <v>2287</v>
      </c>
      <c r="B618">
        <v>100611</v>
      </c>
      <c r="C618">
        <v>1000</v>
      </c>
    </row>
    <row r="619" spans="1:3">
      <c r="A619" t="s">
        <v>2471</v>
      </c>
      <c r="B619">
        <v>100612</v>
      </c>
      <c r="C619">
        <v>1000</v>
      </c>
    </row>
    <row r="620" spans="1:3">
      <c r="A620" t="s">
        <v>2472</v>
      </c>
      <c r="B620">
        <v>100613</v>
      </c>
      <c r="C620">
        <v>1000</v>
      </c>
    </row>
    <row r="621" spans="1:3">
      <c r="A621" t="s">
        <v>2473</v>
      </c>
      <c r="B621">
        <v>100614</v>
      </c>
      <c r="C621">
        <v>1000</v>
      </c>
    </row>
    <row r="622" spans="1:3">
      <c r="A622" t="s">
        <v>2474</v>
      </c>
      <c r="B622">
        <v>100615</v>
      </c>
      <c r="C622">
        <v>1000</v>
      </c>
    </row>
    <row r="623" spans="1:3">
      <c r="A623" t="s">
        <v>2475</v>
      </c>
      <c r="B623">
        <v>100616</v>
      </c>
      <c r="C623">
        <v>1000</v>
      </c>
    </row>
    <row r="624" spans="1:3">
      <c r="A624" t="s">
        <v>2476</v>
      </c>
      <c r="B624">
        <v>100617</v>
      </c>
      <c r="C624">
        <v>1000</v>
      </c>
    </row>
    <row r="625" spans="1:3">
      <c r="A625" t="s">
        <v>2477</v>
      </c>
      <c r="B625">
        <v>100618</v>
      </c>
      <c r="C625">
        <v>1000</v>
      </c>
    </row>
    <row r="626" spans="1:3">
      <c r="A626" t="s">
        <v>2478</v>
      </c>
      <c r="B626">
        <v>100619</v>
      </c>
      <c r="C626">
        <v>1000</v>
      </c>
    </row>
    <row r="627" spans="1:3">
      <c r="A627" t="s">
        <v>2479</v>
      </c>
      <c r="B627">
        <v>100620</v>
      </c>
      <c r="C627">
        <v>1000</v>
      </c>
    </row>
    <row r="628" spans="1:3">
      <c r="A628" t="s">
        <v>2480</v>
      </c>
      <c r="B628">
        <v>100621</v>
      </c>
      <c r="C628">
        <v>1000</v>
      </c>
    </row>
    <row r="629" spans="1:3">
      <c r="A629" t="s">
        <v>2481</v>
      </c>
      <c r="B629">
        <v>100622</v>
      </c>
      <c r="C629">
        <v>1000</v>
      </c>
    </row>
    <row r="630" spans="1:3">
      <c r="A630" t="s">
        <v>2482</v>
      </c>
      <c r="B630">
        <v>100623</v>
      </c>
      <c r="C630">
        <v>1000</v>
      </c>
    </row>
    <row r="631" spans="1:3">
      <c r="A631" t="s">
        <v>2483</v>
      </c>
      <c r="B631">
        <v>100624</v>
      </c>
      <c r="C631">
        <v>1000</v>
      </c>
    </row>
    <row r="632" spans="1:3">
      <c r="A632" t="s">
        <v>2484</v>
      </c>
      <c r="B632">
        <v>100625</v>
      </c>
      <c r="C632">
        <v>1000</v>
      </c>
    </row>
    <row r="633" spans="1:3">
      <c r="A633" t="s">
        <v>2485</v>
      </c>
      <c r="B633">
        <v>100626</v>
      </c>
      <c r="C633">
        <v>1000</v>
      </c>
    </row>
    <row r="634" spans="1:3">
      <c r="A634" t="s">
        <v>2486</v>
      </c>
      <c r="B634">
        <v>100627</v>
      </c>
      <c r="C634">
        <v>1000</v>
      </c>
    </row>
    <row r="635" spans="1:3">
      <c r="A635" t="s">
        <v>2487</v>
      </c>
      <c r="B635">
        <v>100628</v>
      </c>
      <c r="C635">
        <v>1000</v>
      </c>
    </row>
    <row r="636" spans="1:3">
      <c r="A636" t="s">
        <v>2488</v>
      </c>
      <c r="B636">
        <v>100629</v>
      </c>
      <c r="C636">
        <v>1000</v>
      </c>
    </row>
    <row r="637" spans="1:3">
      <c r="A637" t="s">
        <v>2489</v>
      </c>
      <c r="B637">
        <v>100630</v>
      </c>
      <c r="C637">
        <v>1000</v>
      </c>
    </row>
    <row r="638" spans="1:3">
      <c r="A638" t="s">
        <v>2490</v>
      </c>
      <c r="B638">
        <v>100631</v>
      </c>
      <c r="C638">
        <v>1000</v>
      </c>
    </row>
    <row r="639" spans="1:3">
      <c r="A639" t="s">
        <v>2491</v>
      </c>
      <c r="B639">
        <v>100632</v>
      </c>
      <c r="C639">
        <v>1000</v>
      </c>
    </row>
    <row r="640" spans="1:3">
      <c r="A640" t="s">
        <v>2492</v>
      </c>
      <c r="B640">
        <v>100633</v>
      </c>
      <c r="C640">
        <v>1000</v>
      </c>
    </row>
    <row r="641" spans="1:3">
      <c r="A641" t="s">
        <v>2493</v>
      </c>
      <c r="B641">
        <v>100634</v>
      </c>
      <c r="C641">
        <v>1000</v>
      </c>
    </row>
    <row r="642" spans="1:3">
      <c r="A642" t="s">
        <v>2494</v>
      </c>
      <c r="B642">
        <v>100635</v>
      </c>
      <c r="C642">
        <v>1000</v>
      </c>
    </row>
    <row r="643" spans="1:3">
      <c r="A643" t="s">
        <v>2495</v>
      </c>
      <c r="B643">
        <v>100636</v>
      </c>
      <c r="C643">
        <v>1000</v>
      </c>
    </row>
    <row r="644" spans="1:3">
      <c r="A644" t="s">
        <v>2496</v>
      </c>
      <c r="B644">
        <v>100637</v>
      </c>
      <c r="C644">
        <v>1000</v>
      </c>
    </row>
    <row r="645" spans="1:3">
      <c r="A645" t="s">
        <v>2497</v>
      </c>
      <c r="B645">
        <v>100638</v>
      </c>
      <c r="C645">
        <v>1000</v>
      </c>
    </row>
    <row r="646" spans="1:3">
      <c r="A646" t="s">
        <v>2498</v>
      </c>
      <c r="B646">
        <v>100639</v>
      </c>
      <c r="C646">
        <v>1000</v>
      </c>
    </row>
    <row r="647" spans="1:3">
      <c r="A647" t="s">
        <v>2499</v>
      </c>
      <c r="B647">
        <v>100640</v>
      </c>
      <c r="C647">
        <v>1000</v>
      </c>
    </row>
    <row r="648" spans="1:3">
      <c r="A648" t="s">
        <v>717</v>
      </c>
      <c r="B648">
        <v>100641</v>
      </c>
      <c r="C648">
        <v>1000</v>
      </c>
    </row>
    <row r="649" spans="1:3">
      <c r="A649" t="s">
        <v>2500</v>
      </c>
      <c r="B649">
        <v>100642</v>
      </c>
      <c r="C649">
        <v>1000</v>
      </c>
    </row>
    <row r="650" spans="1:3">
      <c r="A650" t="s">
        <v>2501</v>
      </c>
      <c r="B650">
        <v>100643</v>
      </c>
      <c r="C650">
        <v>1000</v>
      </c>
    </row>
    <row r="651" spans="1:3">
      <c r="A651" t="s">
        <v>2502</v>
      </c>
      <c r="B651">
        <v>100644</v>
      </c>
      <c r="C651">
        <v>1000</v>
      </c>
    </row>
    <row r="652" spans="1:3">
      <c r="A652" t="s">
        <v>2503</v>
      </c>
      <c r="B652">
        <v>100645</v>
      </c>
      <c r="C652">
        <v>1000</v>
      </c>
    </row>
    <row r="653" spans="1:3">
      <c r="A653" t="s">
        <v>2504</v>
      </c>
      <c r="B653">
        <v>100646</v>
      </c>
      <c r="C653">
        <v>1000</v>
      </c>
    </row>
    <row r="654" spans="1:3">
      <c r="A654" t="s">
        <v>2505</v>
      </c>
      <c r="B654">
        <v>100647</v>
      </c>
      <c r="C654">
        <v>1000</v>
      </c>
    </row>
    <row r="655" spans="1:3">
      <c r="A655" t="s">
        <v>2506</v>
      </c>
      <c r="B655">
        <v>100648</v>
      </c>
      <c r="C655">
        <v>1000</v>
      </c>
    </row>
    <row r="656" spans="1:3">
      <c r="A656" t="s">
        <v>2507</v>
      </c>
      <c r="B656">
        <v>100649</v>
      </c>
      <c r="C656">
        <v>1000</v>
      </c>
    </row>
    <row r="657" spans="1:3">
      <c r="A657" t="s">
        <v>2508</v>
      </c>
      <c r="B657">
        <v>100650</v>
      </c>
      <c r="C657">
        <v>1000</v>
      </c>
    </row>
    <row r="658" spans="1:3">
      <c r="A658" t="s">
        <v>2509</v>
      </c>
      <c r="B658">
        <v>100651</v>
      </c>
      <c r="C658">
        <v>1000</v>
      </c>
    </row>
    <row r="659" spans="1:3">
      <c r="A659" t="s">
        <v>2510</v>
      </c>
      <c r="B659">
        <v>100652</v>
      </c>
      <c r="C659">
        <v>1000</v>
      </c>
    </row>
    <row r="660" spans="1:3">
      <c r="A660" t="s">
        <v>2511</v>
      </c>
      <c r="B660">
        <v>100653</v>
      </c>
      <c r="C660">
        <v>1000</v>
      </c>
    </row>
    <row r="661" spans="1:3">
      <c r="A661" t="s">
        <v>2512</v>
      </c>
      <c r="B661">
        <v>100654</v>
      </c>
      <c r="C661">
        <v>1000</v>
      </c>
    </row>
    <row r="662" spans="1:3">
      <c r="A662" t="s">
        <v>2513</v>
      </c>
      <c r="B662">
        <v>100655</v>
      </c>
      <c r="C662">
        <v>1000</v>
      </c>
    </row>
    <row r="663" spans="1:3">
      <c r="A663" t="s">
        <v>2514</v>
      </c>
      <c r="B663">
        <v>100656</v>
      </c>
      <c r="C663">
        <v>1000</v>
      </c>
    </row>
    <row r="664" spans="1:3">
      <c r="A664" t="s">
        <v>2515</v>
      </c>
      <c r="B664">
        <v>100657</v>
      </c>
      <c r="C664">
        <v>1000</v>
      </c>
    </row>
    <row r="665" spans="1:3">
      <c r="A665" t="s">
        <v>2516</v>
      </c>
      <c r="B665">
        <v>100658</v>
      </c>
      <c r="C665">
        <v>1000</v>
      </c>
    </row>
    <row r="666" spans="1:3">
      <c r="A666" t="s">
        <v>2517</v>
      </c>
      <c r="B666">
        <v>100659</v>
      </c>
      <c r="C666">
        <v>1000</v>
      </c>
    </row>
    <row r="667" spans="1:3">
      <c r="A667" t="s">
        <v>2518</v>
      </c>
      <c r="B667">
        <v>100660</v>
      </c>
      <c r="C667">
        <v>1000</v>
      </c>
    </row>
    <row r="668" spans="1:3">
      <c r="A668" t="s">
        <v>2519</v>
      </c>
      <c r="B668">
        <v>100661</v>
      </c>
      <c r="C668">
        <v>1000</v>
      </c>
    </row>
    <row r="669" spans="1:3">
      <c r="A669" t="s">
        <v>2520</v>
      </c>
      <c r="B669">
        <v>100662</v>
      </c>
      <c r="C669">
        <v>1000</v>
      </c>
    </row>
    <row r="670" spans="1:3">
      <c r="A670" t="s">
        <v>2521</v>
      </c>
      <c r="B670">
        <v>100663</v>
      </c>
      <c r="C670">
        <v>1000</v>
      </c>
    </row>
    <row r="671" spans="1:3">
      <c r="A671" t="s">
        <v>2522</v>
      </c>
      <c r="B671">
        <v>100664</v>
      </c>
      <c r="C671">
        <v>1000</v>
      </c>
    </row>
    <row r="672" spans="1:3">
      <c r="A672" t="s">
        <v>2523</v>
      </c>
      <c r="B672">
        <v>100665</v>
      </c>
      <c r="C672">
        <v>1000</v>
      </c>
    </row>
    <row r="673" spans="1:3">
      <c r="A673" t="s">
        <v>2524</v>
      </c>
      <c r="B673">
        <v>100666</v>
      </c>
      <c r="C673">
        <v>1000</v>
      </c>
    </row>
    <row r="674" spans="1:3">
      <c r="A674" t="s">
        <v>2525</v>
      </c>
      <c r="B674">
        <v>100667</v>
      </c>
      <c r="C674">
        <v>1000</v>
      </c>
    </row>
    <row r="675" spans="1:3">
      <c r="A675" t="s">
        <v>2526</v>
      </c>
      <c r="B675">
        <v>100668</v>
      </c>
      <c r="C675">
        <v>1000</v>
      </c>
    </row>
    <row r="676" spans="1:3">
      <c r="A676" t="s">
        <v>2527</v>
      </c>
      <c r="B676">
        <v>100669</v>
      </c>
      <c r="C676">
        <v>1000</v>
      </c>
    </row>
    <row r="677" spans="1:3">
      <c r="A677" t="s">
        <v>2528</v>
      </c>
      <c r="B677">
        <v>100670</v>
      </c>
      <c r="C677">
        <v>1000</v>
      </c>
    </row>
    <row r="678" spans="1:3">
      <c r="A678" t="s">
        <v>2529</v>
      </c>
      <c r="B678">
        <v>100671</v>
      </c>
      <c r="C678">
        <v>1000</v>
      </c>
    </row>
    <row r="679" spans="1:3">
      <c r="A679" t="s">
        <v>2530</v>
      </c>
      <c r="B679">
        <v>100672</v>
      </c>
      <c r="C679">
        <v>1000</v>
      </c>
    </row>
    <row r="680" spans="1:3">
      <c r="A680" t="s">
        <v>2531</v>
      </c>
      <c r="B680">
        <v>100673</v>
      </c>
      <c r="C680">
        <v>1000</v>
      </c>
    </row>
    <row r="681" spans="1:3">
      <c r="A681" t="s">
        <v>2532</v>
      </c>
      <c r="B681">
        <v>100674</v>
      </c>
      <c r="C681">
        <v>1000</v>
      </c>
    </row>
    <row r="682" spans="1:3">
      <c r="A682" t="s">
        <v>2533</v>
      </c>
      <c r="B682">
        <v>100675</v>
      </c>
      <c r="C682">
        <v>1000</v>
      </c>
    </row>
    <row r="683" spans="1:3">
      <c r="A683" t="s">
        <v>2534</v>
      </c>
      <c r="B683">
        <v>100676</v>
      </c>
      <c r="C683">
        <v>1000</v>
      </c>
    </row>
    <row r="684" spans="1:3">
      <c r="A684" t="s">
        <v>677</v>
      </c>
      <c r="B684">
        <v>100677</v>
      </c>
      <c r="C684">
        <v>1000</v>
      </c>
    </row>
    <row r="685" spans="1:3">
      <c r="A685" t="s">
        <v>2535</v>
      </c>
      <c r="B685">
        <v>100678</v>
      </c>
      <c r="C685">
        <v>1000</v>
      </c>
    </row>
    <row r="686" spans="1:3">
      <c r="A686" t="s">
        <v>2536</v>
      </c>
      <c r="B686">
        <v>100679</v>
      </c>
      <c r="C686">
        <v>1000</v>
      </c>
    </row>
    <row r="687" spans="1:3">
      <c r="A687" t="s">
        <v>2537</v>
      </c>
      <c r="B687">
        <v>100680</v>
      </c>
      <c r="C687">
        <v>1000</v>
      </c>
    </row>
    <row r="688" spans="1:3">
      <c r="A688" t="s">
        <v>2538</v>
      </c>
      <c r="B688">
        <v>100681</v>
      </c>
      <c r="C688">
        <v>1000</v>
      </c>
    </row>
    <row r="689" spans="1:3">
      <c r="A689" t="s">
        <v>2539</v>
      </c>
      <c r="B689">
        <v>100682</v>
      </c>
      <c r="C689">
        <v>1000</v>
      </c>
    </row>
    <row r="690" spans="1:3">
      <c r="A690" t="s">
        <v>2540</v>
      </c>
      <c r="B690">
        <v>100683</v>
      </c>
      <c r="C690">
        <v>1000</v>
      </c>
    </row>
    <row r="691" spans="1:3">
      <c r="A691" t="s">
        <v>2541</v>
      </c>
      <c r="B691">
        <v>100684</v>
      </c>
      <c r="C691">
        <v>1000</v>
      </c>
    </row>
    <row r="692" spans="1:3">
      <c r="A692" t="s">
        <v>2542</v>
      </c>
      <c r="B692">
        <v>100685</v>
      </c>
      <c r="C692">
        <v>1000</v>
      </c>
    </row>
    <row r="693" spans="1:3">
      <c r="A693" t="s">
        <v>2543</v>
      </c>
      <c r="B693">
        <v>100686</v>
      </c>
      <c r="C693">
        <v>1000</v>
      </c>
    </row>
    <row r="694" spans="1:3">
      <c r="A694" t="s">
        <v>2544</v>
      </c>
      <c r="B694">
        <v>100687</v>
      </c>
      <c r="C694">
        <v>1000</v>
      </c>
    </row>
    <row r="695" spans="1:3">
      <c r="A695" t="s">
        <v>2545</v>
      </c>
      <c r="B695">
        <v>100688</v>
      </c>
      <c r="C695">
        <v>1000</v>
      </c>
    </row>
    <row r="696" spans="1:3">
      <c r="A696" t="s">
        <v>2546</v>
      </c>
      <c r="B696">
        <v>100689</v>
      </c>
      <c r="C696">
        <v>1000</v>
      </c>
    </row>
    <row r="697" spans="1:3">
      <c r="A697" t="s">
        <v>2547</v>
      </c>
      <c r="B697">
        <v>100690</v>
      </c>
      <c r="C697">
        <v>1000</v>
      </c>
    </row>
    <row r="698" spans="1:3">
      <c r="A698" t="s">
        <v>2548</v>
      </c>
      <c r="B698">
        <v>100691</v>
      </c>
      <c r="C698">
        <v>1000</v>
      </c>
    </row>
    <row r="699" spans="1:3">
      <c r="A699" t="s">
        <v>2549</v>
      </c>
      <c r="B699">
        <v>100692</v>
      </c>
      <c r="C699">
        <v>1000</v>
      </c>
    </row>
    <row r="700" spans="1:3">
      <c r="A700" t="s">
        <v>2550</v>
      </c>
      <c r="B700">
        <v>100693</v>
      </c>
      <c r="C700">
        <v>1000</v>
      </c>
    </row>
    <row r="701" spans="1:3">
      <c r="A701" t="s">
        <v>2551</v>
      </c>
      <c r="B701">
        <v>100694</v>
      </c>
      <c r="C701">
        <v>1000</v>
      </c>
    </row>
    <row r="702" spans="1:3">
      <c r="A702" t="s">
        <v>2552</v>
      </c>
      <c r="B702">
        <v>100695</v>
      </c>
      <c r="C702">
        <v>1000</v>
      </c>
    </row>
    <row r="703" spans="1:3">
      <c r="A703" t="s">
        <v>2553</v>
      </c>
      <c r="B703">
        <v>100696</v>
      </c>
      <c r="C703">
        <v>1000</v>
      </c>
    </row>
    <row r="704" spans="1:3">
      <c r="A704" t="s">
        <v>2554</v>
      </c>
      <c r="B704">
        <v>100697</v>
      </c>
      <c r="C704">
        <v>1000</v>
      </c>
    </row>
    <row r="705" spans="1:3">
      <c r="A705" t="s">
        <v>2555</v>
      </c>
      <c r="B705">
        <v>100698</v>
      </c>
      <c r="C705">
        <v>1000</v>
      </c>
    </row>
    <row r="706" spans="1:3">
      <c r="A706" t="s">
        <v>2556</v>
      </c>
      <c r="B706">
        <v>100699</v>
      </c>
      <c r="C706">
        <v>1000</v>
      </c>
    </row>
    <row r="707" spans="1:3">
      <c r="A707" t="s">
        <v>2557</v>
      </c>
      <c r="B707">
        <v>100700</v>
      </c>
      <c r="C707">
        <v>1000</v>
      </c>
    </row>
    <row r="708" spans="1:3">
      <c r="A708" t="s">
        <v>2558</v>
      </c>
      <c r="B708">
        <v>100701</v>
      </c>
      <c r="C708">
        <v>1000</v>
      </c>
    </row>
    <row r="709" spans="1:3">
      <c r="A709" t="s">
        <v>2559</v>
      </c>
      <c r="B709">
        <v>100702</v>
      </c>
      <c r="C709">
        <v>1000</v>
      </c>
    </row>
    <row r="710" spans="1:3">
      <c r="A710" t="s">
        <v>2560</v>
      </c>
      <c r="B710">
        <v>100703</v>
      </c>
      <c r="C710">
        <v>1000</v>
      </c>
    </row>
    <row r="711" spans="1:3">
      <c r="A711" t="s">
        <v>2561</v>
      </c>
      <c r="B711">
        <v>100704</v>
      </c>
      <c r="C711">
        <v>1000</v>
      </c>
    </row>
    <row r="712" spans="1:3">
      <c r="A712" t="s">
        <v>2562</v>
      </c>
      <c r="B712">
        <v>100705</v>
      </c>
      <c r="C712">
        <v>1000</v>
      </c>
    </row>
    <row r="713" spans="1:3">
      <c r="A713" t="s">
        <v>2563</v>
      </c>
      <c r="B713">
        <v>100706</v>
      </c>
      <c r="C713">
        <v>1000</v>
      </c>
    </row>
    <row r="714" spans="1:3">
      <c r="A714" t="s">
        <v>2564</v>
      </c>
      <c r="B714">
        <v>100707</v>
      </c>
      <c r="C714">
        <v>1000</v>
      </c>
    </row>
    <row r="715" spans="1:3">
      <c r="A715" t="s">
        <v>2565</v>
      </c>
      <c r="B715">
        <v>100708</v>
      </c>
      <c r="C715">
        <v>1000</v>
      </c>
    </row>
    <row r="716" spans="1:3">
      <c r="A716" t="s">
        <v>2566</v>
      </c>
      <c r="B716">
        <v>100709</v>
      </c>
      <c r="C716">
        <v>1000</v>
      </c>
    </row>
    <row r="717" spans="1:3">
      <c r="A717" t="s">
        <v>2567</v>
      </c>
      <c r="B717">
        <v>100710</v>
      </c>
      <c r="C717">
        <v>1000</v>
      </c>
    </row>
    <row r="718" spans="1:3">
      <c r="A718" t="s">
        <v>2568</v>
      </c>
      <c r="B718">
        <v>100711</v>
      </c>
      <c r="C718">
        <v>1000</v>
      </c>
    </row>
    <row r="719" spans="1:3">
      <c r="A719" t="s">
        <v>2569</v>
      </c>
      <c r="B719">
        <v>100712</v>
      </c>
      <c r="C719">
        <v>1000</v>
      </c>
    </row>
    <row r="720" spans="1:3">
      <c r="A720" t="s">
        <v>2570</v>
      </c>
      <c r="B720">
        <v>100713</v>
      </c>
      <c r="C720">
        <v>1000</v>
      </c>
    </row>
    <row r="721" spans="1:3">
      <c r="A721" t="s">
        <v>2571</v>
      </c>
      <c r="B721">
        <v>100714</v>
      </c>
      <c r="C721">
        <v>1000</v>
      </c>
    </row>
    <row r="722" spans="1:3">
      <c r="A722" t="s">
        <v>2572</v>
      </c>
      <c r="B722">
        <v>100715</v>
      </c>
      <c r="C722">
        <v>1000</v>
      </c>
    </row>
    <row r="723" spans="1:3">
      <c r="A723" t="s">
        <v>2573</v>
      </c>
      <c r="B723">
        <v>100716</v>
      </c>
      <c r="C723">
        <v>1000</v>
      </c>
    </row>
    <row r="724" spans="1:3">
      <c r="A724" t="s">
        <v>2574</v>
      </c>
      <c r="B724">
        <v>100717</v>
      </c>
      <c r="C724">
        <v>1000</v>
      </c>
    </row>
    <row r="725" spans="1:3">
      <c r="A725" t="s">
        <v>2575</v>
      </c>
      <c r="B725">
        <v>100718</v>
      </c>
      <c r="C725">
        <v>1000</v>
      </c>
    </row>
    <row r="726" spans="1:3">
      <c r="A726" t="s">
        <v>2576</v>
      </c>
      <c r="B726">
        <v>100719</v>
      </c>
      <c r="C726">
        <v>1000</v>
      </c>
    </row>
    <row r="727" spans="1:3">
      <c r="A727" t="s">
        <v>2577</v>
      </c>
      <c r="B727">
        <v>100720</v>
      </c>
      <c r="C727">
        <v>1000</v>
      </c>
    </row>
    <row r="728" spans="1:3">
      <c r="A728" t="s">
        <v>2578</v>
      </c>
      <c r="B728">
        <v>100721</v>
      </c>
      <c r="C728">
        <v>1000</v>
      </c>
    </row>
    <row r="729" spans="1:3">
      <c r="A729" t="s">
        <v>2579</v>
      </c>
      <c r="B729">
        <v>100722</v>
      </c>
      <c r="C729">
        <v>1000</v>
      </c>
    </row>
    <row r="730" spans="1:3">
      <c r="A730" t="s">
        <v>2580</v>
      </c>
      <c r="B730">
        <v>100723</v>
      </c>
      <c r="C730">
        <v>1000</v>
      </c>
    </row>
    <row r="731" spans="1:3">
      <c r="A731" t="s">
        <v>2581</v>
      </c>
      <c r="B731">
        <v>100724</v>
      </c>
      <c r="C731">
        <v>1000</v>
      </c>
    </row>
    <row r="732" spans="1:3">
      <c r="A732" t="s">
        <v>2582</v>
      </c>
      <c r="B732">
        <v>100725</v>
      </c>
      <c r="C732">
        <v>1000</v>
      </c>
    </row>
    <row r="733" spans="1:3">
      <c r="A733" t="s">
        <v>2583</v>
      </c>
      <c r="B733">
        <v>100726</v>
      </c>
      <c r="C733">
        <v>1000</v>
      </c>
    </row>
    <row r="734" spans="1:3">
      <c r="A734" t="s">
        <v>2584</v>
      </c>
      <c r="B734">
        <v>100727</v>
      </c>
      <c r="C734">
        <v>1000</v>
      </c>
    </row>
    <row r="735" spans="1:3">
      <c r="A735" t="s">
        <v>2585</v>
      </c>
      <c r="B735">
        <v>100728</v>
      </c>
      <c r="C735">
        <v>1000</v>
      </c>
    </row>
    <row r="736" spans="1:3">
      <c r="A736" t="s">
        <v>2586</v>
      </c>
      <c r="B736">
        <v>100729</v>
      </c>
      <c r="C736">
        <v>1000</v>
      </c>
    </row>
    <row r="737" spans="1:3">
      <c r="A737" t="s">
        <v>2587</v>
      </c>
      <c r="B737">
        <v>100731</v>
      </c>
      <c r="C737">
        <v>1000</v>
      </c>
    </row>
    <row r="738" spans="1:3">
      <c r="A738" t="s">
        <v>2588</v>
      </c>
      <c r="B738">
        <v>100732</v>
      </c>
      <c r="C738">
        <v>1000</v>
      </c>
    </row>
    <row r="739" spans="1:3">
      <c r="A739" t="s">
        <v>2589</v>
      </c>
      <c r="B739">
        <v>100733</v>
      </c>
      <c r="C739">
        <v>1000</v>
      </c>
    </row>
    <row r="740" spans="1:3">
      <c r="A740" t="s">
        <v>2590</v>
      </c>
      <c r="B740">
        <v>100734</v>
      </c>
      <c r="C740">
        <v>1000</v>
      </c>
    </row>
    <row r="741" spans="1:3">
      <c r="A741" t="s">
        <v>2591</v>
      </c>
      <c r="B741">
        <v>100735</v>
      </c>
      <c r="C741">
        <v>1000</v>
      </c>
    </row>
    <row r="742" spans="1:3">
      <c r="A742" t="s">
        <v>2592</v>
      </c>
      <c r="B742">
        <v>100736</v>
      </c>
      <c r="C742">
        <v>1000</v>
      </c>
    </row>
    <row r="743" spans="1:3">
      <c r="A743" t="s">
        <v>2593</v>
      </c>
      <c r="B743">
        <v>100737</v>
      </c>
      <c r="C743">
        <v>1000</v>
      </c>
    </row>
    <row r="744" spans="1:3">
      <c r="A744" t="s">
        <v>2594</v>
      </c>
      <c r="B744">
        <v>100738</v>
      </c>
      <c r="C744">
        <v>1000</v>
      </c>
    </row>
    <row r="745" spans="1:3">
      <c r="A745" t="s">
        <v>2595</v>
      </c>
      <c r="B745">
        <v>100739</v>
      </c>
      <c r="C745">
        <v>1000</v>
      </c>
    </row>
    <row r="746" spans="1:3">
      <c r="A746" t="s">
        <v>2596</v>
      </c>
      <c r="B746">
        <v>100740</v>
      </c>
      <c r="C746">
        <v>1000</v>
      </c>
    </row>
    <row r="747" spans="1:3">
      <c r="A747" t="s">
        <v>2597</v>
      </c>
      <c r="B747">
        <v>100741</v>
      </c>
      <c r="C747">
        <v>1000</v>
      </c>
    </row>
    <row r="748" spans="1:3">
      <c r="A748" t="s">
        <v>2598</v>
      </c>
      <c r="B748">
        <v>100742</v>
      </c>
      <c r="C748">
        <v>1000</v>
      </c>
    </row>
    <row r="749" spans="1:3">
      <c r="A749" t="s">
        <v>2599</v>
      </c>
      <c r="B749">
        <v>100743</v>
      </c>
      <c r="C749">
        <v>1000</v>
      </c>
    </row>
    <row r="750" spans="1:3">
      <c r="A750" t="s">
        <v>2600</v>
      </c>
      <c r="B750">
        <v>100744</v>
      </c>
      <c r="C750">
        <v>1000</v>
      </c>
    </row>
    <row r="751" spans="1:3">
      <c r="A751" t="s">
        <v>2601</v>
      </c>
      <c r="B751">
        <v>100745</v>
      </c>
      <c r="C751">
        <v>1000</v>
      </c>
    </row>
    <row r="752" spans="1:3">
      <c r="A752" t="s">
        <v>2602</v>
      </c>
      <c r="B752">
        <v>100746</v>
      </c>
      <c r="C752">
        <v>1000</v>
      </c>
    </row>
    <row r="753" spans="1:3">
      <c r="A753" t="s">
        <v>2603</v>
      </c>
      <c r="B753">
        <v>100747</v>
      </c>
      <c r="C753">
        <v>1000</v>
      </c>
    </row>
    <row r="754" spans="1:3">
      <c r="A754" t="s">
        <v>2604</v>
      </c>
      <c r="B754">
        <v>100748</v>
      </c>
      <c r="C754">
        <v>1000</v>
      </c>
    </row>
    <row r="755" spans="1:3">
      <c r="A755" t="s">
        <v>2605</v>
      </c>
      <c r="B755">
        <v>100749</v>
      </c>
      <c r="C755">
        <v>1000</v>
      </c>
    </row>
    <row r="756" spans="1:3">
      <c r="A756" t="s">
        <v>2606</v>
      </c>
      <c r="B756">
        <v>100750</v>
      </c>
      <c r="C756">
        <v>1000</v>
      </c>
    </row>
    <row r="757" spans="1:3">
      <c r="A757" t="s">
        <v>2607</v>
      </c>
      <c r="B757">
        <v>100751</v>
      </c>
      <c r="C757">
        <v>1000</v>
      </c>
    </row>
    <row r="758" spans="1:3">
      <c r="A758" t="s">
        <v>2608</v>
      </c>
      <c r="B758">
        <v>100752</v>
      </c>
      <c r="C758">
        <v>1000</v>
      </c>
    </row>
    <row r="759" spans="1:3">
      <c r="A759" t="s">
        <v>2609</v>
      </c>
      <c r="B759">
        <v>100753</v>
      </c>
      <c r="C759">
        <v>1000</v>
      </c>
    </row>
    <row r="760" spans="1:3">
      <c r="A760" t="s">
        <v>2610</v>
      </c>
      <c r="B760">
        <v>100754</v>
      </c>
      <c r="C760">
        <v>1000</v>
      </c>
    </row>
    <row r="761" spans="1:3">
      <c r="A761" t="s">
        <v>2611</v>
      </c>
      <c r="B761">
        <v>100755</v>
      </c>
      <c r="C761">
        <v>1000</v>
      </c>
    </row>
    <row r="762" spans="1:3">
      <c r="A762" t="s">
        <v>2612</v>
      </c>
      <c r="B762">
        <v>100756</v>
      </c>
      <c r="C762">
        <v>1000</v>
      </c>
    </row>
    <row r="763" spans="1:3">
      <c r="A763" t="s">
        <v>2613</v>
      </c>
      <c r="B763">
        <v>100757</v>
      </c>
      <c r="C763">
        <v>1000</v>
      </c>
    </row>
    <row r="764" spans="1:3">
      <c r="A764" t="s">
        <v>2614</v>
      </c>
      <c r="B764">
        <v>100758</v>
      </c>
      <c r="C764">
        <v>1000</v>
      </c>
    </row>
    <row r="765" spans="1:3">
      <c r="A765" t="s">
        <v>2615</v>
      </c>
      <c r="B765">
        <v>100759</v>
      </c>
      <c r="C765">
        <v>1000</v>
      </c>
    </row>
    <row r="766" spans="1:3">
      <c r="A766" t="s">
        <v>2616</v>
      </c>
      <c r="B766">
        <v>100760</v>
      </c>
      <c r="C766">
        <v>1000</v>
      </c>
    </row>
    <row r="767" spans="1:3">
      <c r="A767" t="s">
        <v>2617</v>
      </c>
      <c r="B767">
        <v>100761</v>
      </c>
      <c r="C767">
        <v>1000</v>
      </c>
    </row>
    <row r="768" spans="1:3">
      <c r="A768" t="s">
        <v>659</v>
      </c>
      <c r="B768">
        <v>100762</v>
      </c>
      <c r="C768">
        <v>1000</v>
      </c>
    </row>
    <row r="769" spans="1:3">
      <c r="A769" t="s">
        <v>2618</v>
      </c>
      <c r="B769">
        <v>100763</v>
      </c>
      <c r="C769">
        <v>1000</v>
      </c>
    </row>
    <row r="770" spans="1:3">
      <c r="A770" t="s">
        <v>2619</v>
      </c>
      <c r="B770">
        <v>100764</v>
      </c>
      <c r="C770">
        <v>1000</v>
      </c>
    </row>
    <row r="771" spans="1:3">
      <c r="A771" t="s">
        <v>2620</v>
      </c>
      <c r="B771">
        <v>100765</v>
      </c>
      <c r="C771">
        <v>1000</v>
      </c>
    </row>
    <row r="772" spans="1:3">
      <c r="A772" t="s">
        <v>2621</v>
      </c>
      <c r="B772">
        <v>100766</v>
      </c>
      <c r="C772">
        <v>1000</v>
      </c>
    </row>
    <row r="773" spans="1:3">
      <c r="A773" t="s">
        <v>2622</v>
      </c>
      <c r="B773">
        <v>100767</v>
      </c>
      <c r="C773">
        <v>1000</v>
      </c>
    </row>
    <row r="774" spans="1:3">
      <c r="A774" t="s">
        <v>2623</v>
      </c>
      <c r="B774">
        <v>100768</v>
      </c>
      <c r="C774">
        <v>1000</v>
      </c>
    </row>
    <row r="775" spans="1:3">
      <c r="A775" t="s">
        <v>2624</v>
      </c>
      <c r="B775">
        <v>100769</v>
      </c>
      <c r="C775">
        <v>1000</v>
      </c>
    </row>
    <row r="776" spans="1:3">
      <c r="A776" t="s">
        <v>2625</v>
      </c>
      <c r="B776">
        <v>100770</v>
      </c>
      <c r="C776">
        <v>1000</v>
      </c>
    </row>
    <row r="777" spans="1:3">
      <c r="A777" t="s">
        <v>2626</v>
      </c>
      <c r="B777">
        <v>100771</v>
      </c>
      <c r="C777">
        <v>1000</v>
      </c>
    </row>
    <row r="778" spans="1:3">
      <c r="A778" t="s">
        <v>2627</v>
      </c>
      <c r="B778">
        <v>100772</v>
      </c>
      <c r="C778">
        <v>1000</v>
      </c>
    </row>
    <row r="779" spans="1:3">
      <c r="A779" t="s">
        <v>2628</v>
      </c>
      <c r="B779">
        <v>100773</v>
      </c>
      <c r="C779">
        <v>1000</v>
      </c>
    </row>
    <row r="780" spans="1:3">
      <c r="A780" t="s">
        <v>618</v>
      </c>
      <c r="B780">
        <v>100774</v>
      </c>
      <c r="C780">
        <v>1000</v>
      </c>
    </row>
    <row r="781" spans="1:3">
      <c r="A781" t="s">
        <v>2629</v>
      </c>
      <c r="B781">
        <v>100775</v>
      </c>
      <c r="C781">
        <v>1000</v>
      </c>
    </row>
    <row r="782" spans="1:3">
      <c r="A782" t="s">
        <v>2630</v>
      </c>
      <c r="B782">
        <v>100776</v>
      </c>
      <c r="C782">
        <v>1000</v>
      </c>
    </row>
    <row r="783" spans="1:3">
      <c r="A783" t="s">
        <v>2631</v>
      </c>
      <c r="B783">
        <v>100777</v>
      </c>
      <c r="C783">
        <v>1000</v>
      </c>
    </row>
    <row r="784" spans="1:3">
      <c r="A784" t="s">
        <v>2632</v>
      </c>
      <c r="B784">
        <v>100778</v>
      </c>
      <c r="C784">
        <v>1000</v>
      </c>
    </row>
    <row r="785" spans="1:3">
      <c r="A785" t="s">
        <v>1895</v>
      </c>
      <c r="B785">
        <v>100779</v>
      </c>
      <c r="C785">
        <v>1005</v>
      </c>
    </row>
    <row r="786" spans="1:3">
      <c r="A786" t="s">
        <v>2633</v>
      </c>
      <c r="B786">
        <v>100780</v>
      </c>
      <c r="C786">
        <v>1000</v>
      </c>
    </row>
    <row r="787" spans="1:3">
      <c r="A787" t="s">
        <v>2634</v>
      </c>
      <c r="B787">
        <v>100781</v>
      </c>
      <c r="C787">
        <v>1000</v>
      </c>
    </row>
    <row r="788" spans="1:3">
      <c r="A788" t="s">
        <v>2635</v>
      </c>
      <c r="B788">
        <v>100782</v>
      </c>
      <c r="C788">
        <v>1000</v>
      </c>
    </row>
    <row r="789" spans="1:3">
      <c r="A789" t="s">
        <v>2636</v>
      </c>
      <c r="B789">
        <v>100783</v>
      </c>
      <c r="C789">
        <v>1000</v>
      </c>
    </row>
    <row r="790" spans="1:3">
      <c r="A790" t="s">
        <v>2637</v>
      </c>
      <c r="B790">
        <v>100784</v>
      </c>
      <c r="C790">
        <v>1000</v>
      </c>
    </row>
    <row r="791" spans="1:3">
      <c r="A791" t="s">
        <v>2638</v>
      </c>
      <c r="B791">
        <v>100785</v>
      </c>
      <c r="C791">
        <v>1000</v>
      </c>
    </row>
    <row r="792" spans="1:3">
      <c r="A792" t="s">
        <v>2639</v>
      </c>
      <c r="B792">
        <v>100786</v>
      </c>
      <c r="C792">
        <v>1000</v>
      </c>
    </row>
    <row r="793" spans="1:3">
      <c r="A793" t="s">
        <v>2640</v>
      </c>
      <c r="B793">
        <v>100787</v>
      </c>
      <c r="C793">
        <v>1000</v>
      </c>
    </row>
    <row r="794" spans="1:3">
      <c r="A794" t="s">
        <v>2641</v>
      </c>
      <c r="B794">
        <v>100788</v>
      </c>
      <c r="C794">
        <v>1000</v>
      </c>
    </row>
    <row r="795" spans="1:3">
      <c r="A795" t="s">
        <v>2642</v>
      </c>
      <c r="B795">
        <v>100789</v>
      </c>
      <c r="C795">
        <v>1000</v>
      </c>
    </row>
    <row r="796" spans="1:3">
      <c r="A796" t="s">
        <v>2643</v>
      </c>
      <c r="B796">
        <v>100790</v>
      </c>
      <c r="C796">
        <v>1000</v>
      </c>
    </row>
    <row r="797" spans="1:3">
      <c r="A797" t="s">
        <v>2644</v>
      </c>
      <c r="B797">
        <v>100791</v>
      </c>
      <c r="C797">
        <v>1000</v>
      </c>
    </row>
    <row r="798" spans="1:3">
      <c r="A798" t="s">
        <v>2645</v>
      </c>
      <c r="B798">
        <v>100792</v>
      </c>
      <c r="C798">
        <v>1000</v>
      </c>
    </row>
    <row r="799" spans="1:3">
      <c r="A799" t="s">
        <v>2646</v>
      </c>
      <c r="B799">
        <v>100793</v>
      </c>
      <c r="C799">
        <v>1000</v>
      </c>
    </row>
    <row r="800" spans="1:3">
      <c r="A800" t="s">
        <v>2647</v>
      </c>
      <c r="B800">
        <v>100794</v>
      </c>
      <c r="C800">
        <v>1000</v>
      </c>
    </row>
    <row r="801" spans="1:3">
      <c r="A801" t="s">
        <v>2648</v>
      </c>
      <c r="B801">
        <v>100795</v>
      </c>
      <c r="C801">
        <v>1000</v>
      </c>
    </row>
    <row r="802" spans="1:3">
      <c r="A802" t="s">
        <v>2649</v>
      </c>
      <c r="B802">
        <v>100796</v>
      </c>
      <c r="C802">
        <v>1000</v>
      </c>
    </row>
    <row r="803" spans="1:3">
      <c r="A803" t="s">
        <v>2650</v>
      </c>
      <c r="B803">
        <v>100797</v>
      </c>
      <c r="C803">
        <v>1000</v>
      </c>
    </row>
    <row r="804" spans="1:3">
      <c r="A804" t="s">
        <v>2651</v>
      </c>
      <c r="B804">
        <v>100798</v>
      </c>
      <c r="C804">
        <v>1000</v>
      </c>
    </row>
    <row r="805" spans="1:3">
      <c r="A805" t="s">
        <v>2652</v>
      </c>
      <c r="B805">
        <v>100799</v>
      </c>
      <c r="C805">
        <v>1000</v>
      </c>
    </row>
    <row r="806" spans="1:3">
      <c r="A806" t="s">
        <v>2653</v>
      </c>
      <c r="B806">
        <v>100800</v>
      </c>
      <c r="C806">
        <v>1000</v>
      </c>
    </row>
    <row r="807" spans="1:3">
      <c r="A807" t="s">
        <v>2654</v>
      </c>
      <c r="B807">
        <v>100801</v>
      </c>
      <c r="C807">
        <v>1000</v>
      </c>
    </row>
    <row r="808" spans="1:3">
      <c r="A808" t="s">
        <v>2655</v>
      </c>
      <c r="B808">
        <v>100802</v>
      </c>
      <c r="C808">
        <v>1000</v>
      </c>
    </row>
    <row r="809" spans="1:3">
      <c r="A809" t="s">
        <v>2656</v>
      </c>
      <c r="B809">
        <v>100803</v>
      </c>
      <c r="C809">
        <v>1000</v>
      </c>
    </row>
    <row r="810" spans="1:3">
      <c r="A810" t="s">
        <v>2657</v>
      </c>
      <c r="B810">
        <v>100804</v>
      </c>
      <c r="C810">
        <v>1000</v>
      </c>
    </row>
    <row r="811" spans="1:3">
      <c r="A811" t="s">
        <v>2658</v>
      </c>
      <c r="B811">
        <v>100805</v>
      </c>
      <c r="C811">
        <v>1000</v>
      </c>
    </row>
    <row r="812" spans="1:3">
      <c r="A812" t="s">
        <v>2659</v>
      </c>
      <c r="B812">
        <v>100806</v>
      </c>
      <c r="C812">
        <v>1000</v>
      </c>
    </row>
    <row r="813" spans="1:3">
      <c r="A813" t="s">
        <v>2660</v>
      </c>
      <c r="B813">
        <v>100807</v>
      </c>
      <c r="C813">
        <v>1000</v>
      </c>
    </row>
    <row r="814" spans="1:3">
      <c r="A814" t="s">
        <v>2661</v>
      </c>
      <c r="B814">
        <v>100808</v>
      </c>
      <c r="C814">
        <v>1003</v>
      </c>
    </row>
    <row r="815" spans="1:3">
      <c r="A815" t="s">
        <v>2662</v>
      </c>
      <c r="B815">
        <v>100809</v>
      </c>
      <c r="C815">
        <v>1003</v>
      </c>
    </row>
    <row r="816" spans="1:3">
      <c r="A816" t="s">
        <v>644</v>
      </c>
      <c r="B816">
        <v>100810</v>
      </c>
      <c r="C816">
        <v>1000</v>
      </c>
    </row>
    <row r="817" spans="1:3">
      <c r="A817" t="s">
        <v>2663</v>
      </c>
      <c r="B817">
        <v>100811</v>
      </c>
      <c r="C817">
        <v>1000</v>
      </c>
    </row>
    <row r="818" spans="1:3">
      <c r="A818" t="s">
        <v>2664</v>
      </c>
      <c r="B818">
        <v>100812</v>
      </c>
      <c r="C818">
        <v>1000</v>
      </c>
    </row>
    <row r="819" spans="1:3">
      <c r="A819" t="s">
        <v>2665</v>
      </c>
      <c r="B819">
        <v>100813</v>
      </c>
      <c r="C819">
        <v>1000</v>
      </c>
    </row>
    <row r="820" spans="1:3">
      <c r="A820" t="s">
        <v>2666</v>
      </c>
      <c r="B820">
        <v>100814</v>
      </c>
      <c r="C820">
        <v>1000</v>
      </c>
    </row>
    <row r="821" spans="1:3">
      <c r="A821" t="s">
        <v>2667</v>
      </c>
      <c r="B821">
        <v>100815</v>
      </c>
      <c r="C821">
        <v>1000</v>
      </c>
    </row>
    <row r="822" spans="1:3">
      <c r="A822" t="s">
        <v>2668</v>
      </c>
      <c r="B822">
        <v>100816</v>
      </c>
      <c r="C822">
        <v>1000</v>
      </c>
    </row>
    <row r="823" spans="1:3">
      <c r="A823" t="s">
        <v>2669</v>
      </c>
      <c r="B823">
        <v>100817</v>
      </c>
      <c r="C823">
        <v>1000</v>
      </c>
    </row>
    <row r="824" spans="1:3">
      <c r="A824" t="s">
        <v>2670</v>
      </c>
      <c r="B824">
        <v>100818</v>
      </c>
      <c r="C824">
        <v>1000</v>
      </c>
    </row>
    <row r="825" spans="1:3">
      <c r="A825" t="s">
        <v>2671</v>
      </c>
      <c r="B825">
        <v>100819</v>
      </c>
      <c r="C825">
        <v>1000</v>
      </c>
    </row>
    <row r="826" spans="1:3">
      <c r="A826" t="s">
        <v>2672</v>
      </c>
      <c r="B826">
        <v>100820</v>
      </c>
      <c r="C826">
        <v>1000</v>
      </c>
    </row>
    <row r="827" spans="1:3">
      <c r="A827" t="s">
        <v>2673</v>
      </c>
      <c r="B827">
        <v>100821</v>
      </c>
      <c r="C827">
        <v>1000</v>
      </c>
    </row>
    <row r="828" spans="1:3">
      <c r="A828" t="s">
        <v>2674</v>
      </c>
      <c r="B828">
        <v>100822</v>
      </c>
      <c r="C828">
        <v>1000</v>
      </c>
    </row>
    <row r="829" spans="1:3">
      <c r="A829" t="s">
        <v>2675</v>
      </c>
      <c r="B829">
        <v>100823</v>
      </c>
      <c r="C829">
        <v>1000</v>
      </c>
    </row>
    <row r="830" spans="1:3">
      <c r="A830" t="s">
        <v>2676</v>
      </c>
      <c r="B830">
        <v>100824</v>
      </c>
      <c r="C830">
        <v>1000</v>
      </c>
    </row>
    <row r="831" spans="1:3">
      <c r="A831" t="s">
        <v>2677</v>
      </c>
      <c r="B831">
        <v>100825</v>
      </c>
      <c r="C831">
        <v>1000</v>
      </c>
    </row>
    <row r="832" spans="1:3">
      <c r="A832" t="s">
        <v>2678</v>
      </c>
      <c r="B832">
        <v>100826</v>
      </c>
      <c r="C832">
        <v>1000</v>
      </c>
    </row>
    <row r="833" spans="1:3">
      <c r="A833" t="s">
        <v>2679</v>
      </c>
      <c r="B833">
        <v>100827</v>
      </c>
      <c r="C833">
        <v>1000</v>
      </c>
    </row>
    <row r="834" spans="1:3">
      <c r="A834" t="s">
        <v>2680</v>
      </c>
      <c r="B834">
        <v>100828</v>
      </c>
      <c r="C834">
        <v>1000</v>
      </c>
    </row>
    <row r="835" spans="1:3">
      <c r="A835" t="s">
        <v>666</v>
      </c>
      <c r="B835">
        <v>100829</v>
      </c>
      <c r="C835">
        <v>1000</v>
      </c>
    </row>
    <row r="836" spans="1:3">
      <c r="A836" t="s">
        <v>2681</v>
      </c>
      <c r="B836">
        <v>100830</v>
      </c>
      <c r="C836">
        <v>1000</v>
      </c>
    </row>
    <row r="837" spans="1:3">
      <c r="A837" t="s">
        <v>2682</v>
      </c>
      <c r="B837">
        <v>100831</v>
      </c>
      <c r="C837">
        <v>1000</v>
      </c>
    </row>
    <row r="838" spans="1:3">
      <c r="A838" t="s">
        <v>2683</v>
      </c>
      <c r="B838">
        <v>100832</v>
      </c>
      <c r="C838">
        <v>1003</v>
      </c>
    </row>
    <row r="839" spans="1:3">
      <c r="A839" t="s">
        <v>2684</v>
      </c>
      <c r="B839">
        <v>100833</v>
      </c>
      <c r="C839">
        <v>1003</v>
      </c>
    </row>
    <row r="840" spans="1:3">
      <c r="A840" t="s">
        <v>2685</v>
      </c>
      <c r="B840">
        <v>100834</v>
      </c>
      <c r="C840">
        <v>1000</v>
      </c>
    </row>
    <row r="841" spans="1:3">
      <c r="A841" t="s">
        <v>2686</v>
      </c>
      <c r="B841">
        <v>100835</v>
      </c>
      <c r="C841">
        <v>1000</v>
      </c>
    </row>
    <row r="842" spans="1:3">
      <c r="A842" t="s">
        <v>2687</v>
      </c>
      <c r="B842">
        <v>100836</v>
      </c>
      <c r="C842">
        <v>1000</v>
      </c>
    </row>
    <row r="843" spans="1:3">
      <c r="A843" t="s">
        <v>2688</v>
      </c>
      <c r="B843">
        <v>100837</v>
      </c>
      <c r="C843">
        <v>1000</v>
      </c>
    </row>
    <row r="844" spans="1:3">
      <c r="A844" t="s">
        <v>2689</v>
      </c>
      <c r="B844">
        <v>100838</v>
      </c>
      <c r="C844">
        <v>1000</v>
      </c>
    </row>
    <row r="845" spans="1:3">
      <c r="A845" t="s">
        <v>2690</v>
      </c>
      <c r="B845">
        <v>100839</v>
      </c>
      <c r="C845">
        <v>1000</v>
      </c>
    </row>
    <row r="846" spans="1:3">
      <c r="A846" t="s">
        <v>2691</v>
      </c>
      <c r="B846">
        <v>100840</v>
      </c>
      <c r="C846">
        <v>1000</v>
      </c>
    </row>
    <row r="847" spans="1:3">
      <c r="A847" t="s">
        <v>2692</v>
      </c>
      <c r="B847">
        <v>100841</v>
      </c>
      <c r="C847">
        <v>1000</v>
      </c>
    </row>
    <row r="848" spans="1:3">
      <c r="A848" t="s">
        <v>2693</v>
      </c>
      <c r="B848">
        <v>100842</v>
      </c>
      <c r="C848">
        <v>1000</v>
      </c>
    </row>
    <row r="849" spans="1:3">
      <c r="A849" t="s">
        <v>2694</v>
      </c>
      <c r="B849">
        <v>100843</v>
      </c>
      <c r="C849">
        <v>1000</v>
      </c>
    </row>
    <row r="850" spans="1:3">
      <c r="A850" t="s">
        <v>2695</v>
      </c>
      <c r="B850">
        <v>100844</v>
      </c>
      <c r="C850">
        <v>1000</v>
      </c>
    </row>
    <row r="851" spans="1:3">
      <c r="A851" t="s">
        <v>2696</v>
      </c>
      <c r="B851">
        <v>100845</v>
      </c>
      <c r="C851">
        <v>1000</v>
      </c>
    </row>
    <row r="852" spans="1:3">
      <c r="A852" t="s">
        <v>2697</v>
      </c>
      <c r="B852">
        <v>100847</v>
      </c>
      <c r="C852">
        <v>1000</v>
      </c>
    </row>
    <row r="853" spans="1:3">
      <c r="A853" t="s">
        <v>2698</v>
      </c>
      <c r="B853">
        <v>100848</v>
      </c>
      <c r="C853">
        <v>1000</v>
      </c>
    </row>
    <row r="854" spans="1:3">
      <c r="A854" t="s">
        <v>2699</v>
      </c>
      <c r="B854">
        <v>100849</v>
      </c>
      <c r="C854">
        <v>1000</v>
      </c>
    </row>
    <row r="855" spans="1:3">
      <c r="A855" t="s">
        <v>2700</v>
      </c>
      <c r="B855">
        <v>100850</v>
      </c>
      <c r="C855">
        <v>1000</v>
      </c>
    </row>
    <row r="856" spans="1:3">
      <c r="A856" t="s">
        <v>2701</v>
      </c>
      <c r="B856">
        <v>100851</v>
      </c>
      <c r="C856">
        <v>1000</v>
      </c>
    </row>
    <row r="857" spans="1:3">
      <c r="A857" t="s">
        <v>2702</v>
      </c>
      <c r="B857">
        <v>100852</v>
      </c>
      <c r="C857">
        <v>1000</v>
      </c>
    </row>
    <row r="858" spans="1:3">
      <c r="A858" t="s">
        <v>2703</v>
      </c>
      <c r="B858">
        <v>100853</v>
      </c>
      <c r="C858">
        <v>1000</v>
      </c>
    </row>
    <row r="859" spans="1:3">
      <c r="A859" t="s">
        <v>2704</v>
      </c>
      <c r="B859">
        <v>100854</v>
      </c>
      <c r="C859">
        <v>1000</v>
      </c>
    </row>
    <row r="860" spans="1:3">
      <c r="A860" t="s">
        <v>2705</v>
      </c>
      <c r="B860">
        <v>100855</v>
      </c>
      <c r="C860">
        <v>1000</v>
      </c>
    </row>
    <row r="861" spans="1:3">
      <c r="A861" t="s">
        <v>2706</v>
      </c>
      <c r="B861">
        <v>100856</v>
      </c>
      <c r="C861">
        <v>1000</v>
      </c>
    </row>
    <row r="862" spans="1:3">
      <c r="A862" t="s">
        <v>2707</v>
      </c>
      <c r="B862">
        <v>100857</v>
      </c>
      <c r="C862">
        <v>1000</v>
      </c>
    </row>
    <row r="863" spans="1:3">
      <c r="A863" t="s">
        <v>2708</v>
      </c>
      <c r="B863">
        <v>100858</v>
      </c>
      <c r="C863">
        <v>1000</v>
      </c>
    </row>
    <row r="864" spans="1:3">
      <c r="A864" t="s">
        <v>2709</v>
      </c>
      <c r="B864">
        <v>100859</v>
      </c>
      <c r="C864">
        <v>1000</v>
      </c>
    </row>
    <row r="865" spans="1:3">
      <c r="A865" t="s">
        <v>2710</v>
      </c>
      <c r="B865">
        <v>100860</v>
      </c>
      <c r="C865">
        <v>1000</v>
      </c>
    </row>
    <row r="866" spans="1:3">
      <c r="A866" t="s">
        <v>2711</v>
      </c>
      <c r="B866">
        <v>100861</v>
      </c>
      <c r="C866">
        <v>1000</v>
      </c>
    </row>
    <row r="867" spans="1:3">
      <c r="A867" t="s">
        <v>2712</v>
      </c>
      <c r="B867">
        <v>100862</v>
      </c>
      <c r="C867">
        <v>1000</v>
      </c>
    </row>
    <row r="868" spans="1:3">
      <c r="A868" t="s">
        <v>2713</v>
      </c>
      <c r="B868">
        <v>100863</v>
      </c>
      <c r="C868">
        <v>1000</v>
      </c>
    </row>
    <row r="869" spans="1:3">
      <c r="A869" t="s">
        <v>2714</v>
      </c>
      <c r="B869">
        <v>100864</v>
      </c>
      <c r="C869">
        <v>1000</v>
      </c>
    </row>
    <row r="870" spans="1:3">
      <c r="A870" t="s">
        <v>2715</v>
      </c>
      <c r="B870">
        <v>100865</v>
      </c>
      <c r="C870">
        <v>1000</v>
      </c>
    </row>
    <row r="871" spans="1:3">
      <c r="A871" t="s">
        <v>2716</v>
      </c>
      <c r="B871">
        <v>100866</v>
      </c>
      <c r="C871">
        <v>1000</v>
      </c>
    </row>
    <row r="872" spans="1:3">
      <c r="A872" t="s">
        <v>2717</v>
      </c>
      <c r="B872">
        <v>100867</v>
      </c>
      <c r="C872">
        <v>1000</v>
      </c>
    </row>
    <row r="873" spans="1:3">
      <c r="A873" t="s">
        <v>2718</v>
      </c>
      <c r="B873">
        <v>100868</v>
      </c>
      <c r="C873">
        <v>1000</v>
      </c>
    </row>
    <row r="874" spans="1:3">
      <c r="A874" t="s">
        <v>2719</v>
      </c>
      <c r="B874">
        <v>100869</v>
      </c>
      <c r="C874">
        <v>1000</v>
      </c>
    </row>
    <row r="875" spans="1:3">
      <c r="A875" t="s">
        <v>2720</v>
      </c>
      <c r="B875">
        <v>100870</v>
      </c>
      <c r="C875">
        <v>1000</v>
      </c>
    </row>
    <row r="876" spans="1:3">
      <c r="A876" t="s">
        <v>2721</v>
      </c>
      <c r="B876">
        <v>100871</v>
      </c>
      <c r="C876">
        <v>1000</v>
      </c>
    </row>
    <row r="877" spans="1:3">
      <c r="A877" t="s">
        <v>2722</v>
      </c>
      <c r="B877">
        <v>100872</v>
      </c>
      <c r="C877">
        <v>1000</v>
      </c>
    </row>
    <row r="878" spans="1:3">
      <c r="A878" t="s">
        <v>2723</v>
      </c>
      <c r="B878">
        <v>100873</v>
      </c>
      <c r="C878">
        <v>1000</v>
      </c>
    </row>
    <row r="879" spans="1:3">
      <c r="A879" t="s">
        <v>2724</v>
      </c>
      <c r="B879">
        <v>100874</v>
      </c>
      <c r="C879">
        <v>1000</v>
      </c>
    </row>
    <row r="880" spans="1:3">
      <c r="A880" t="s">
        <v>2725</v>
      </c>
      <c r="B880">
        <v>100875</v>
      </c>
      <c r="C880">
        <v>1000</v>
      </c>
    </row>
    <row r="881" spans="1:3">
      <c r="A881" t="s">
        <v>2726</v>
      </c>
      <c r="B881">
        <v>100876</v>
      </c>
      <c r="C881">
        <v>1000</v>
      </c>
    </row>
    <row r="882" spans="1:3">
      <c r="A882" t="s">
        <v>2727</v>
      </c>
      <c r="B882">
        <v>100877</v>
      </c>
      <c r="C882">
        <v>1000</v>
      </c>
    </row>
    <row r="883" spans="1:3">
      <c r="A883" t="s">
        <v>2728</v>
      </c>
      <c r="B883">
        <v>100878</v>
      </c>
      <c r="C883">
        <v>1000</v>
      </c>
    </row>
    <row r="884" spans="1:3">
      <c r="A884" t="s">
        <v>2729</v>
      </c>
      <c r="B884">
        <v>100879</v>
      </c>
      <c r="C884">
        <v>1000</v>
      </c>
    </row>
    <row r="885" spans="1:3">
      <c r="A885" t="s">
        <v>2730</v>
      </c>
      <c r="B885">
        <v>100880</v>
      </c>
      <c r="C885">
        <v>1000</v>
      </c>
    </row>
    <row r="886" spans="1:3">
      <c r="A886" t="s">
        <v>2731</v>
      </c>
      <c r="B886">
        <v>100881</v>
      </c>
      <c r="C886">
        <v>1000</v>
      </c>
    </row>
    <row r="887" spans="1:3">
      <c r="A887" t="s">
        <v>2732</v>
      </c>
      <c r="B887">
        <v>100882</v>
      </c>
      <c r="C887">
        <v>1000</v>
      </c>
    </row>
    <row r="888" spans="1:3">
      <c r="A888" t="s">
        <v>2733</v>
      </c>
      <c r="B888">
        <v>100883</v>
      </c>
      <c r="C888">
        <v>1000</v>
      </c>
    </row>
    <row r="889" spans="1:3">
      <c r="A889" t="s">
        <v>2734</v>
      </c>
      <c r="B889">
        <v>100884</v>
      </c>
      <c r="C889">
        <v>1000</v>
      </c>
    </row>
    <row r="890" spans="1:3">
      <c r="A890" t="s">
        <v>2735</v>
      </c>
      <c r="B890">
        <v>100885</v>
      </c>
      <c r="C890">
        <v>1000</v>
      </c>
    </row>
    <row r="891" spans="1:3">
      <c r="A891" t="s">
        <v>2736</v>
      </c>
      <c r="B891">
        <v>100886</v>
      </c>
      <c r="C891">
        <v>1000</v>
      </c>
    </row>
    <row r="892" spans="1:3">
      <c r="A892" t="s">
        <v>2737</v>
      </c>
      <c r="B892">
        <v>100887</v>
      </c>
      <c r="C892">
        <v>1000</v>
      </c>
    </row>
    <row r="893" spans="1:3">
      <c r="A893" t="s">
        <v>2738</v>
      </c>
      <c r="B893">
        <v>100888</v>
      </c>
      <c r="C893">
        <v>1000</v>
      </c>
    </row>
    <row r="894" spans="1:3">
      <c r="A894" t="s">
        <v>2739</v>
      </c>
      <c r="B894">
        <v>100889</v>
      </c>
      <c r="C894">
        <v>1000</v>
      </c>
    </row>
    <row r="895" spans="1:3">
      <c r="A895" t="s">
        <v>2740</v>
      </c>
      <c r="B895">
        <v>100890</v>
      </c>
      <c r="C895">
        <v>1000</v>
      </c>
    </row>
    <row r="896" spans="1:3">
      <c r="A896" t="s">
        <v>2741</v>
      </c>
      <c r="B896">
        <v>100891</v>
      </c>
      <c r="C896">
        <v>1000</v>
      </c>
    </row>
    <row r="897" spans="1:3">
      <c r="A897" t="s">
        <v>2742</v>
      </c>
      <c r="B897">
        <v>100892</v>
      </c>
      <c r="C897">
        <v>1000</v>
      </c>
    </row>
    <row r="898" spans="1:3">
      <c r="A898" t="s">
        <v>2743</v>
      </c>
      <c r="B898">
        <v>100893</v>
      </c>
      <c r="C898">
        <v>1000</v>
      </c>
    </row>
    <row r="899" spans="1:3">
      <c r="A899" t="s">
        <v>2744</v>
      </c>
      <c r="B899">
        <v>100894</v>
      </c>
      <c r="C899">
        <v>1000</v>
      </c>
    </row>
    <row r="900" spans="1:3">
      <c r="A900" t="s">
        <v>2745</v>
      </c>
      <c r="B900">
        <v>100895</v>
      </c>
      <c r="C900">
        <v>1000</v>
      </c>
    </row>
    <row r="901" spans="1:3">
      <c r="A901" t="s">
        <v>2746</v>
      </c>
      <c r="B901">
        <v>100896</v>
      </c>
      <c r="C901">
        <v>1000</v>
      </c>
    </row>
    <row r="902" spans="1:3">
      <c r="A902" t="s">
        <v>2747</v>
      </c>
      <c r="B902">
        <v>100897</v>
      </c>
      <c r="C902">
        <v>1000</v>
      </c>
    </row>
    <row r="903" spans="1:3">
      <c r="A903" t="s">
        <v>2748</v>
      </c>
      <c r="B903">
        <v>100898</v>
      </c>
      <c r="C903">
        <v>1000</v>
      </c>
    </row>
    <row r="904" spans="1:3">
      <c r="A904" t="s">
        <v>2749</v>
      </c>
      <c r="B904">
        <v>100899</v>
      </c>
      <c r="C904">
        <v>1000</v>
      </c>
    </row>
    <row r="905" spans="1:3">
      <c r="A905" t="s">
        <v>2750</v>
      </c>
      <c r="B905">
        <v>100900</v>
      </c>
      <c r="C905">
        <v>1000</v>
      </c>
    </row>
    <row r="906" spans="1:3">
      <c r="A906" t="s">
        <v>2751</v>
      </c>
      <c r="B906">
        <v>100901</v>
      </c>
      <c r="C906">
        <v>1000</v>
      </c>
    </row>
    <row r="907" spans="1:3">
      <c r="A907" t="s">
        <v>2752</v>
      </c>
      <c r="B907">
        <v>100902</v>
      </c>
      <c r="C907">
        <v>1000</v>
      </c>
    </row>
    <row r="908" spans="1:3">
      <c r="A908" t="s">
        <v>2753</v>
      </c>
      <c r="B908">
        <v>100903</v>
      </c>
      <c r="C908">
        <v>1000</v>
      </c>
    </row>
    <row r="909" spans="1:3">
      <c r="A909" t="s">
        <v>2754</v>
      </c>
      <c r="B909">
        <v>100904</v>
      </c>
      <c r="C909">
        <v>1000</v>
      </c>
    </row>
    <row r="910" spans="1:3">
      <c r="A910" t="s">
        <v>2755</v>
      </c>
      <c r="B910">
        <v>100905</v>
      </c>
      <c r="C910">
        <v>1000</v>
      </c>
    </row>
    <row r="911" spans="1:3">
      <c r="A911" t="s">
        <v>2756</v>
      </c>
      <c r="B911">
        <v>100906</v>
      </c>
      <c r="C911">
        <v>1000</v>
      </c>
    </row>
    <row r="912" spans="1:3">
      <c r="A912" t="s">
        <v>2757</v>
      </c>
      <c r="B912">
        <v>100907</v>
      </c>
      <c r="C912">
        <v>1000</v>
      </c>
    </row>
    <row r="913" spans="1:3">
      <c r="A913" t="s">
        <v>2758</v>
      </c>
      <c r="B913">
        <v>100908</v>
      </c>
      <c r="C913">
        <v>1000</v>
      </c>
    </row>
    <row r="914" spans="1:3">
      <c r="A914" t="s">
        <v>2759</v>
      </c>
      <c r="B914">
        <v>100909</v>
      </c>
      <c r="C914">
        <v>1000</v>
      </c>
    </row>
    <row r="915" spans="1:3">
      <c r="A915" t="s">
        <v>2760</v>
      </c>
      <c r="B915">
        <v>100910</v>
      </c>
      <c r="C915">
        <v>1000</v>
      </c>
    </row>
    <row r="916" spans="1:3">
      <c r="A916" t="s">
        <v>2761</v>
      </c>
      <c r="B916">
        <v>100911</v>
      </c>
      <c r="C916">
        <v>1000</v>
      </c>
    </row>
    <row r="917" spans="1:3">
      <c r="A917" t="s">
        <v>2762</v>
      </c>
      <c r="B917">
        <v>100912</v>
      </c>
      <c r="C917">
        <v>1000</v>
      </c>
    </row>
    <row r="918" spans="1:3">
      <c r="A918" t="s">
        <v>2763</v>
      </c>
      <c r="B918">
        <v>100913</v>
      </c>
      <c r="C918">
        <v>1000</v>
      </c>
    </row>
    <row r="919" spans="1:3">
      <c r="A919" t="s">
        <v>2764</v>
      </c>
      <c r="B919">
        <v>100914</v>
      </c>
      <c r="C919">
        <v>1000</v>
      </c>
    </row>
    <row r="920" spans="1:3">
      <c r="A920" t="s">
        <v>2765</v>
      </c>
      <c r="B920">
        <v>100915</v>
      </c>
      <c r="C920">
        <v>1000</v>
      </c>
    </row>
    <row r="921" spans="1:3">
      <c r="A921" t="s">
        <v>2766</v>
      </c>
      <c r="B921">
        <v>100916</v>
      </c>
      <c r="C921">
        <v>1000</v>
      </c>
    </row>
    <row r="922" spans="1:3">
      <c r="A922" t="s">
        <v>2767</v>
      </c>
      <c r="B922">
        <v>100917</v>
      </c>
      <c r="C922">
        <v>1000</v>
      </c>
    </row>
    <row r="923" spans="1:3">
      <c r="A923" t="s">
        <v>2768</v>
      </c>
      <c r="B923">
        <v>100918</v>
      </c>
      <c r="C923">
        <v>1000</v>
      </c>
    </row>
    <row r="924" spans="1:3">
      <c r="A924" t="s">
        <v>2769</v>
      </c>
      <c r="B924">
        <v>100919</v>
      </c>
      <c r="C924">
        <v>1000</v>
      </c>
    </row>
    <row r="925" spans="1:3">
      <c r="A925" t="s">
        <v>2770</v>
      </c>
      <c r="B925">
        <v>100920</v>
      </c>
      <c r="C925">
        <v>1000</v>
      </c>
    </row>
    <row r="926" spans="1:3">
      <c r="A926" t="s">
        <v>2771</v>
      </c>
      <c r="B926">
        <v>100921</v>
      </c>
      <c r="C926">
        <v>1000</v>
      </c>
    </row>
    <row r="927" spans="1:3">
      <c r="A927" t="s">
        <v>2772</v>
      </c>
      <c r="B927">
        <v>100922</v>
      </c>
      <c r="C927">
        <v>1000</v>
      </c>
    </row>
    <row r="928" spans="1:3">
      <c r="A928" t="s">
        <v>2773</v>
      </c>
      <c r="B928">
        <v>100923</v>
      </c>
      <c r="C928">
        <v>1000</v>
      </c>
    </row>
    <row r="929" spans="1:3">
      <c r="A929" t="s">
        <v>2774</v>
      </c>
      <c r="B929">
        <v>100924</v>
      </c>
      <c r="C929">
        <v>1000</v>
      </c>
    </row>
    <row r="930" spans="1:3">
      <c r="A930" t="s">
        <v>2775</v>
      </c>
      <c r="B930">
        <v>100925</v>
      </c>
      <c r="C930">
        <v>1000</v>
      </c>
    </row>
    <row r="931" spans="1:3">
      <c r="A931" t="s">
        <v>2776</v>
      </c>
      <c r="B931">
        <v>100926</v>
      </c>
      <c r="C931">
        <v>1000</v>
      </c>
    </row>
    <row r="932" spans="1:3">
      <c r="A932" t="s">
        <v>2777</v>
      </c>
      <c r="B932">
        <v>100927</v>
      </c>
      <c r="C932">
        <v>1000</v>
      </c>
    </row>
    <row r="933" spans="1:3">
      <c r="A933" t="s">
        <v>2778</v>
      </c>
      <c r="B933">
        <v>100928</v>
      </c>
      <c r="C933">
        <v>1000</v>
      </c>
    </row>
    <row r="934" spans="1:3">
      <c r="A934" t="s">
        <v>2779</v>
      </c>
      <c r="B934">
        <v>100929</v>
      </c>
      <c r="C934">
        <v>1000</v>
      </c>
    </row>
    <row r="935" spans="1:3">
      <c r="A935" t="s">
        <v>2780</v>
      </c>
      <c r="B935">
        <v>100930</v>
      </c>
      <c r="C935">
        <v>1000</v>
      </c>
    </row>
    <row r="936" spans="1:3">
      <c r="A936" t="s">
        <v>986</v>
      </c>
      <c r="B936">
        <v>100931</v>
      </c>
      <c r="C936">
        <v>1000</v>
      </c>
    </row>
    <row r="937" spans="1:3">
      <c r="A937" t="s">
        <v>2781</v>
      </c>
      <c r="B937">
        <v>100932</v>
      </c>
      <c r="C937">
        <v>1000</v>
      </c>
    </row>
    <row r="938" spans="1:3">
      <c r="A938" t="s">
        <v>2782</v>
      </c>
      <c r="B938">
        <v>100934</v>
      </c>
      <c r="C938">
        <v>1000</v>
      </c>
    </row>
    <row r="939" spans="1:3">
      <c r="A939" t="s">
        <v>646</v>
      </c>
      <c r="B939">
        <v>100935</v>
      </c>
      <c r="C939">
        <v>1000</v>
      </c>
    </row>
    <row r="940" spans="1:3">
      <c r="A940" t="s">
        <v>2783</v>
      </c>
      <c r="B940">
        <v>100936</v>
      </c>
      <c r="C940">
        <v>1000</v>
      </c>
    </row>
    <row r="941" spans="1:3">
      <c r="A941" t="s">
        <v>2784</v>
      </c>
      <c r="B941">
        <v>100937</v>
      </c>
      <c r="C941">
        <v>1000</v>
      </c>
    </row>
    <row r="942" spans="1:3">
      <c r="A942" t="s">
        <v>2785</v>
      </c>
      <c r="B942">
        <v>100938</v>
      </c>
      <c r="C942">
        <v>1000</v>
      </c>
    </row>
    <row r="943" spans="1:3">
      <c r="A943" t="s">
        <v>2786</v>
      </c>
      <c r="B943">
        <v>100939</v>
      </c>
      <c r="C943">
        <v>1000</v>
      </c>
    </row>
    <row r="944" spans="1:3">
      <c r="A944" t="s">
        <v>2787</v>
      </c>
      <c r="B944">
        <v>100940</v>
      </c>
      <c r="C944">
        <v>1000</v>
      </c>
    </row>
    <row r="945" spans="1:3">
      <c r="A945" t="s">
        <v>2788</v>
      </c>
      <c r="B945">
        <v>100941</v>
      </c>
      <c r="C945">
        <v>1000</v>
      </c>
    </row>
    <row r="946" spans="1:3">
      <c r="A946" t="s">
        <v>2789</v>
      </c>
      <c r="B946">
        <v>100942</v>
      </c>
      <c r="C946">
        <v>1000</v>
      </c>
    </row>
    <row r="947" spans="1:3">
      <c r="A947" t="s">
        <v>2790</v>
      </c>
      <c r="B947">
        <v>100943</v>
      </c>
      <c r="C947">
        <v>1000</v>
      </c>
    </row>
    <row r="948" spans="1:3">
      <c r="A948" t="s">
        <v>2791</v>
      </c>
      <c r="B948">
        <v>100944</v>
      </c>
      <c r="C948">
        <v>1000</v>
      </c>
    </row>
    <row r="949" spans="1:3">
      <c r="A949" t="s">
        <v>2792</v>
      </c>
      <c r="B949">
        <v>100945</v>
      </c>
      <c r="C949">
        <v>1000</v>
      </c>
    </row>
    <row r="950" spans="1:3">
      <c r="A950" t="s">
        <v>2793</v>
      </c>
      <c r="B950">
        <v>100946</v>
      </c>
      <c r="C950">
        <v>1000</v>
      </c>
    </row>
    <row r="951" spans="1:3">
      <c r="A951" t="s">
        <v>2794</v>
      </c>
      <c r="B951">
        <v>100947</v>
      </c>
      <c r="C951">
        <v>1000</v>
      </c>
    </row>
    <row r="952" spans="1:3">
      <c r="A952" t="s">
        <v>2795</v>
      </c>
      <c r="B952">
        <v>100948</v>
      </c>
      <c r="C952">
        <v>1000</v>
      </c>
    </row>
    <row r="953" spans="1:3">
      <c r="A953" t="s">
        <v>2796</v>
      </c>
      <c r="B953">
        <v>100949</v>
      </c>
      <c r="C953">
        <v>1000</v>
      </c>
    </row>
    <row r="954" spans="1:3">
      <c r="A954" t="s">
        <v>2797</v>
      </c>
      <c r="B954">
        <v>100950</v>
      </c>
      <c r="C954">
        <v>1000</v>
      </c>
    </row>
    <row r="955" spans="1:3">
      <c r="A955" t="s">
        <v>2798</v>
      </c>
      <c r="B955">
        <v>100951</v>
      </c>
      <c r="C955">
        <v>1000</v>
      </c>
    </row>
    <row r="956" spans="1:3">
      <c r="A956" t="s">
        <v>2799</v>
      </c>
      <c r="B956">
        <v>100952</v>
      </c>
      <c r="C956">
        <v>1000</v>
      </c>
    </row>
    <row r="957" spans="1:3">
      <c r="A957" t="s">
        <v>728</v>
      </c>
      <c r="B957">
        <v>100953</v>
      </c>
      <c r="C957">
        <v>1000</v>
      </c>
    </row>
    <row r="958" spans="1:3">
      <c r="A958" t="s">
        <v>2800</v>
      </c>
      <c r="B958">
        <v>100954</v>
      </c>
      <c r="C958">
        <v>1000</v>
      </c>
    </row>
    <row r="959" spans="1:3">
      <c r="A959" t="s">
        <v>2801</v>
      </c>
      <c r="B959">
        <v>100955</v>
      </c>
      <c r="C959">
        <v>1000</v>
      </c>
    </row>
    <row r="960" spans="1:3">
      <c r="A960" t="s">
        <v>2802</v>
      </c>
      <c r="B960">
        <v>100956</v>
      </c>
      <c r="C960">
        <v>1000</v>
      </c>
    </row>
    <row r="961" spans="1:3">
      <c r="A961" t="s">
        <v>2803</v>
      </c>
      <c r="B961">
        <v>100957</v>
      </c>
      <c r="C961">
        <v>1000</v>
      </c>
    </row>
    <row r="962" spans="1:3">
      <c r="A962" t="s">
        <v>2804</v>
      </c>
      <c r="B962">
        <v>100958</v>
      </c>
      <c r="C962">
        <v>1000</v>
      </c>
    </row>
    <row r="963" spans="1:3">
      <c r="A963" t="s">
        <v>2805</v>
      </c>
      <c r="B963">
        <v>100959</v>
      </c>
      <c r="C963">
        <v>1000</v>
      </c>
    </row>
    <row r="964" spans="1:3">
      <c r="A964" t="s">
        <v>2806</v>
      </c>
      <c r="B964">
        <v>100960</v>
      </c>
      <c r="C964">
        <v>1000</v>
      </c>
    </row>
    <row r="965" spans="1:3">
      <c r="A965" t="s">
        <v>2807</v>
      </c>
      <c r="B965">
        <v>100961</v>
      </c>
      <c r="C965">
        <v>1000</v>
      </c>
    </row>
    <row r="966" spans="1:3">
      <c r="A966" t="s">
        <v>2808</v>
      </c>
      <c r="B966">
        <v>100962</v>
      </c>
      <c r="C966">
        <v>1000</v>
      </c>
    </row>
    <row r="967" spans="1:3">
      <c r="A967" t="s">
        <v>2809</v>
      </c>
      <c r="B967">
        <v>100963</v>
      </c>
      <c r="C967">
        <v>1000</v>
      </c>
    </row>
    <row r="968" spans="1:3">
      <c r="A968" t="s">
        <v>2810</v>
      </c>
      <c r="B968">
        <v>100964</v>
      </c>
      <c r="C968">
        <v>1000</v>
      </c>
    </row>
    <row r="969" spans="1:3">
      <c r="A969" t="s">
        <v>2811</v>
      </c>
      <c r="B969">
        <v>100965</v>
      </c>
      <c r="C969">
        <v>1000</v>
      </c>
    </row>
    <row r="970" spans="1:3">
      <c r="A970" t="s">
        <v>2812</v>
      </c>
      <c r="B970">
        <v>100966</v>
      </c>
      <c r="C970">
        <v>1000</v>
      </c>
    </row>
    <row r="971" spans="1:3">
      <c r="A971" t="s">
        <v>2813</v>
      </c>
      <c r="B971">
        <v>100967</v>
      </c>
      <c r="C971">
        <v>1000</v>
      </c>
    </row>
    <row r="972" spans="1:3">
      <c r="A972" t="s">
        <v>2814</v>
      </c>
      <c r="B972">
        <v>100968</v>
      </c>
      <c r="C972">
        <v>1000</v>
      </c>
    </row>
    <row r="973" spans="1:3">
      <c r="A973" t="s">
        <v>2815</v>
      </c>
      <c r="B973">
        <v>100969</v>
      </c>
      <c r="C973">
        <v>1000</v>
      </c>
    </row>
    <row r="974" spans="1:3">
      <c r="A974" t="s">
        <v>2816</v>
      </c>
      <c r="B974">
        <v>100970</v>
      </c>
      <c r="C974">
        <v>1000</v>
      </c>
    </row>
    <row r="975" spans="1:3">
      <c r="A975" t="s">
        <v>2817</v>
      </c>
      <c r="B975">
        <v>100971</v>
      </c>
      <c r="C975">
        <v>1000</v>
      </c>
    </row>
    <row r="976" spans="1:3">
      <c r="A976" t="s">
        <v>2818</v>
      </c>
      <c r="B976">
        <v>100972</v>
      </c>
      <c r="C976">
        <v>1000</v>
      </c>
    </row>
    <row r="977" spans="1:3">
      <c r="A977" t="s">
        <v>2819</v>
      </c>
      <c r="B977">
        <v>100973</v>
      </c>
      <c r="C977">
        <v>1000</v>
      </c>
    </row>
    <row r="978" spans="1:3">
      <c r="A978" t="s">
        <v>397</v>
      </c>
      <c r="B978">
        <v>100974</v>
      </c>
      <c r="C978">
        <v>1000</v>
      </c>
    </row>
    <row r="979" spans="1:3">
      <c r="A979" t="s">
        <v>2820</v>
      </c>
      <c r="B979">
        <v>100975</v>
      </c>
      <c r="C979">
        <v>1000</v>
      </c>
    </row>
    <row r="980" spans="1:3">
      <c r="A980" t="s">
        <v>2821</v>
      </c>
      <c r="B980">
        <v>100976</v>
      </c>
      <c r="C980">
        <v>1000</v>
      </c>
    </row>
    <row r="981" spans="1:3">
      <c r="A981" t="s">
        <v>2822</v>
      </c>
      <c r="B981">
        <v>100977</v>
      </c>
      <c r="C981">
        <v>1000</v>
      </c>
    </row>
    <row r="982" spans="1:3">
      <c r="A982" t="s">
        <v>2823</v>
      </c>
      <c r="B982">
        <v>100978</v>
      </c>
      <c r="C982">
        <v>1002</v>
      </c>
    </row>
    <row r="983" spans="1:3">
      <c r="A983" t="s">
        <v>2824</v>
      </c>
      <c r="B983">
        <v>100979</v>
      </c>
      <c r="C983">
        <v>1000</v>
      </c>
    </row>
    <row r="984" spans="1:3">
      <c r="A984" t="s">
        <v>2825</v>
      </c>
      <c r="B984">
        <v>100980</v>
      </c>
      <c r="C984">
        <v>1002</v>
      </c>
    </row>
    <row r="985" spans="1:3">
      <c r="A985" t="s">
        <v>2826</v>
      </c>
      <c r="B985">
        <v>100981</v>
      </c>
      <c r="C985">
        <v>1000</v>
      </c>
    </row>
    <row r="986" spans="1:3">
      <c r="A986" t="s">
        <v>2827</v>
      </c>
      <c r="B986">
        <v>100982</v>
      </c>
      <c r="C986">
        <v>1002</v>
      </c>
    </row>
    <row r="987" spans="1:3">
      <c r="A987" t="s">
        <v>2828</v>
      </c>
      <c r="B987">
        <v>100983</v>
      </c>
      <c r="C987">
        <v>1000</v>
      </c>
    </row>
    <row r="988" spans="1:3">
      <c r="A988" t="s">
        <v>2829</v>
      </c>
      <c r="B988">
        <v>100984</v>
      </c>
      <c r="C988">
        <v>1002</v>
      </c>
    </row>
    <row r="989" spans="1:3">
      <c r="A989" t="s">
        <v>2830</v>
      </c>
      <c r="B989">
        <v>100985</v>
      </c>
      <c r="C989">
        <v>1000</v>
      </c>
    </row>
    <row r="990" spans="1:3">
      <c r="A990" t="s">
        <v>2831</v>
      </c>
      <c r="B990">
        <v>100986</v>
      </c>
      <c r="C990">
        <v>1002</v>
      </c>
    </row>
    <row r="991" spans="1:3">
      <c r="A991" t="s">
        <v>726</v>
      </c>
      <c r="B991">
        <v>100987</v>
      </c>
      <c r="C991">
        <v>1000</v>
      </c>
    </row>
    <row r="992" spans="1:3">
      <c r="A992" t="s">
        <v>2832</v>
      </c>
      <c r="B992">
        <v>100988</v>
      </c>
      <c r="C992">
        <v>1000</v>
      </c>
    </row>
    <row r="993" spans="1:3">
      <c r="A993" t="s">
        <v>2833</v>
      </c>
      <c r="B993">
        <v>100989</v>
      </c>
      <c r="C993">
        <v>1000</v>
      </c>
    </row>
    <row r="994" spans="1:3">
      <c r="A994" t="s">
        <v>2834</v>
      </c>
      <c r="B994">
        <v>100990</v>
      </c>
      <c r="C994">
        <v>1000</v>
      </c>
    </row>
    <row r="995" spans="1:3">
      <c r="A995" t="s">
        <v>2835</v>
      </c>
      <c r="B995">
        <v>100991</v>
      </c>
      <c r="C995">
        <v>1000</v>
      </c>
    </row>
    <row r="996" spans="1:3">
      <c r="A996" t="s">
        <v>2836</v>
      </c>
      <c r="B996">
        <v>100992</v>
      </c>
      <c r="C996">
        <v>1000</v>
      </c>
    </row>
    <row r="997" spans="1:3">
      <c r="A997" t="s">
        <v>2837</v>
      </c>
      <c r="B997">
        <v>100993</v>
      </c>
      <c r="C997">
        <v>1000</v>
      </c>
    </row>
    <row r="998" spans="1:3">
      <c r="A998" t="s">
        <v>2838</v>
      </c>
      <c r="B998">
        <v>100994</v>
      </c>
      <c r="C998">
        <v>1000</v>
      </c>
    </row>
    <row r="999" spans="1:3">
      <c r="A999" t="s">
        <v>2839</v>
      </c>
      <c r="B999">
        <v>100995</v>
      </c>
      <c r="C999">
        <v>1000</v>
      </c>
    </row>
    <row r="1000" spans="1:3">
      <c r="A1000" t="s">
        <v>2840</v>
      </c>
      <c r="B1000">
        <v>100996</v>
      </c>
      <c r="C1000">
        <v>1000</v>
      </c>
    </row>
    <row r="1001" spans="1:3">
      <c r="A1001" t="s">
        <v>2841</v>
      </c>
      <c r="B1001">
        <v>100997</v>
      </c>
      <c r="C1001">
        <v>1000</v>
      </c>
    </row>
    <row r="1002" spans="1:3">
      <c r="A1002" t="s">
        <v>2842</v>
      </c>
      <c r="B1002">
        <v>100998</v>
      </c>
      <c r="C1002">
        <v>1000</v>
      </c>
    </row>
    <row r="1003" spans="1:3">
      <c r="A1003" t="s">
        <v>2843</v>
      </c>
      <c r="B1003">
        <v>100999</v>
      </c>
      <c r="C1003">
        <v>1000</v>
      </c>
    </row>
    <row r="1004" spans="1:3">
      <c r="A1004" t="s">
        <v>2844</v>
      </c>
      <c r="B1004">
        <v>101000</v>
      </c>
      <c r="C1004">
        <v>1000</v>
      </c>
    </row>
    <row r="1005" spans="1:3">
      <c r="A1005" t="s">
        <v>2845</v>
      </c>
      <c r="B1005">
        <v>101001</v>
      </c>
      <c r="C1005">
        <v>1000</v>
      </c>
    </row>
    <row r="1006" spans="1:3">
      <c r="A1006" t="s">
        <v>2846</v>
      </c>
      <c r="B1006">
        <v>101002</v>
      </c>
      <c r="C1006">
        <v>1000</v>
      </c>
    </row>
    <row r="1007" spans="1:3">
      <c r="A1007" t="s">
        <v>2847</v>
      </c>
      <c r="B1007">
        <v>101003</v>
      </c>
      <c r="C1007">
        <v>1000</v>
      </c>
    </row>
    <row r="1008" spans="1:3">
      <c r="A1008" t="s">
        <v>2848</v>
      </c>
      <c r="B1008">
        <v>101006</v>
      </c>
      <c r="C1008">
        <v>1000</v>
      </c>
    </row>
    <row r="1009" spans="1:3">
      <c r="A1009" t="s">
        <v>2849</v>
      </c>
      <c r="B1009">
        <v>101007</v>
      </c>
      <c r="C1009">
        <v>1000</v>
      </c>
    </row>
    <row r="1010" spans="1:3">
      <c r="A1010" t="s">
        <v>2850</v>
      </c>
      <c r="B1010">
        <v>101008</v>
      </c>
      <c r="C1010">
        <v>1000</v>
      </c>
    </row>
    <row r="1011" spans="1:3">
      <c r="A1011" t="s">
        <v>2851</v>
      </c>
      <c r="B1011">
        <v>101009</v>
      </c>
      <c r="C1011">
        <v>1000</v>
      </c>
    </row>
    <row r="1012" spans="1:3">
      <c r="A1012" t="s">
        <v>2852</v>
      </c>
      <c r="B1012">
        <v>101010</v>
      </c>
      <c r="C1012">
        <v>1000</v>
      </c>
    </row>
    <row r="1013" spans="1:3">
      <c r="A1013" t="s">
        <v>2853</v>
      </c>
      <c r="B1013">
        <v>101011</v>
      </c>
      <c r="C1013">
        <v>1000</v>
      </c>
    </row>
    <row r="1014" spans="1:3">
      <c r="A1014" t="s">
        <v>2854</v>
      </c>
      <c r="B1014">
        <v>101012</v>
      </c>
      <c r="C1014">
        <v>1000</v>
      </c>
    </row>
    <row r="1015" spans="1:3">
      <c r="A1015" t="s">
        <v>2855</v>
      </c>
      <c r="B1015">
        <v>101013</v>
      </c>
      <c r="C1015">
        <v>1000</v>
      </c>
    </row>
    <row r="1016" spans="1:3">
      <c r="A1016" t="s">
        <v>2856</v>
      </c>
      <c r="B1016">
        <v>101014</v>
      </c>
      <c r="C1016">
        <v>1000</v>
      </c>
    </row>
    <row r="1017" spans="1:3">
      <c r="A1017" t="s">
        <v>2857</v>
      </c>
      <c r="B1017">
        <v>101015</v>
      </c>
      <c r="C1017">
        <v>1000</v>
      </c>
    </row>
    <row r="1018" spans="1:3">
      <c r="A1018" t="s">
        <v>2858</v>
      </c>
      <c r="B1018">
        <v>101016</v>
      </c>
      <c r="C1018">
        <v>1000</v>
      </c>
    </row>
    <row r="1019" spans="1:3">
      <c r="A1019" t="s">
        <v>2859</v>
      </c>
      <c r="B1019">
        <v>101017</v>
      </c>
      <c r="C1019">
        <v>1000</v>
      </c>
    </row>
    <row r="1020" spans="1:3">
      <c r="A1020" t="s">
        <v>2860</v>
      </c>
      <c r="B1020">
        <v>101018</v>
      </c>
      <c r="C1020">
        <v>1000</v>
      </c>
    </row>
    <row r="1021" spans="1:3">
      <c r="A1021" t="s">
        <v>2861</v>
      </c>
      <c r="B1021">
        <v>101019</v>
      </c>
      <c r="C1021">
        <v>1000</v>
      </c>
    </row>
    <row r="1022" spans="1:3">
      <c r="A1022" t="s">
        <v>2862</v>
      </c>
      <c r="B1022">
        <v>101020</v>
      </c>
      <c r="C1022">
        <v>1000</v>
      </c>
    </row>
    <row r="1023" spans="1:3">
      <c r="A1023" t="s">
        <v>2863</v>
      </c>
      <c r="B1023">
        <v>101021</v>
      </c>
      <c r="C1023">
        <v>1000</v>
      </c>
    </row>
    <row r="1024" spans="1:3">
      <c r="A1024" t="s">
        <v>2864</v>
      </c>
      <c r="B1024">
        <v>101022</v>
      </c>
      <c r="C1024">
        <v>1000</v>
      </c>
    </row>
    <row r="1025" spans="1:3">
      <c r="A1025" t="s">
        <v>2865</v>
      </c>
      <c r="B1025">
        <v>101023</v>
      </c>
      <c r="C1025">
        <v>1000</v>
      </c>
    </row>
    <row r="1026" spans="1:3">
      <c r="A1026" t="s">
        <v>2866</v>
      </c>
      <c r="B1026">
        <v>101025</v>
      </c>
      <c r="C1026">
        <v>1000</v>
      </c>
    </row>
    <row r="1027" spans="1:3">
      <c r="A1027" t="s">
        <v>2867</v>
      </c>
      <c r="B1027">
        <v>101026</v>
      </c>
      <c r="C1027">
        <v>1000</v>
      </c>
    </row>
    <row r="1028" spans="1:3">
      <c r="A1028" t="s">
        <v>2868</v>
      </c>
      <c r="B1028">
        <v>101027</v>
      </c>
      <c r="C1028">
        <v>1000</v>
      </c>
    </row>
    <row r="1029" spans="1:3">
      <c r="A1029" t="s">
        <v>2869</v>
      </c>
      <c r="B1029">
        <v>101028</v>
      </c>
      <c r="C1029">
        <v>1000</v>
      </c>
    </row>
    <row r="1030" spans="1:3">
      <c r="A1030" t="s">
        <v>2870</v>
      </c>
      <c r="B1030">
        <v>101029</v>
      </c>
      <c r="C1030">
        <v>1000</v>
      </c>
    </row>
    <row r="1031" spans="1:3">
      <c r="A1031" t="s">
        <v>2871</v>
      </c>
      <c r="B1031">
        <v>101030</v>
      </c>
      <c r="C1031">
        <v>1000</v>
      </c>
    </row>
    <row r="1032" spans="1:3">
      <c r="A1032" t="s">
        <v>2872</v>
      </c>
      <c r="B1032">
        <v>101031</v>
      </c>
      <c r="C1032">
        <v>1000</v>
      </c>
    </row>
    <row r="1033" spans="1:3">
      <c r="A1033" t="s">
        <v>2873</v>
      </c>
      <c r="B1033">
        <v>101032</v>
      </c>
      <c r="C1033">
        <v>1000</v>
      </c>
    </row>
    <row r="1034" spans="1:3">
      <c r="A1034" t="s">
        <v>2874</v>
      </c>
      <c r="B1034">
        <v>101033</v>
      </c>
      <c r="C1034">
        <v>1000</v>
      </c>
    </row>
    <row r="1035" spans="1:3">
      <c r="A1035" t="s">
        <v>2875</v>
      </c>
      <c r="B1035">
        <v>101034</v>
      </c>
      <c r="C1035">
        <v>1000</v>
      </c>
    </row>
    <row r="1036" spans="1:3">
      <c r="A1036" t="s">
        <v>2876</v>
      </c>
      <c r="B1036">
        <v>101035</v>
      </c>
      <c r="C1036">
        <v>1000</v>
      </c>
    </row>
    <row r="1037" spans="1:3">
      <c r="A1037" t="s">
        <v>2877</v>
      </c>
      <c r="B1037">
        <v>101036</v>
      </c>
      <c r="C1037">
        <v>1000</v>
      </c>
    </row>
    <row r="1038" spans="1:3">
      <c r="A1038" t="s">
        <v>2878</v>
      </c>
      <c r="B1038">
        <v>101037</v>
      </c>
      <c r="C1038">
        <v>1000</v>
      </c>
    </row>
    <row r="1039" spans="1:3">
      <c r="A1039" t="s">
        <v>2879</v>
      </c>
      <c r="B1039">
        <v>101038</v>
      </c>
      <c r="C1039">
        <v>1000</v>
      </c>
    </row>
    <row r="1040" spans="1:3">
      <c r="A1040" t="s">
        <v>2880</v>
      </c>
      <c r="B1040">
        <v>101039</v>
      </c>
      <c r="C1040">
        <v>1000</v>
      </c>
    </row>
    <row r="1041" spans="1:3">
      <c r="A1041" t="s">
        <v>2881</v>
      </c>
      <c r="B1041">
        <v>101040</v>
      </c>
      <c r="C1041">
        <v>1000</v>
      </c>
    </row>
    <row r="1042" spans="1:3">
      <c r="A1042" t="s">
        <v>2882</v>
      </c>
      <c r="B1042">
        <v>101041</v>
      </c>
      <c r="C1042">
        <v>1000</v>
      </c>
    </row>
    <row r="1043" spans="1:3">
      <c r="A1043" t="s">
        <v>2883</v>
      </c>
      <c r="B1043">
        <v>101042</v>
      </c>
      <c r="C1043">
        <v>1000</v>
      </c>
    </row>
    <row r="1044" spans="1:3">
      <c r="A1044" t="s">
        <v>2884</v>
      </c>
      <c r="B1044">
        <v>101043</v>
      </c>
      <c r="C1044">
        <v>1000</v>
      </c>
    </row>
    <row r="1045" spans="1:3">
      <c r="A1045" t="s">
        <v>2885</v>
      </c>
      <c r="B1045">
        <v>101044</v>
      </c>
      <c r="C1045">
        <v>1000</v>
      </c>
    </row>
    <row r="1046" spans="1:3">
      <c r="A1046" t="s">
        <v>2886</v>
      </c>
      <c r="B1046">
        <v>101045</v>
      </c>
      <c r="C1046">
        <v>1000</v>
      </c>
    </row>
    <row r="1047" spans="1:3">
      <c r="A1047" t="s">
        <v>2887</v>
      </c>
      <c r="B1047">
        <v>101046</v>
      </c>
      <c r="C1047">
        <v>1000</v>
      </c>
    </row>
    <row r="1048" spans="1:3">
      <c r="A1048" t="s">
        <v>2888</v>
      </c>
      <c r="B1048">
        <v>101047</v>
      </c>
      <c r="C1048">
        <v>1000</v>
      </c>
    </row>
    <row r="1049" spans="1:3">
      <c r="A1049" t="s">
        <v>2889</v>
      </c>
      <c r="B1049">
        <v>101048</v>
      </c>
      <c r="C1049">
        <v>1000</v>
      </c>
    </row>
    <row r="1050" spans="1:3">
      <c r="A1050" t="s">
        <v>2890</v>
      </c>
      <c r="B1050">
        <v>101049</v>
      </c>
      <c r="C1050">
        <v>1000</v>
      </c>
    </row>
    <row r="1051" spans="1:3">
      <c r="A1051" t="s">
        <v>643</v>
      </c>
      <c r="B1051">
        <v>101050</v>
      </c>
      <c r="C1051">
        <v>1000</v>
      </c>
    </row>
    <row r="1052" spans="1:3">
      <c r="A1052" t="s">
        <v>2891</v>
      </c>
      <c r="B1052">
        <v>101051</v>
      </c>
      <c r="C1052">
        <v>1000</v>
      </c>
    </row>
    <row r="1053" spans="1:3">
      <c r="A1053" t="s">
        <v>2892</v>
      </c>
      <c r="B1053">
        <v>101052</v>
      </c>
      <c r="C1053">
        <v>1000</v>
      </c>
    </row>
    <row r="1054" spans="1:3">
      <c r="A1054" t="s">
        <v>2893</v>
      </c>
      <c r="B1054">
        <v>101053</v>
      </c>
      <c r="C1054">
        <v>1000</v>
      </c>
    </row>
    <row r="1055" spans="1:3">
      <c r="A1055" t="s">
        <v>2894</v>
      </c>
      <c r="B1055">
        <v>101054</v>
      </c>
      <c r="C1055">
        <v>1000</v>
      </c>
    </row>
    <row r="1056" spans="1:3">
      <c r="A1056" t="s">
        <v>2895</v>
      </c>
      <c r="B1056">
        <v>101055</v>
      </c>
      <c r="C1056">
        <v>1000</v>
      </c>
    </row>
    <row r="1057" spans="1:3">
      <c r="A1057" t="s">
        <v>729</v>
      </c>
      <c r="B1057">
        <v>101056</v>
      </c>
      <c r="C1057">
        <v>1000</v>
      </c>
    </row>
    <row r="1058" spans="1:3">
      <c r="A1058" t="s">
        <v>2896</v>
      </c>
      <c r="B1058">
        <v>101057</v>
      </c>
      <c r="C1058">
        <v>1000</v>
      </c>
    </row>
    <row r="1059" spans="1:3">
      <c r="A1059" t="s">
        <v>2897</v>
      </c>
      <c r="B1059">
        <v>101058</v>
      </c>
      <c r="C1059">
        <v>1000</v>
      </c>
    </row>
    <row r="1060" spans="1:3">
      <c r="A1060" t="s">
        <v>2898</v>
      </c>
      <c r="B1060">
        <v>101059</v>
      </c>
      <c r="C1060">
        <v>1000</v>
      </c>
    </row>
    <row r="1061" spans="1:3">
      <c r="A1061" t="s">
        <v>2899</v>
      </c>
      <c r="B1061">
        <v>101060</v>
      </c>
      <c r="C1061">
        <v>1000</v>
      </c>
    </row>
    <row r="1062" spans="1:3">
      <c r="A1062" t="s">
        <v>2900</v>
      </c>
      <c r="B1062">
        <v>101061</v>
      </c>
      <c r="C1062">
        <v>1000</v>
      </c>
    </row>
    <row r="1063" spans="1:3">
      <c r="A1063" t="s">
        <v>2901</v>
      </c>
      <c r="B1063">
        <v>101062</v>
      </c>
      <c r="C1063">
        <v>1000</v>
      </c>
    </row>
    <row r="1064" spans="1:3">
      <c r="A1064" t="s">
        <v>2902</v>
      </c>
      <c r="B1064">
        <v>101063</v>
      </c>
      <c r="C1064">
        <v>1000</v>
      </c>
    </row>
    <row r="1065" spans="1:3">
      <c r="A1065" t="s">
        <v>2903</v>
      </c>
      <c r="B1065">
        <v>101064</v>
      </c>
      <c r="C1065">
        <v>1000</v>
      </c>
    </row>
    <row r="1066" spans="1:3">
      <c r="A1066" t="s">
        <v>2904</v>
      </c>
      <c r="B1066">
        <v>101065</v>
      </c>
      <c r="C1066">
        <v>1000</v>
      </c>
    </row>
    <row r="1067" spans="1:3">
      <c r="A1067" t="s">
        <v>2905</v>
      </c>
      <c r="B1067">
        <v>101066</v>
      </c>
      <c r="C1067">
        <v>1000</v>
      </c>
    </row>
    <row r="1068" spans="1:3">
      <c r="A1068" t="s">
        <v>2906</v>
      </c>
      <c r="B1068">
        <v>101067</v>
      </c>
      <c r="C1068">
        <v>1000</v>
      </c>
    </row>
    <row r="1069" spans="1:3">
      <c r="A1069" t="s">
        <v>2907</v>
      </c>
      <c r="B1069">
        <v>101068</v>
      </c>
      <c r="C1069">
        <v>1000</v>
      </c>
    </row>
    <row r="1070" spans="1:3">
      <c r="A1070" t="s">
        <v>2908</v>
      </c>
      <c r="B1070">
        <v>101069</v>
      </c>
      <c r="C1070">
        <v>1000</v>
      </c>
    </row>
    <row r="1071" spans="1:3">
      <c r="A1071" t="s">
        <v>2909</v>
      </c>
      <c r="B1071">
        <v>101070</v>
      </c>
      <c r="C1071">
        <v>1000</v>
      </c>
    </row>
    <row r="1072" spans="1:3">
      <c r="A1072" t="s">
        <v>2910</v>
      </c>
      <c r="B1072">
        <v>101071</v>
      </c>
      <c r="C1072">
        <v>1000</v>
      </c>
    </row>
    <row r="1073" spans="1:3">
      <c r="A1073" t="s">
        <v>2911</v>
      </c>
      <c r="B1073">
        <v>101072</v>
      </c>
      <c r="C1073">
        <v>1000</v>
      </c>
    </row>
    <row r="1074" spans="1:3">
      <c r="A1074" t="s">
        <v>2912</v>
      </c>
      <c r="B1074">
        <v>101073</v>
      </c>
      <c r="C1074">
        <v>1000</v>
      </c>
    </row>
    <row r="1075" spans="1:3">
      <c r="A1075" t="s">
        <v>2913</v>
      </c>
      <c r="B1075">
        <v>101074</v>
      </c>
      <c r="C1075">
        <v>1000</v>
      </c>
    </row>
    <row r="1076" spans="1:3">
      <c r="A1076" t="s">
        <v>2914</v>
      </c>
      <c r="B1076">
        <v>101075</v>
      </c>
      <c r="C1076">
        <v>1000</v>
      </c>
    </row>
    <row r="1077" spans="1:3">
      <c r="A1077" t="s">
        <v>2915</v>
      </c>
      <c r="B1077">
        <v>101076</v>
      </c>
      <c r="C1077">
        <v>1000</v>
      </c>
    </row>
    <row r="1078" spans="1:3">
      <c r="A1078" t="s">
        <v>2916</v>
      </c>
      <c r="B1078">
        <v>101077</v>
      </c>
      <c r="C1078">
        <v>1000</v>
      </c>
    </row>
    <row r="1079" spans="1:3">
      <c r="A1079" t="s">
        <v>2917</v>
      </c>
      <c r="B1079">
        <v>101078</v>
      </c>
      <c r="C1079">
        <v>1000</v>
      </c>
    </row>
    <row r="1080" spans="1:3">
      <c r="A1080" t="s">
        <v>2918</v>
      </c>
      <c r="B1080">
        <v>101079</v>
      </c>
      <c r="C1080">
        <v>1000</v>
      </c>
    </row>
    <row r="1081" spans="1:3">
      <c r="A1081" t="s">
        <v>2919</v>
      </c>
      <c r="B1081">
        <v>101080</v>
      </c>
      <c r="C1081">
        <v>1000</v>
      </c>
    </row>
    <row r="1082" spans="1:3">
      <c r="A1082" t="s">
        <v>2920</v>
      </c>
      <c r="B1082">
        <v>101081</v>
      </c>
      <c r="C1082">
        <v>1000</v>
      </c>
    </row>
    <row r="1083" spans="1:3">
      <c r="A1083" t="s">
        <v>2921</v>
      </c>
      <c r="B1083">
        <v>101082</v>
      </c>
      <c r="C1083">
        <v>1000</v>
      </c>
    </row>
    <row r="1084" spans="1:3">
      <c r="A1084" t="s">
        <v>723</v>
      </c>
      <c r="B1084">
        <v>101083</v>
      </c>
      <c r="C1084">
        <v>1000</v>
      </c>
    </row>
    <row r="1085" spans="1:3">
      <c r="A1085" t="s">
        <v>2922</v>
      </c>
      <c r="B1085">
        <v>101084</v>
      </c>
      <c r="C1085">
        <v>1000</v>
      </c>
    </row>
    <row r="1086" spans="1:3">
      <c r="A1086" t="s">
        <v>2923</v>
      </c>
      <c r="B1086">
        <v>101085</v>
      </c>
      <c r="C1086">
        <v>1000</v>
      </c>
    </row>
    <row r="1087" spans="1:3">
      <c r="A1087" t="s">
        <v>2924</v>
      </c>
      <c r="B1087">
        <v>101086</v>
      </c>
      <c r="C1087">
        <v>1000</v>
      </c>
    </row>
    <row r="1088" spans="1:3">
      <c r="A1088" t="s">
        <v>2925</v>
      </c>
      <c r="B1088">
        <v>101087</v>
      </c>
      <c r="C1088">
        <v>1000</v>
      </c>
    </row>
    <row r="1089" spans="1:3">
      <c r="A1089" t="s">
        <v>2926</v>
      </c>
      <c r="B1089">
        <v>101088</v>
      </c>
      <c r="C1089">
        <v>1000</v>
      </c>
    </row>
    <row r="1090" spans="1:3">
      <c r="A1090" t="s">
        <v>2927</v>
      </c>
      <c r="B1090">
        <v>101089</v>
      </c>
      <c r="C1090">
        <v>1000</v>
      </c>
    </row>
    <row r="1091" spans="1:3">
      <c r="A1091" t="s">
        <v>722</v>
      </c>
      <c r="B1091">
        <v>101090</v>
      </c>
      <c r="C1091">
        <v>1000</v>
      </c>
    </row>
    <row r="1092" spans="1:3">
      <c r="A1092" t="s">
        <v>2928</v>
      </c>
      <c r="B1092">
        <v>101091</v>
      </c>
      <c r="C1092">
        <v>1000</v>
      </c>
    </row>
    <row r="1093" spans="1:3">
      <c r="A1093" t="s">
        <v>2929</v>
      </c>
      <c r="B1093">
        <v>101092</v>
      </c>
      <c r="C1093">
        <v>1000</v>
      </c>
    </row>
    <row r="1094" spans="1:3">
      <c r="A1094" t="s">
        <v>2930</v>
      </c>
      <c r="B1094">
        <v>101093</v>
      </c>
      <c r="C1094">
        <v>1000</v>
      </c>
    </row>
    <row r="1095" spans="1:3">
      <c r="A1095" t="s">
        <v>2931</v>
      </c>
      <c r="B1095">
        <v>101094</v>
      </c>
      <c r="C1095">
        <v>1000</v>
      </c>
    </row>
    <row r="1096" spans="1:3">
      <c r="A1096" t="s">
        <v>2932</v>
      </c>
      <c r="B1096">
        <v>101095</v>
      </c>
      <c r="C1096">
        <v>1000</v>
      </c>
    </row>
    <row r="1097" spans="1:3">
      <c r="A1097" t="s">
        <v>2933</v>
      </c>
      <c r="B1097">
        <v>101096</v>
      </c>
      <c r="C1097">
        <v>1000</v>
      </c>
    </row>
    <row r="1098" spans="1:3">
      <c r="A1098" t="s">
        <v>2934</v>
      </c>
      <c r="B1098">
        <v>101097</v>
      </c>
      <c r="C1098">
        <v>1000</v>
      </c>
    </row>
    <row r="1099" spans="1:3">
      <c r="A1099" t="s">
        <v>2935</v>
      </c>
      <c r="B1099">
        <v>101098</v>
      </c>
      <c r="C1099">
        <v>1000</v>
      </c>
    </row>
    <row r="1100" spans="1:3">
      <c r="A1100" t="s">
        <v>2936</v>
      </c>
      <c r="B1100">
        <v>101099</v>
      </c>
      <c r="C1100">
        <v>1000</v>
      </c>
    </row>
    <row r="1101" spans="1:3">
      <c r="A1101" t="s">
        <v>2937</v>
      </c>
      <c r="B1101">
        <v>101100</v>
      </c>
      <c r="C1101">
        <v>1000</v>
      </c>
    </row>
    <row r="1102" spans="1:3">
      <c r="A1102" t="s">
        <v>2938</v>
      </c>
      <c r="B1102">
        <v>101101</v>
      </c>
      <c r="C1102">
        <v>1000</v>
      </c>
    </row>
    <row r="1103" spans="1:3">
      <c r="A1103" t="s">
        <v>2939</v>
      </c>
      <c r="B1103">
        <v>101102</v>
      </c>
      <c r="C1103">
        <v>1000</v>
      </c>
    </row>
    <row r="1104" spans="1:3">
      <c r="A1104" t="s">
        <v>2940</v>
      </c>
      <c r="B1104">
        <v>101103</v>
      </c>
      <c r="C1104">
        <v>1000</v>
      </c>
    </row>
    <row r="1105" spans="1:3">
      <c r="A1105" t="s">
        <v>2941</v>
      </c>
      <c r="B1105">
        <v>101104</v>
      </c>
      <c r="C1105">
        <v>1000</v>
      </c>
    </row>
    <row r="1106" spans="1:3">
      <c r="A1106" t="s">
        <v>2942</v>
      </c>
      <c r="B1106">
        <v>101105</v>
      </c>
      <c r="C1106">
        <v>1000</v>
      </c>
    </row>
    <row r="1107" spans="1:3">
      <c r="A1107" t="s">
        <v>2943</v>
      </c>
      <c r="B1107">
        <v>101106</v>
      </c>
      <c r="C1107">
        <v>1000</v>
      </c>
    </row>
    <row r="1108" spans="1:3">
      <c r="A1108" t="s">
        <v>2944</v>
      </c>
      <c r="B1108">
        <v>101107</v>
      </c>
      <c r="C1108">
        <v>1000</v>
      </c>
    </row>
    <row r="1109" spans="1:3">
      <c r="A1109" t="s">
        <v>2945</v>
      </c>
      <c r="B1109">
        <v>101108</v>
      </c>
      <c r="C1109">
        <v>1000</v>
      </c>
    </row>
    <row r="1110" spans="1:3">
      <c r="A1110" t="s">
        <v>2946</v>
      </c>
      <c r="B1110">
        <v>101109</v>
      </c>
      <c r="C1110">
        <v>1000</v>
      </c>
    </row>
    <row r="1111" spans="1:3">
      <c r="A1111" t="s">
        <v>2947</v>
      </c>
      <c r="B1111">
        <v>101110</v>
      </c>
      <c r="C1111">
        <v>1000</v>
      </c>
    </row>
    <row r="1112" spans="1:3">
      <c r="A1112" t="s">
        <v>2948</v>
      </c>
      <c r="B1112">
        <v>101111</v>
      </c>
      <c r="C1112">
        <v>1000</v>
      </c>
    </row>
    <row r="1113" spans="1:3">
      <c r="A1113" t="s">
        <v>2949</v>
      </c>
      <c r="B1113">
        <v>101112</v>
      </c>
      <c r="C1113">
        <v>1000</v>
      </c>
    </row>
    <row r="1114" spans="1:3">
      <c r="A1114" t="s">
        <v>2950</v>
      </c>
      <c r="B1114">
        <v>101113</v>
      </c>
      <c r="C1114">
        <v>1000</v>
      </c>
    </row>
    <row r="1115" spans="1:3">
      <c r="A1115" t="s">
        <v>2951</v>
      </c>
      <c r="B1115">
        <v>101114</v>
      </c>
      <c r="C1115">
        <v>1000</v>
      </c>
    </row>
    <row r="1116" spans="1:3">
      <c r="A1116" t="s">
        <v>2952</v>
      </c>
      <c r="B1116">
        <v>101115</v>
      </c>
      <c r="C1116">
        <v>1000</v>
      </c>
    </row>
    <row r="1117" spans="1:3">
      <c r="A1117" t="s">
        <v>2953</v>
      </c>
      <c r="B1117">
        <v>101116</v>
      </c>
      <c r="C1117">
        <v>1000</v>
      </c>
    </row>
    <row r="1118" spans="1:3">
      <c r="A1118" t="s">
        <v>2954</v>
      </c>
      <c r="B1118">
        <v>101117</v>
      </c>
      <c r="C1118">
        <v>1000</v>
      </c>
    </row>
    <row r="1119" spans="1:3">
      <c r="A1119" t="s">
        <v>2250</v>
      </c>
      <c r="B1119">
        <v>101118</v>
      </c>
      <c r="C1119">
        <v>1000</v>
      </c>
    </row>
    <row r="1120" spans="1:3">
      <c r="A1120" t="s">
        <v>2955</v>
      </c>
      <c r="B1120">
        <v>101119</v>
      </c>
      <c r="C1120">
        <v>1000</v>
      </c>
    </row>
    <row r="1121" spans="1:3">
      <c r="A1121" t="s">
        <v>2956</v>
      </c>
      <c r="B1121">
        <v>101120</v>
      </c>
      <c r="C1121">
        <v>1000</v>
      </c>
    </row>
    <row r="1122" spans="1:3">
      <c r="A1122" t="s">
        <v>2957</v>
      </c>
      <c r="B1122">
        <v>101121</v>
      </c>
      <c r="C1122">
        <v>1000</v>
      </c>
    </row>
    <row r="1123" spans="1:3">
      <c r="A1123" t="s">
        <v>2958</v>
      </c>
      <c r="B1123">
        <v>101122</v>
      </c>
      <c r="C1123">
        <v>1000</v>
      </c>
    </row>
    <row r="1124" spans="1:3">
      <c r="A1124" t="s">
        <v>2959</v>
      </c>
      <c r="B1124">
        <v>101123</v>
      </c>
      <c r="C1124">
        <v>1000</v>
      </c>
    </row>
    <row r="1125" spans="1:3">
      <c r="A1125" t="s">
        <v>2960</v>
      </c>
      <c r="B1125">
        <v>101124</v>
      </c>
      <c r="C1125">
        <v>1000</v>
      </c>
    </row>
    <row r="1126" spans="1:3">
      <c r="A1126" t="s">
        <v>2961</v>
      </c>
      <c r="B1126">
        <v>101125</v>
      </c>
      <c r="C1126">
        <v>1000</v>
      </c>
    </row>
    <row r="1127" spans="1:3">
      <c r="A1127" t="s">
        <v>2962</v>
      </c>
      <c r="B1127">
        <v>101126</v>
      </c>
      <c r="C1127">
        <v>1000</v>
      </c>
    </row>
    <row r="1128" spans="1:3">
      <c r="A1128" t="s">
        <v>2963</v>
      </c>
      <c r="B1128">
        <v>101127</v>
      </c>
      <c r="C1128">
        <v>1000</v>
      </c>
    </row>
    <row r="1129" spans="1:3">
      <c r="A1129" t="s">
        <v>2964</v>
      </c>
      <c r="B1129">
        <v>101128</v>
      </c>
      <c r="C1129">
        <v>1000</v>
      </c>
    </row>
    <row r="1130" spans="1:3">
      <c r="A1130" t="s">
        <v>2965</v>
      </c>
      <c r="B1130">
        <v>101129</v>
      </c>
      <c r="C1130">
        <v>1000</v>
      </c>
    </row>
    <row r="1131" spans="1:3">
      <c r="A1131" t="s">
        <v>2966</v>
      </c>
      <c r="B1131">
        <v>101130</v>
      </c>
      <c r="C1131">
        <v>1000</v>
      </c>
    </row>
    <row r="1132" spans="1:3">
      <c r="A1132" t="s">
        <v>2967</v>
      </c>
      <c r="B1132">
        <v>101131</v>
      </c>
      <c r="C1132">
        <v>1000</v>
      </c>
    </row>
    <row r="1133" spans="1:3">
      <c r="A1133" t="s">
        <v>2968</v>
      </c>
      <c r="B1133">
        <v>101132</v>
      </c>
      <c r="C1133">
        <v>1000</v>
      </c>
    </row>
    <row r="1134" spans="1:3">
      <c r="A1134" t="s">
        <v>2969</v>
      </c>
      <c r="B1134">
        <v>101133</v>
      </c>
      <c r="C1134">
        <v>1000</v>
      </c>
    </row>
    <row r="1135" spans="1:3">
      <c r="A1135" t="s">
        <v>2970</v>
      </c>
      <c r="B1135">
        <v>101134</v>
      </c>
      <c r="C1135">
        <v>1000</v>
      </c>
    </row>
    <row r="1136" spans="1:3">
      <c r="A1136" t="s">
        <v>2971</v>
      </c>
      <c r="B1136">
        <v>101135</v>
      </c>
      <c r="C1136">
        <v>1000</v>
      </c>
    </row>
    <row r="1137" spans="1:3">
      <c r="A1137" t="s">
        <v>2972</v>
      </c>
      <c r="B1137">
        <v>101136</v>
      </c>
      <c r="C1137">
        <v>1000</v>
      </c>
    </row>
    <row r="1138" spans="1:3">
      <c r="A1138" t="s">
        <v>2973</v>
      </c>
      <c r="B1138">
        <v>101137</v>
      </c>
      <c r="C1138">
        <v>1000</v>
      </c>
    </row>
    <row r="1139" spans="1:3">
      <c r="A1139" t="s">
        <v>2974</v>
      </c>
      <c r="B1139">
        <v>101138</v>
      </c>
      <c r="C1139">
        <v>1000</v>
      </c>
    </row>
    <row r="1140" spans="1:3">
      <c r="A1140" t="s">
        <v>2975</v>
      </c>
      <c r="B1140">
        <v>101139</v>
      </c>
      <c r="C1140">
        <v>1000</v>
      </c>
    </row>
    <row r="1141" spans="1:3">
      <c r="A1141" t="s">
        <v>2976</v>
      </c>
      <c r="B1141">
        <v>101140</v>
      </c>
      <c r="C1141">
        <v>1000</v>
      </c>
    </row>
    <row r="1142" spans="1:3">
      <c r="A1142" t="s">
        <v>2977</v>
      </c>
      <c r="B1142">
        <v>101141</v>
      </c>
      <c r="C1142">
        <v>1000</v>
      </c>
    </row>
    <row r="1143" spans="1:3">
      <c r="A1143" t="s">
        <v>2978</v>
      </c>
      <c r="B1143">
        <v>101142</v>
      </c>
      <c r="C1143">
        <v>1000</v>
      </c>
    </row>
    <row r="1144" spans="1:3">
      <c r="A1144" t="s">
        <v>2979</v>
      </c>
      <c r="B1144">
        <v>101143</v>
      </c>
      <c r="C1144">
        <v>1000</v>
      </c>
    </row>
    <row r="1145" spans="1:3">
      <c r="A1145" t="s">
        <v>2980</v>
      </c>
      <c r="B1145">
        <v>101144</v>
      </c>
      <c r="C1145">
        <v>1000</v>
      </c>
    </row>
    <row r="1146" spans="1:3">
      <c r="A1146" t="s">
        <v>610</v>
      </c>
      <c r="B1146">
        <v>101145</v>
      </c>
      <c r="C1146">
        <v>1000</v>
      </c>
    </row>
    <row r="1147" spans="1:3">
      <c r="A1147" t="s">
        <v>2981</v>
      </c>
      <c r="B1147">
        <v>101146</v>
      </c>
      <c r="C1147">
        <v>1000</v>
      </c>
    </row>
    <row r="1148" spans="1:3">
      <c r="A1148" t="s">
        <v>2982</v>
      </c>
      <c r="B1148">
        <v>101147</v>
      </c>
      <c r="C1148">
        <v>1000</v>
      </c>
    </row>
    <row r="1149" spans="1:3">
      <c r="A1149" t="s">
        <v>2983</v>
      </c>
      <c r="B1149">
        <v>101148</v>
      </c>
      <c r="C1149">
        <v>1000</v>
      </c>
    </row>
    <row r="1150" spans="1:3">
      <c r="A1150" t="s">
        <v>2984</v>
      </c>
      <c r="B1150">
        <v>101149</v>
      </c>
      <c r="C1150">
        <v>1000</v>
      </c>
    </row>
    <row r="1151" spans="1:3">
      <c r="A1151" t="s">
        <v>2985</v>
      </c>
      <c r="B1151">
        <v>101150</v>
      </c>
      <c r="C1151">
        <v>1000</v>
      </c>
    </row>
    <row r="1152" spans="1:3">
      <c r="A1152" t="s">
        <v>2986</v>
      </c>
      <c r="B1152">
        <v>101151</v>
      </c>
      <c r="C1152">
        <v>1000</v>
      </c>
    </row>
    <row r="1153" spans="1:3">
      <c r="A1153" t="s">
        <v>2987</v>
      </c>
      <c r="B1153">
        <v>101152</v>
      </c>
      <c r="C1153">
        <v>1000</v>
      </c>
    </row>
    <row r="1154" spans="1:3">
      <c r="A1154" t="s">
        <v>2988</v>
      </c>
      <c r="B1154">
        <v>101153</v>
      </c>
      <c r="C1154">
        <v>1000</v>
      </c>
    </row>
    <row r="1155" spans="1:3">
      <c r="A1155" t="s">
        <v>2989</v>
      </c>
      <c r="B1155">
        <v>101154</v>
      </c>
      <c r="C1155">
        <v>1000</v>
      </c>
    </row>
    <row r="1156" spans="1:3">
      <c r="A1156" t="s">
        <v>2990</v>
      </c>
      <c r="B1156">
        <v>101155</v>
      </c>
      <c r="C1156">
        <v>1000</v>
      </c>
    </row>
    <row r="1157" spans="1:3">
      <c r="A1157" t="s">
        <v>2991</v>
      </c>
      <c r="B1157">
        <v>101156</v>
      </c>
      <c r="C1157">
        <v>1000</v>
      </c>
    </row>
    <row r="1158" spans="1:3">
      <c r="A1158" t="s">
        <v>2992</v>
      </c>
      <c r="B1158">
        <v>101157</v>
      </c>
      <c r="C1158">
        <v>1000</v>
      </c>
    </row>
    <row r="1159" spans="1:3">
      <c r="A1159" t="s">
        <v>2993</v>
      </c>
      <c r="B1159">
        <v>101158</v>
      </c>
      <c r="C1159">
        <v>1000</v>
      </c>
    </row>
    <row r="1160" spans="1:3">
      <c r="A1160" t="s">
        <v>2994</v>
      </c>
      <c r="B1160">
        <v>101159</v>
      </c>
      <c r="C1160">
        <v>1000</v>
      </c>
    </row>
    <row r="1161" spans="1:3">
      <c r="A1161" t="s">
        <v>2995</v>
      </c>
      <c r="B1161">
        <v>101160</v>
      </c>
      <c r="C1161">
        <v>1000</v>
      </c>
    </row>
    <row r="1162" spans="1:3">
      <c r="A1162" t="s">
        <v>2996</v>
      </c>
      <c r="B1162">
        <v>101161</v>
      </c>
      <c r="C1162">
        <v>1000</v>
      </c>
    </row>
    <row r="1163" spans="1:3">
      <c r="A1163" t="s">
        <v>2997</v>
      </c>
      <c r="B1163">
        <v>101162</v>
      </c>
      <c r="C1163">
        <v>1000</v>
      </c>
    </row>
    <row r="1164" spans="1:3">
      <c r="A1164" t="s">
        <v>2998</v>
      </c>
      <c r="B1164">
        <v>101163</v>
      </c>
      <c r="C1164">
        <v>1000</v>
      </c>
    </row>
    <row r="1165" spans="1:3">
      <c r="A1165" t="s">
        <v>2999</v>
      </c>
      <c r="B1165">
        <v>101164</v>
      </c>
      <c r="C1165">
        <v>1000</v>
      </c>
    </row>
    <row r="1166" spans="1:3">
      <c r="A1166" t="s">
        <v>3000</v>
      </c>
      <c r="B1166">
        <v>101165</v>
      </c>
      <c r="C1166">
        <v>1000</v>
      </c>
    </row>
    <row r="1167" spans="1:3">
      <c r="A1167" t="s">
        <v>3001</v>
      </c>
      <c r="B1167">
        <v>101166</v>
      </c>
      <c r="C1167">
        <v>1000</v>
      </c>
    </row>
    <row r="1168" spans="1:3">
      <c r="A1168" t="s">
        <v>3002</v>
      </c>
      <c r="B1168">
        <v>101167</v>
      </c>
      <c r="C1168">
        <v>1000</v>
      </c>
    </row>
    <row r="1169" spans="1:3">
      <c r="A1169" t="s">
        <v>3003</v>
      </c>
      <c r="B1169">
        <v>101168</v>
      </c>
      <c r="C1169">
        <v>1000</v>
      </c>
    </row>
    <row r="1170" spans="1:3">
      <c r="A1170" t="s">
        <v>3004</v>
      </c>
      <c r="B1170">
        <v>101169</v>
      </c>
      <c r="C1170">
        <v>1000</v>
      </c>
    </row>
    <row r="1171" spans="1:3">
      <c r="A1171" t="s">
        <v>3005</v>
      </c>
      <c r="B1171">
        <v>101170</v>
      </c>
      <c r="C1171">
        <v>1000</v>
      </c>
    </row>
    <row r="1172" spans="1:3">
      <c r="A1172" t="s">
        <v>3006</v>
      </c>
      <c r="B1172">
        <v>101171</v>
      </c>
      <c r="C1172">
        <v>1000</v>
      </c>
    </row>
    <row r="1173" spans="1:3">
      <c r="A1173" t="s">
        <v>3007</v>
      </c>
      <c r="B1173">
        <v>101172</v>
      </c>
      <c r="C1173">
        <v>1000</v>
      </c>
    </row>
    <row r="1174" spans="1:3">
      <c r="A1174" t="s">
        <v>3008</v>
      </c>
      <c r="B1174">
        <v>101173</v>
      </c>
      <c r="C1174">
        <v>1000</v>
      </c>
    </row>
    <row r="1175" spans="1:3">
      <c r="A1175" t="s">
        <v>3009</v>
      </c>
      <c r="B1175">
        <v>101174</v>
      </c>
      <c r="C1175">
        <v>1000</v>
      </c>
    </row>
    <row r="1176" spans="1:3">
      <c r="A1176" t="s">
        <v>3010</v>
      </c>
      <c r="B1176">
        <v>101175</v>
      </c>
      <c r="C1176">
        <v>1000</v>
      </c>
    </row>
    <row r="1177" spans="1:3">
      <c r="A1177" t="s">
        <v>3011</v>
      </c>
      <c r="B1177">
        <v>101176</v>
      </c>
      <c r="C1177">
        <v>1000</v>
      </c>
    </row>
    <row r="1178" spans="1:3">
      <c r="A1178" t="s">
        <v>3012</v>
      </c>
      <c r="B1178">
        <v>101177</v>
      </c>
      <c r="C1178">
        <v>1000</v>
      </c>
    </row>
    <row r="1179" spans="1:3">
      <c r="A1179" t="s">
        <v>3013</v>
      </c>
      <c r="B1179">
        <v>101178</v>
      </c>
      <c r="C1179">
        <v>1000</v>
      </c>
    </row>
    <row r="1180" spans="1:3">
      <c r="A1180" t="s">
        <v>3014</v>
      </c>
      <c r="B1180">
        <v>101179</v>
      </c>
      <c r="C1180">
        <v>1000</v>
      </c>
    </row>
    <row r="1181" spans="1:3">
      <c r="A1181" t="s">
        <v>3015</v>
      </c>
      <c r="B1181">
        <v>101180</v>
      </c>
      <c r="C1181">
        <v>1000</v>
      </c>
    </row>
    <row r="1182" spans="1:3">
      <c r="A1182" t="s">
        <v>3016</v>
      </c>
      <c r="B1182">
        <v>101181</v>
      </c>
      <c r="C1182">
        <v>1000</v>
      </c>
    </row>
    <row r="1183" spans="1:3">
      <c r="A1183" t="s">
        <v>3017</v>
      </c>
      <c r="B1183">
        <v>101182</v>
      </c>
      <c r="C1183">
        <v>1000</v>
      </c>
    </row>
    <row r="1184" spans="1:3">
      <c r="A1184" t="s">
        <v>3018</v>
      </c>
      <c r="B1184">
        <v>101183</v>
      </c>
      <c r="C1184">
        <v>1000</v>
      </c>
    </row>
    <row r="1185" spans="1:3">
      <c r="A1185" t="s">
        <v>3019</v>
      </c>
      <c r="B1185">
        <v>101184</v>
      </c>
      <c r="C1185">
        <v>1000</v>
      </c>
    </row>
    <row r="1186" spans="1:3">
      <c r="A1186" t="s">
        <v>3020</v>
      </c>
      <c r="B1186">
        <v>101185</v>
      </c>
      <c r="C1186">
        <v>1000</v>
      </c>
    </row>
    <row r="1187" spans="1:3">
      <c r="A1187" t="s">
        <v>3021</v>
      </c>
      <c r="B1187">
        <v>101186</v>
      </c>
      <c r="C1187">
        <v>1000</v>
      </c>
    </row>
    <row r="1188" spans="1:3">
      <c r="A1188" t="s">
        <v>3022</v>
      </c>
      <c r="B1188">
        <v>101187</v>
      </c>
      <c r="C1188">
        <v>1000</v>
      </c>
    </row>
    <row r="1189" spans="1:3">
      <c r="A1189" t="s">
        <v>3023</v>
      </c>
      <c r="B1189">
        <v>101188</v>
      </c>
      <c r="C1189">
        <v>1000</v>
      </c>
    </row>
    <row r="1190" spans="1:3">
      <c r="A1190" t="s">
        <v>3024</v>
      </c>
      <c r="B1190">
        <v>101189</v>
      </c>
      <c r="C1190">
        <v>1000</v>
      </c>
    </row>
    <row r="1191" spans="1:3">
      <c r="A1191" t="s">
        <v>3025</v>
      </c>
      <c r="B1191">
        <v>101190</v>
      </c>
      <c r="C1191">
        <v>1000</v>
      </c>
    </row>
    <row r="1192" spans="1:3">
      <c r="A1192" t="s">
        <v>3026</v>
      </c>
      <c r="B1192">
        <v>101191</v>
      </c>
      <c r="C1192">
        <v>1000</v>
      </c>
    </row>
    <row r="1193" spans="1:3">
      <c r="A1193" t="s">
        <v>3027</v>
      </c>
      <c r="B1193">
        <v>101192</v>
      </c>
      <c r="C1193">
        <v>1000</v>
      </c>
    </row>
    <row r="1194" spans="1:3">
      <c r="A1194" t="s">
        <v>3028</v>
      </c>
      <c r="B1194">
        <v>101193</v>
      </c>
      <c r="C1194">
        <v>1000</v>
      </c>
    </row>
    <row r="1195" spans="1:3">
      <c r="A1195" t="s">
        <v>3029</v>
      </c>
      <c r="B1195">
        <v>101194</v>
      </c>
      <c r="C1195">
        <v>1000</v>
      </c>
    </row>
    <row r="1196" spans="1:3">
      <c r="A1196" t="s">
        <v>3030</v>
      </c>
      <c r="B1196">
        <v>101195</v>
      </c>
      <c r="C1196">
        <v>1000</v>
      </c>
    </row>
    <row r="1197" spans="1:3">
      <c r="A1197" t="s">
        <v>3031</v>
      </c>
      <c r="B1197">
        <v>101196</v>
      </c>
      <c r="C1197">
        <v>1000</v>
      </c>
    </row>
    <row r="1198" spans="1:3">
      <c r="A1198" t="s">
        <v>3032</v>
      </c>
      <c r="B1198">
        <v>101197</v>
      </c>
      <c r="C1198">
        <v>1000</v>
      </c>
    </row>
    <row r="1199" spans="1:3">
      <c r="A1199" t="s">
        <v>3033</v>
      </c>
      <c r="B1199">
        <v>101198</v>
      </c>
      <c r="C1199">
        <v>1000</v>
      </c>
    </row>
    <row r="1200" spans="1:3">
      <c r="A1200" t="s">
        <v>3034</v>
      </c>
      <c r="B1200">
        <v>101199</v>
      </c>
      <c r="C1200">
        <v>1000</v>
      </c>
    </row>
    <row r="1201" spans="1:3">
      <c r="A1201" t="s">
        <v>3035</v>
      </c>
      <c r="B1201">
        <v>101200</v>
      </c>
      <c r="C1201">
        <v>1000</v>
      </c>
    </row>
    <row r="1202" spans="1:3">
      <c r="A1202" t="s">
        <v>3036</v>
      </c>
      <c r="B1202">
        <v>101201</v>
      </c>
      <c r="C1202">
        <v>1000</v>
      </c>
    </row>
    <row r="1203" spans="1:3">
      <c r="A1203" t="s">
        <v>3037</v>
      </c>
      <c r="B1203">
        <v>101202</v>
      </c>
      <c r="C1203">
        <v>1000</v>
      </c>
    </row>
    <row r="1204" spans="1:3">
      <c r="A1204" t="s">
        <v>3038</v>
      </c>
      <c r="B1204">
        <v>101203</v>
      </c>
      <c r="C1204">
        <v>1000</v>
      </c>
    </row>
    <row r="1205" spans="1:3">
      <c r="A1205" t="s">
        <v>3039</v>
      </c>
      <c r="B1205">
        <v>101204</v>
      </c>
      <c r="C1205">
        <v>1000</v>
      </c>
    </row>
    <row r="1206" spans="1:3">
      <c r="A1206" t="s">
        <v>3040</v>
      </c>
      <c r="B1206">
        <v>101205</v>
      </c>
      <c r="C1206">
        <v>1000</v>
      </c>
    </row>
    <row r="1207" spans="1:3">
      <c r="A1207" t="s">
        <v>3041</v>
      </c>
      <c r="B1207">
        <v>101206</v>
      </c>
      <c r="C1207">
        <v>1000</v>
      </c>
    </row>
    <row r="1208" spans="1:3">
      <c r="A1208" t="s">
        <v>3042</v>
      </c>
      <c r="B1208">
        <v>101207</v>
      </c>
      <c r="C1208">
        <v>1000</v>
      </c>
    </row>
    <row r="1209" spans="1:3">
      <c r="A1209" t="s">
        <v>3043</v>
      </c>
      <c r="B1209">
        <v>101208</v>
      </c>
      <c r="C1209">
        <v>1000</v>
      </c>
    </row>
    <row r="1210" spans="1:3">
      <c r="A1210" t="s">
        <v>3044</v>
      </c>
      <c r="B1210">
        <v>101209</v>
      </c>
      <c r="C1210">
        <v>1000</v>
      </c>
    </row>
    <row r="1211" spans="1:3">
      <c r="A1211" t="s">
        <v>3045</v>
      </c>
      <c r="B1211">
        <v>101210</v>
      </c>
      <c r="C1211">
        <v>1000</v>
      </c>
    </row>
    <row r="1212" spans="1:3">
      <c r="A1212" t="s">
        <v>3046</v>
      </c>
      <c r="B1212">
        <v>101211</v>
      </c>
      <c r="C1212">
        <v>1000</v>
      </c>
    </row>
    <row r="1213" spans="1:3">
      <c r="A1213" t="s">
        <v>3047</v>
      </c>
      <c r="B1213">
        <v>101212</v>
      </c>
      <c r="C1213">
        <v>1000</v>
      </c>
    </row>
    <row r="1214" spans="1:3">
      <c r="A1214" t="s">
        <v>3048</v>
      </c>
      <c r="B1214">
        <v>101213</v>
      </c>
      <c r="C1214">
        <v>1000</v>
      </c>
    </row>
    <row r="1215" spans="1:3">
      <c r="A1215" t="s">
        <v>3049</v>
      </c>
      <c r="B1215">
        <v>101214</v>
      </c>
      <c r="C1215">
        <v>1000</v>
      </c>
    </row>
    <row r="1216" spans="1:3">
      <c r="A1216" t="s">
        <v>3050</v>
      </c>
      <c r="B1216">
        <v>101215</v>
      </c>
      <c r="C1216">
        <v>1000</v>
      </c>
    </row>
    <row r="1217" spans="1:3">
      <c r="A1217" t="s">
        <v>3051</v>
      </c>
      <c r="B1217">
        <v>101216</v>
      </c>
      <c r="C1217">
        <v>1000</v>
      </c>
    </row>
    <row r="1218" spans="1:3">
      <c r="A1218" t="s">
        <v>3052</v>
      </c>
      <c r="B1218">
        <v>101217</v>
      </c>
      <c r="C1218">
        <v>1000</v>
      </c>
    </row>
    <row r="1219" spans="1:3">
      <c r="A1219" t="s">
        <v>3053</v>
      </c>
      <c r="B1219">
        <v>101218</v>
      </c>
      <c r="C1219">
        <v>1000</v>
      </c>
    </row>
    <row r="1220" spans="1:3">
      <c r="A1220" t="s">
        <v>3054</v>
      </c>
      <c r="B1220">
        <v>101219</v>
      </c>
      <c r="C1220">
        <v>1000</v>
      </c>
    </row>
    <row r="1221" spans="1:3">
      <c r="A1221" t="s">
        <v>3055</v>
      </c>
      <c r="B1221">
        <v>101220</v>
      </c>
      <c r="C1221">
        <v>1000</v>
      </c>
    </row>
    <row r="1222" spans="1:3">
      <c r="A1222" t="s">
        <v>3056</v>
      </c>
      <c r="B1222">
        <v>101221</v>
      </c>
      <c r="C1222">
        <v>1000</v>
      </c>
    </row>
    <row r="1223" spans="1:3">
      <c r="A1223" t="s">
        <v>3057</v>
      </c>
      <c r="B1223">
        <v>101222</v>
      </c>
      <c r="C1223">
        <v>1000</v>
      </c>
    </row>
    <row r="1224" spans="1:3">
      <c r="A1224" t="s">
        <v>3058</v>
      </c>
      <c r="B1224">
        <v>101223</v>
      </c>
      <c r="C1224">
        <v>1000</v>
      </c>
    </row>
    <row r="1225" spans="1:3">
      <c r="A1225" t="s">
        <v>3059</v>
      </c>
      <c r="B1225">
        <v>101224</v>
      </c>
      <c r="C1225">
        <v>1000</v>
      </c>
    </row>
    <row r="1226" spans="1:3">
      <c r="A1226" t="s">
        <v>3060</v>
      </c>
      <c r="B1226">
        <v>101225</v>
      </c>
      <c r="C1226">
        <v>1000</v>
      </c>
    </row>
    <row r="1227" spans="1:3">
      <c r="A1227" t="s">
        <v>3061</v>
      </c>
      <c r="B1227">
        <v>101226</v>
      </c>
      <c r="C1227">
        <v>1000</v>
      </c>
    </row>
    <row r="1228" spans="1:3">
      <c r="A1228" t="s">
        <v>3062</v>
      </c>
      <c r="B1228">
        <v>101227</v>
      </c>
      <c r="C1228">
        <v>1000</v>
      </c>
    </row>
    <row r="1229" spans="1:3">
      <c r="A1229" t="s">
        <v>3063</v>
      </c>
      <c r="B1229">
        <v>101228</v>
      </c>
      <c r="C1229">
        <v>1000</v>
      </c>
    </row>
    <row r="1230" spans="1:3">
      <c r="A1230" t="s">
        <v>3064</v>
      </c>
      <c r="B1230">
        <v>101229</v>
      </c>
      <c r="C1230">
        <v>1000</v>
      </c>
    </row>
    <row r="1231" spans="1:3">
      <c r="A1231" t="s">
        <v>3065</v>
      </c>
      <c r="B1231">
        <v>101230</v>
      </c>
      <c r="C1231">
        <v>1000</v>
      </c>
    </row>
    <row r="1232" spans="1:3">
      <c r="A1232" t="s">
        <v>3066</v>
      </c>
      <c r="B1232">
        <v>101231</v>
      </c>
      <c r="C1232">
        <v>1000</v>
      </c>
    </row>
    <row r="1233" spans="1:3">
      <c r="A1233" t="s">
        <v>3067</v>
      </c>
      <c r="B1233">
        <v>101232</v>
      </c>
      <c r="C1233">
        <v>1000</v>
      </c>
    </row>
    <row r="1234" spans="1:3">
      <c r="A1234" t="s">
        <v>3068</v>
      </c>
      <c r="B1234">
        <v>101233</v>
      </c>
      <c r="C1234">
        <v>1000</v>
      </c>
    </row>
    <row r="1235" spans="1:3">
      <c r="A1235" t="s">
        <v>3069</v>
      </c>
      <c r="B1235">
        <v>101234</v>
      </c>
      <c r="C1235">
        <v>1000</v>
      </c>
    </row>
    <row r="1236" spans="1:3">
      <c r="A1236" t="s">
        <v>3070</v>
      </c>
      <c r="B1236">
        <v>101235</v>
      </c>
      <c r="C1236">
        <v>1000</v>
      </c>
    </row>
    <row r="1237" spans="1:3">
      <c r="A1237" t="s">
        <v>3071</v>
      </c>
      <c r="B1237">
        <v>101236</v>
      </c>
      <c r="C1237">
        <v>1000</v>
      </c>
    </row>
    <row r="1238" spans="1:3">
      <c r="A1238" t="s">
        <v>3072</v>
      </c>
      <c r="B1238">
        <v>101237</v>
      </c>
      <c r="C1238">
        <v>1000</v>
      </c>
    </row>
    <row r="1239" spans="1:3">
      <c r="A1239" t="s">
        <v>3073</v>
      </c>
      <c r="B1239">
        <v>101238</v>
      </c>
      <c r="C1239">
        <v>1000</v>
      </c>
    </row>
    <row r="1240" spans="1:3">
      <c r="A1240" t="s">
        <v>3074</v>
      </c>
      <c r="B1240">
        <v>101239</v>
      </c>
      <c r="C1240">
        <v>1000</v>
      </c>
    </row>
    <row r="1241" spans="1:3">
      <c r="A1241" t="s">
        <v>3075</v>
      </c>
      <c r="B1241">
        <v>101240</v>
      </c>
      <c r="C1241">
        <v>1000</v>
      </c>
    </row>
    <row r="1242" spans="1:3">
      <c r="A1242" t="s">
        <v>3076</v>
      </c>
      <c r="B1242">
        <v>101241</v>
      </c>
      <c r="C1242">
        <v>1000</v>
      </c>
    </row>
    <row r="1243" spans="1:3">
      <c r="A1243" t="s">
        <v>3077</v>
      </c>
      <c r="B1243">
        <v>101242</v>
      </c>
      <c r="C1243">
        <v>1000</v>
      </c>
    </row>
    <row r="1244" spans="1:3">
      <c r="A1244" t="s">
        <v>3078</v>
      </c>
      <c r="B1244">
        <v>101243</v>
      </c>
      <c r="C1244">
        <v>1000</v>
      </c>
    </row>
    <row r="1245" spans="1:3">
      <c r="A1245" t="s">
        <v>3079</v>
      </c>
      <c r="B1245">
        <v>101244</v>
      </c>
      <c r="C1245">
        <v>1000</v>
      </c>
    </row>
    <row r="1246" spans="1:3">
      <c r="A1246" t="s">
        <v>3080</v>
      </c>
      <c r="B1246">
        <v>101245</v>
      </c>
      <c r="C1246">
        <v>1000</v>
      </c>
    </row>
    <row r="1247" spans="1:3">
      <c r="A1247" t="s">
        <v>3081</v>
      </c>
      <c r="B1247">
        <v>101246</v>
      </c>
      <c r="C1247">
        <v>1000</v>
      </c>
    </row>
    <row r="1248" spans="1:3">
      <c r="A1248" t="s">
        <v>3082</v>
      </c>
      <c r="B1248">
        <v>101247</v>
      </c>
      <c r="C1248">
        <v>1000</v>
      </c>
    </row>
    <row r="1249" spans="1:3">
      <c r="A1249" t="s">
        <v>3083</v>
      </c>
      <c r="B1249">
        <v>101248</v>
      </c>
      <c r="C1249">
        <v>1000</v>
      </c>
    </row>
    <row r="1250" spans="1:3">
      <c r="A1250" t="s">
        <v>3084</v>
      </c>
      <c r="B1250">
        <v>101249</v>
      </c>
      <c r="C1250">
        <v>1000</v>
      </c>
    </row>
    <row r="1251" spans="1:3">
      <c r="A1251" t="s">
        <v>3085</v>
      </c>
      <c r="B1251">
        <v>101250</v>
      </c>
      <c r="C1251">
        <v>1000</v>
      </c>
    </row>
    <row r="1252" spans="1:3">
      <c r="A1252" t="s">
        <v>3086</v>
      </c>
      <c r="B1252">
        <v>101251</v>
      </c>
      <c r="C1252">
        <v>1000</v>
      </c>
    </row>
    <row r="1253" spans="1:3">
      <c r="A1253" t="s">
        <v>3087</v>
      </c>
      <c r="B1253">
        <v>101252</v>
      </c>
      <c r="C1253">
        <v>1000</v>
      </c>
    </row>
    <row r="1254" spans="1:3">
      <c r="A1254" t="s">
        <v>3088</v>
      </c>
      <c r="B1254">
        <v>101253</v>
      </c>
      <c r="C1254">
        <v>1002</v>
      </c>
    </row>
    <row r="1255" spans="1:3">
      <c r="A1255" t="s">
        <v>3089</v>
      </c>
      <c r="B1255">
        <v>101254</v>
      </c>
      <c r="C1255">
        <v>1000</v>
      </c>
    </row>
    <row r="1256" spans="1:3">
      <c r="A1256" t="s">
        <v>3090</v>
      </c>
      <c r="B1256">
        <v>101255</v>
      </c>
      <c r="C1256">
        <v>1000</v>
      </c>
    </row>
    <row r="1257" spans="1:3">
      <c r="A1257" t="s">
        <v>3091</v>
      </c>
      <c r="B1257">
        <v>101256</v>
      </c>
      <c r="C1257">
        <v>1000</v>
      </c>
    </row>
    <row r="1258" spans="1:3">
      <c r="A1258" t="s">
        <v>3092</v>
      </c>
      <c r="B1258">
        <v>101257</v>
      </c>
      <c r="C1258">
        <v>1000</v>
      </c>
    </row>
    <row r="1259" spans="1:3">
      <c r="A1259" t="s">
        <v>3093</v>
      </c>
      <c r="B1259">
        <v>101258</v>
      </c>
      <c r="C1259">
        <v>1000</v>
      </c>
    </row>
    <row r="1260" spans="1:3">
      <c r="A1260" t="s">
        <v>3094</v>
      </c>
      <c r="B1260">
        <v>101259</v>
      </c>
      <c r="C1260">
        <v>1000</v>
      </c>
    </row>
    <row r="1261" spans="1:3">
      <c r="A1261" t="s">
        <v>3095</v>
      </c>
      <c r="B1261">
        <v>101260</v>
      </c>
      <c r="C1261">
        <v>1000</v>
      </c>
    </row>
    <row r="1262" spans="1:3">
      <c r="A1262" t="s">
        <v>3096</v>
      </c>
      <c r="B1262">
        <v>101261</v>
      </c>
      <c r="C1262">
        <v>1000</v>
      </c>
    </row>
    <row r="1263" spans="1:3">
      <c r="A1263" t="s">
        <v>3097</v>
      </c>
      <c r="B1263">
        <v>101262</v>
      </c>
      <c r="C1263">
        <v>1000</v>
      </c>
    </row>
    <row r="1264" spans="1:3">
      <c r="A1264" t="s">
        <v>3098</v>
      </c>
      <c r="B1264">
        <v>101263</v>
      </c>
      <c r="C1264">
        <v>1000</v>
      </c>
    </row>
    <row r="1265" spans="1:3">
      <c r="A1265" t="s">
        <v>3099</v>
      </c>
      <c r="B1265">
        <v>101264</v>
      </c>
      <c r="C1265">
        <v>1000</v>
      </c>
    </row>
    <row r="1266" spans="1:3">
      <c r="A1266" t="s">
        <v>709</v>
      </c>
      <c r="B1266">
        <v>101265</v>
      </c>
      <c r="C1266">
        <v>1000</v>
      </c>
    </row>
    <row r="1267" spans="1:3">
      <c r="A1267" t="s">
        <v>3100</v>
      </c>
      <c r="B1267">
        <v>101266</v>
      </c>
      <c r="C1267">
        <v>1000</v>
      </c>
    </row>
    <row r="1268" spans="1:3">
      <c r="A1268" t="s">
        <v>3101</v>
      </c>
      <c r="B1268">
        <v>101267</v>
      </c>
      <c r="C1268">
        <v>1000</v>
      </c>
    </row>
    <row r="1269" spans="1:3">
      <c r="A1269" t="s">
        <v>3102</v>
      </c>
      <c r="B1269">
        <v>101268</v>
      </c>
      <c r="C1269">
        <v>1000</v>
      </c>
    </row>
    <row r="1270" spans="1:3">
      <c r="A1270" t="s">
        <v>597</v>
      </c>
      <c r="B1270">
        <v>101269</v>
      </c>
      <c r="C1270">
        <v>1000</v>
      </c>
    </row>
    <row r="1271" spans="1:3">
      <c r="A1271" t="s">
        <v>3103</v>
      </c>
      <c r="B1271">
        <v>101270</v>
      </c>
      <c r="C1271">
        <v>1000</v>
      </c>
    </row>
    <row r="1272" spans="1:3">
      <c r="A1272" t="s">
        <v>3104</v>
      </c>
      <c r="B1272">
        <v>101271</v>
      </c>
      <c r="C1272">
        <v>1000</v>
      </c>
    </row>
    <row r="1273" spans="1:3">
      <c r="A1273" t="s">
        <v>3105</v>
      </c>
      <c r="B1273">
        <v>101272</v>
      </c>
      <c r="C1273">
        <v>1000</v>
      </c>
    </row>
    <row r="1274" spans="1:3">
      <c r="A1274" t="s">
        <v>3106</v>
      </c>
      <c r="B1274">
        <v>101273</v>
      </c>
      <c r="C1274">
        <v>1000</v>
      </c>
    </row>
    <row r="1275" spans="1:3">
      <c r="A1275" t="s">
        <v>3107</v>
      </c>
      <c r="B1275">
        <v>101274</v>
      </c>
      <c r="C1275">
        <v>1000</v>
      </c>
    </row>
    <row r="1276" spans="1:3">
      <c r="A1276" t="s">
        <v>3108</v>
      </c>
      <c r="B1276">
        <v>101275</v>
      </c>
      <c r="C1276">
        <v>1000</v>
      </c>
    </row>
    <row r="1277" spans="1:3">
      <c r="A1277" t="s">
        <v>3109</v>
      </c>
      <c r="B1277">
        <v>101276</v>
      </c>
      <c r="C1277">
        <v>1000</v>
      </c>
    </row>
    <row r="1278" spans="1:3">
      <c r="A1278" t="s">
        <v>3110</v>
      </c>
      <c r="B1278">
        <v>101277</v>
      </c>
      <c r="C1278">
        <v>1000</v>
      </c>
    </row>
    <row r="1279" spans="1:3">
      <c r="A1279" t="s">
        <v>3111</v>
      </c>
      <c r="B1279">
        <v>101278</v>
      </c>
      <c r="C1279">
        <v>1000</v>
      </c>
    </row>
    <row r="1280" spans="1:3">
      <c r="A1280" t="s">
        <v>3112</v>
      </c>
      <c r="B1280">
        <v>101279</v>
      </c>
      <c r="C1280">
        <v>1000</v>
      </c>
    </row>
    <row r="1281" spans="1:3">
      <c r="A1281" t="s">
        <v>3113</v>
      </c>
      <c r="B1281">
        <v>101280</v>
      </c>
      <c r="C1281">
        <v>1000</v>
      </c>
    </row>
    <row r="1282" spans="1:3">
      <c r="A1282" t="s">
        <v>3114</v>
      </c>
      <c r="B1282">
        <v>101281</v>
      </c>
      <c r="C1282">
        <v>1000</v>
      </c>
    </row>
    <row r="1283" spans="1:3">
      <c r="A1283" t="s">
        <v>3115</v>
      </c>
      <c r="B1283">
        <v>101282</v>
      </c>
      <c r="C1283">
        <v>1000</v>
      </c>
    </row>
    <row r="1284" spans="1:3">
      <c r="A1284" t="s">
        <v>3116</v>
      </c>
      <c r="B1284">
        <v>101283</v>
      </c>
      <c r="C1284">
        <v>1000</v>
      </c>
    </row>
    <row r="1285" spans="1:3">
      <c r="A1285" t="s">
        <v>3117</v>
      </c>
      <c r="B1285">
        <v>101284</v>
      </c>
      <c r="C1285">
        <v>1000</v>
      </c>
    </row>
    <row r="1286" spans="1:3">
      <c r="A1286" t="s">
        <v>3118</v>
      </c>
      <c r="B1286">
        <v>101285</v>
      </c>
      <c r="C1286">
        <v>1000</v>
      </c>
    </row>
    <row r="1287" spans="1:3">
      <c r="A1287" t="s">
        <v>3119</v>
      </c>
      <c r="B1287">
        <v>101286</v>
      </c>
      <c r="C1287">
        <v>1000</v>
      </c>
    </row>
    <row r="1288" spans="1:3">
      <c r="A1288" t="s">
        <v>3120</v>
      </c>
      <c r="B1288">
        <v>101287</v>
      </c>
      <c r="C1288">
        <v>1000</v>
      </c>
    </row>
    <row r="1289" spans="1:3">
      <c r="A1289" t="s">
        <v>3121</v>
      </c>
      <c r="B1289">
        <v>101288</v>
      </c>
      <c r="C1289">
        <v>1000</v>
      </c>
    </row>
    <row r="1290" spans="1:3">
      <c r="A1290" t="s">
        <v>3122</v>
      </c>
      <c r="B1290">
        <v>101289</v>
      </c>
      <c r="C1290">
        <v>1000</v>
      </c>
    </row>
    <row r="1291" spans="1:3">
      <c r="A1291" t="s">
        <v>3123</v>
      </c>
      <c r="B1291">
        <v>101290</v>
      </c>
      <c r="C1291">
        <v>1000</v>
      </c>
    </row>
    <row r="1292" spans="1:3">
      <c r="A1292" t="s">
        <v>3124</v>
      </c>
      <c r="B1292">
        <v>101291</v>
      </c>
      <c r="C1292">
        <v>1000</v>
      </c>
    </row>
    <row r="1293" spans="1:3">
      <c r="A1293" t="s">
        <v>3125</v>
      </c>
      <c r="B1293">
        <v>101292</v>
      </c>
      <c r="C1293">
        <v>1000</v>
      </c>
    </row>
    <row r="1294" spans="1:3">
      <c r="A1294" t="s">
        <v>3126</v>
      </c>
      <c r="B1294">
        <v>101293</v>
      </c>
      <c r="C1294">
        <v>1000</v>
      </c>
    </row>
    <row r="1295" spans="1:3">
      <c r="A1295" t="s">
        <v>673</v>
      </c>
      <c r="B1295">
        <v>101294</v>
      </c>
      <c r="C1295">
        <v>1000</v>
      </c>
    </row>
    <row r="1296" spans="1:3">
      <c r="A1296" t="s">
        <v>3127</v>
      </c>
      <c r="B1296">
        <v>101295</v>
      </c>
      <c r="C1296">
        <v>1000</v>
      </c>
    </row>
    <row r="1297" spans="1:3">
      <c r="A1297" t="s">
        <v>3128</v>
      </c>
      <c r="B1297">
        <v>101296</v>
      </c>
      <c r="C1297">
        <v>1000</v>
      </c>
    </row>
    <row r="1298" spans="1:3">
      <c r="A1298" t="s">
        <v>3129</v>
      </c>
      <c r="B1298">
        <v>101297</v>
      </c>
      <c r="C1298">
        <v>1000</v>
      </c>
    </row>
    <row r="1299" spans="1:3">
      <c r="A1299" t="s">
        <v>3130</v>
      </c>
      <c r="B1299">
        <v>101298</v>
      </c>
      <c r="C1299">
        <v>1000</v>
      </c>
    </row>
    <row r="1300" spans="1:3">
      <c r="A1300" t="s">
        <v>3131</v>
      </c>
      <c r="B1300">
        <v>101299</v>
      </c>
      <c r="C1300">
        <v>1000</v>
      </c>
    </row>
    <row r="1301" spans="1:3">
      <c r="A1301" t="s">
        <v>3132</v>
      </c>
      <c r="B1301">
        <v>101300</v>
      </c>
      <c r="C1301">
        <v>1000</v>
      </c>
    </row>
    <row r="1302" spans="1:3">
      <c r="A1302" t="s">
        <v>3133</v>
      </c>
      <c r="B1302">
        <v>101301</v>
      </c>
      <c r="C1302">
        <v>1000</v>
      </c>
    </row>
    <row r="1303" spans="1:3">
      <c r="A1303" t="s">
        <v>3134</v>
      </c>
      <c r="B1303">
        <v>101302</v>
      </c>
      <c r="C1303">
        <v>1000</v>
      </c>
    </row>
    <row r="1304" spans="1:3">
      <c r="A1304" t="s">
        <v>3135</v>
      </c>
      <c r="B1304">
        <v>101303</v>
      </c>
      <c r="C1304">
        <v>1000</v>
      </c>
    </row>
    <row r="1305" spans="1:3">
      <c r="A1305" t="s">
        <v>3136</v>
      </c>
      <c r="B1305">
        <v>101304</v>
      </c>
      <c r="C1305">
        <v>1000</v>
      </c>
    </row>
    <row r="1306" spans="1:3">
      <c r="A1306" t="s">
        <v>3137</v>
      </c>
      <c r="B1306">
        <v>101305</v>
      </c>
      <c r="C1306">
        <v>1000</v>
      </c>
    </row>
    <row r="1307" spans="1:3">
      <c r="A1307" t="s">
        <v>3138</v>
      </c>
      <c r="B1307">
        <v>101306</v>
      </c>
      <c r="C1307">
        <v>1000</v>
      </c>
    </row>
    <row r="1308" spans="1:3">
      <c r="A1308" t="s">
        <v>3139</v>
      </c>
      <c r="B1308">
        <v>101307</v>
      </c>
      <c r="C1308">
        <v>1000</v>
      </c>
    </row>
    <row r="1309" spans="1:3">
      <c r="A1309" t="s">
        <v>3140</v>
      </c>
      <c r="B1309">
        <v>101308</v>
      </c>
      <c r="C1309">
        <v>1000</v>
      </c>
    </row>
    <row r="1310" spans="1:3">
      <c r="A1310" t="s">
        <v>3141</v>
      </c>
      <c r="B1310">
        <v>101309</v>
      </c>
      <c r="C1310">
        <v>1000</v>
      </c>
    </row>
    <row r="1311" spans="1:3">
      <c r="A1311" t="s">
        <v>3142</v>
      </c>
      <c r="B1311">
        <v>101310</v>
      </c>
      <c r="C1311">
        <v>1000</v>
      </c>
    </row>
    <row r="1312" spans="1:3">
      <c r="A1312" t="s">
        <v>3143</v>
      </c>
      <c r="B1312">
        <v>101311</v>
      </c>
      <c r="C1312">
        <v>1000</v>
      </c>
    </row>
    <row r="1313" spans="1:3">
      <c r="A1313" t="s">
        <v>3144</v>
      </c>
      <c r="B1313">
        <v>101312</v>
      </c>
      <c r="C1313">
        <v>1000</v>
      </c>
    </row>
    <row r="1314" spans="1:3">
      <c r="A1314" t="s">
        <v>658</v>
      </c>
      <c r="B1314">
        <v>101313</v>
      </c>
      <c r="C1314">
        <v>1000</v>
      </c>
    </row>
    <row r="1315" spans="1:3">
      <c r="A1315" t="s">
        <v>3145</v>
      </c>
      <c r="B1315">
        <v>101314</v>
      </c>
      <c r="C1315">
        <v>1000</v>
      </c>
    </row>
    <row r="1316" spans="1:3">
      <c r="A1316" t="s">
        <v>3146</v>
      </c>
      <c r="B1316">
        <v>101315</v>
      </c>
      <c r="C1316">
        <v>1000</v>
      </c>
    </row>
    <row r="1317" spans="1:3">
      <c r="A1317" t="s">
        <v>3147</v>
      </c>
      <c r="B1317">
        <v>101316</v>
      </c>
      <c r="C1317">
        <v>1000</v>
      </c>
    </row>
    <row r="1318" spans="1:3">
      <c r="A1318" t="s">
        <v>3148</v>
      </c>
      <c r="B1318">
        <v>101317</v>
      </c>
      <c r="C1318">
        <v>1000</v>
      </c>
    </row>
    <row r="1319" spans="1:3">
      <c r="A1319" t="s">
        <v>3149</v>
      </c>
      <c r="B1319">
        <v>101318</v>
      </c>
      <c r="C1319">
        <v>1000</v>
      </c>
    </row>
    <row r="1320" spans="1:3">
      <c r="A1320" t="s">
        <v>3150</v>
      </c>
      <c r="B1320">
        <v>101319</v>
      </c>
      <c r="C1320">
        <v>1000</v>
      </c>
    </row>
    <row r="1321" spans="1:3">
      <c r="A1321" t="s">
        <v>3151</v>
      </c>
      <c r="B1321">
        <v>101320</v>
      </c>
      <c r="C1321">
        <v>1000</v>
      </c>
    </row>
    <row r="1322" spans="1:3">
      <c r="A1322" t="s">
        <v>3152</v>
      </c>
      <c r="B1322">
        <v>101321</v>
      </c>
      <c r="C1322">
        <v>1000</v>
      </c>
    </row>
    <row r="1323" spans="1:3">
      <c r="A1323" t="s">
        <v>3153</v>
      </c>
      <c r="B1323">
        <v>101322</v>
      </c>
      <c r="C1323">
        <v>1000</v>
      </c>
    </row>
    <row r="1324" spans="1:3">
      <c r="A1324" t="s">
        <v>613</v>
      </c>
      <c r="B1324">
        <v>101323</v>
      </c>
      <c r="C1324">
        <v>1000</v>
      </c>
    </row>
    <row r="1325" spans="1:3">
      <c r="A1325" t="s">
        <v>3154</v>
      </c>
      <c r="B1325">
        <v>101324</v>
      </c>
      <c r="C1325">
        <v>1000</v>
      </c>
    </row>
    <row r="1326" spans="1:3">
      <c r="A1326" t="s">
        <v>3155</v>
      </c>
      <c r="B1326">
        <v>101325</v>
      </c>
      <c r="C1326">
        <v>1000</v>
      </c>
    </row>
    <row r="1327" spans="1:3">
      <c r="A1327" t="s">
        <v>3156</v>
      </c>
      <c r="B1327">
        <v>101326</v>
      </c>
      <c r="C1327">
        <v>1000</v>
      </c>
    </row>
    <row r="1328" spans="1:3">
      <c r="A1328" t="s">
        <v>2198</v>
      </c>
      <c r="B1328">
        <v>101327</v>
      </c>
      <c r="C1328">
        <v>1000</v>
      </c>
    </row>
    <row r="1329" spans="1:3">
      <c r="A1329" t="s">
        <v>3157</v>
      </c>
      <c r="B1329">
        <v>101328</v>
      </c>
      <c r="C1329">
        <v>1000</v>
      </c>
    </row>
    <row r="1330" spans="1:3">
      <c r="A1330" t="s">
        <v>3158</v>
      </c>
      <c r="B1330">
        <v>101329</v>
      </c>
      <c r="C1330">
        <v>1000</v>
      </c>
    </row>
    <row r="1331" spans="1:3">
      <c r="A1331" t="s">
        <v>3159</v>
      </c>
      <c r="B1331">
        <v>101330</v>
      </c>
      <c r="C1331">
        <v>1000</v>
      </c>
    </row>
    <row r="1332" spans="1:3">
      <c r="A1332" t="s">
        <v>3160</v>
      </c>
      <c r="B1332">
        <v>101331</v>
      </c>
      <c r="C1332">
        <v>1000</v>
      </c>
    </row>
    <row r="1333" spans="1:3">
      <c r="A1333" t="s">
        <v>3161</v>
      </c>
      <c r="B1333">
        <v>101332</v>
      </c>
      <c r="C1333">
        <v>1000</v>
      </c>
    </row>
    <row r="1334" spans="1:3">
      <c r="A1334" t="s">
        <v>3162</v>
      </c>
      <c r="B1334">
        <v>101333</v>
      </c>
      <c r="C1334">
        <v>1000</v>
      </c>
    </row>
    <row r="1335" spans="1:3">
      <c r="A1335" t="s">
        <v>3163</v>
      </c>
      <c r="B1335">
        <v>101334</v>
      </c>
      <c r="C1335">
        <v>1000</v>
      </c>
    </row>
    <row r="1336" spans="1:3">
      <c r="A1336" t="s">
        <v>3164</v>
      </c>
      <c r="B1336">
        <v>101335</v>
      </c>
      <c r="C1336">
        <v>1000</v>
      </c>
    </row>
    <row r="1337" spans="1:3">
      <c r="A1337" t="s">
        <v>3165</v>
      </c>
      <c r="B1337">
        <v>101336</v>
      </c>
      <c r="C1337">
        <v>1000</v>
      </c>
    </row>
    <row r="1338" spans="1:3">
      <c r="A1338" t="s">
        <v>3166</v>
      </c>
      <c r="B1338">
        <v>101337</v>
      </c>
      <c r="C1338">
        <v>1000</v>
      </c>
    </row>
    <row r="1339" spans="1:3">
      <c r="A1339" t="s">
        <v>3167</v>
      </c>
      <c r="B1339">
        <v>101338</v>
      </c>
      <c r="C1339">
        <v>1000</v>
      </c>
    </row>
    <row r="1340" spans="1:3">
      <c r="A1340" t="s">
        <v>3168</v>
      </c>
      <c r="B1340">
        <v>101339</v>
      </c>
      <c r="C1340">
        <v>1002</v>
      </c>
    </row>
    <row r="1341" spans="1:3">
      <c r="A1341" t="s">
        <v>3169</v>
      </c>
      <c r="B1341">
        <v>101340</v>
      </c>
      <c r="C1341">
        <v>1000</v>
      </c>
    </row>
    <row r="1342" spans="1:3">
      <c r="A1342" t="s">
        <v>3170</v>
      </c>
      <c r="B1342">
        <v>101342</v>
      </c>
      <c r="C1342">
        <v>1000</v>
      </c>
    </row>
    <row r="1343" spans="1:3">
      <c r="A1343" t="s">
        <v>3171</v>
      </c>
      <c r="B1343">
        <v>101343</v>
      </c>
      <c r="C1343">
        <v>1000</v>
      </c>
    </row>
    <row r="1344" spans="1:3">
      <c r="A1344" t="s">
        <v>3172</v>
      </c>
      <c r="B1344">
        <v>101344</v>
      </c>
      <c r="C1344">
        <v>1000</v>
      </c>
    </row>
    <row r="1345" spans="1:3">
      <c r="A1345" t="s">
        <v>3173</v>
      </c>
      <c r="B1345">
        <v>101345</v>
      </c>
      <c r="C1345">
        <v>1000</v>
      </c>
    </row>
    <row r="1346" spans="1:3">
      <c r="A1346" t="s">
        <v>3174</v>
      </c>
      <c r="B1346">
        <v>101346</v>
      </c>
      <c r="C1346">
        <v>1000</v>
      </c>
    </row>
    <row r="1347" spans="1:3">
      <c r="A1347" t="s">
        <v>3175</v>
      </c>
      <c r="B1347">
        <v>101347</v>
      </c>
      <c r="C1347">
        <v>1000</v>
      </c>
    </row>
    <row r="1348" spans="1:3">
      <c r="A1348" t="s">
        <v>3176</v>
      </c>
      <c r="B1348">
        <v>101348</v>
      </c>
      <c r="C1348">
        <v>1000</v>
      </c>
    </row>
    <row r="1349" spans="1:3">
      <c r="A1349" t="s">
        <v>3177</v>
      </c>
      <c r="B1349">
        <v>101349</v>
      </c>
      <c r="C1349">
        <v>1000</v>
      </c>
    </row>
    <row r="1350" spans="1:3">
      <c r="A1350" t="s">
        <v>3178</v>
      </c>
      <c r="B1350">
        <v>101350</v>
      </c>
      <c r="C1350">
        <v>1000</v>
      </c>
    </row>
    <row r="1351" spans="1:3">
      <c r="A1351" t="s">
        <v>3179</v>
      </c>
      <c r="B1351">
        <v>101351</v>
      </c>
      <c r="C1351">
        <v>1000</v>
      </c>
    </row>
    <row r="1352" spans="1:3">
      <c r="A1352" t="s">
        <v>3180</v>
      </c>
      <c r="B1352">
        <v>101352</v>
      </c>
      <c r="C1352">
        <v>1000</v>
      </c>
    </row>
    <row r="1353" spans="1:3">
      <c r="A1353" t="s">
        <v>3181</v>
      </c>
      <c r="B1353">
        <v>101353</v>
      </c>
      <c r="C1353">
        <v>1000</v>
      </c>
    </row>
    <row r="1354" spans="1:3">
      <c r="A1354" t="s">
        <v>3182</v>
      </c>
      <c r="B1354">
        <v>101354</v>
      </c>
      <c r="C1354">
        <v>1000</v>
      </c>
    </row>
    <row r="1355" spans="1:3">
      <c r="A1355" t="s">
        <v>3183</v>
      </c>
      <c r="B1355">
        <v>101355</v>
      </c>
      <c r="C1355">
        <v>1000</v>
      </c>
    </row>
    <row r="1356" spans="1:3">
      <c r="A1356" t="s">
        <v>3184</v>
      </c>
      <c r="B1356">
        <v>101356</v>
      </c>
      <c r="C1356">
        <v>1000</v>
      </c>
    </row>
    <row r="1357" spans="1:3">
      <c r="A1357" t="s">
        <v>3185</v>
      </c>
      <c r="B1357">
        <v>101357</v>
      </c>
      <c r="C1357">
        <v>1000</v>
      </c>
    </row>
    <row r="1358" spans="1:3">
      <c r="A1358" t="s">
        <v>3186</v>
      </c>
      <c r="B1358">
        <v>101358</v>
      </c>
      <c r="C1358">
        <v>1000</v>
      </c>
    </row>
    <row r="1359" spans="1:3">
      <c r="A1359" t="s">
        <v>3187</v>
      </c>
      <c r="B1359">
        <v>101359</v>
      </c>
      <c r="C1359">
        <v>1000</v>
      </c>
    </row>
    <row r="1360" spans="1:3">
      <c r="A1360" t="s">
        <v>3188</v>
      </c>
      <c r="B1360">
        <v>101360</v>
      </c>
      <c r="C1360">
        <v>1000</v>
      </c>
    </row>
    <row r="1361" spans="1:3">
      <c r="A1361" t="s">
        <v>3189</v>
      </c>
      <c r="B1361">
        <v>101361</v>
      </c>
      <c r="C1361">
        <v>1000</v>
      </c>
    </row>
    <row r="1362" spans="1:3">
      <c r="A1362" t="s">
        <v>3190</v>
      </c>
      <c r="B1362">
        <v>101362</v>
      </c>
      <c r="C1362">
        <v>1000</v>
      </c>
    </row>
    <row r="1363" spans="1:3">
      <c r="A1363" t="s">
        <v>3191</v>
      </c>
      <c r="B1363">
        <v>101363</v>
      </c>
      <c r="C1363">
        <v>1000</v>
      </c>
    </row>
    <row r="1364" spans="1:3">
      <c r="A1364" t="s">
        <v>3192</v>
      </c>
      <c r="B1364">
        <v>101364</v>
      </c>
      <c r="C1364">
        <v>1000</v>
      </c>
    </row>
    <row r="1365" spans="1:3">
      <c r="A1365" t="s">
        <v>3193</v>
      </c>
      <c r="B1365">
        <v>101365</v>
      </c>
      <c r="C1365">
        <v>1000</v>
      </c>
    </row>
    <row r="1366" spans="1:3">
      <c r="A1366" t="s">
        <v>3194</v>
      </c>
      <c r="B1366">
        <v>101366</v>
      </c>
      <c r="C1366">
        <v>1000</v>
      </c>
    </row>
    <row r="1367" spans="1:3">
      <c r="A1367" t="s">
        <v>3195</v>
      </c>
      <c r="B1367">
        <v>101367</v>
      </c>
      <c r="C1367">
        <v>1000</v>
      </c>
    </row>
    <row r="1368" spans="1:3">
      <c r="A1368" t="s">
        <v>3196</v>
      </c>
      <c r="B1368">
        <v>101368</v>
      </c>
      <c r="C1368">
        <v>1000</v>
      </c>
    </row>
    <row r="1369" spans="1:3">
      <c r="A1369" t="s">
        <v>3197</v>
      </c>
      <c r="B1369">
        <v>101369</v>
      </c>
      <c r="C1369">
        <v>1000</v>
      </c>
    </row>
    <row r="1370" spans="1:3">
      <c r="A1370" t="s">
        <v>3198</v>
      </c>
      <c r="B1370">
        <v>101370</v>
      </c>
      <c r="C1370">
        <v>1000</v>
      </c>
    </row>
    <row r="1371" spans="1:3">
      <c r="A1371" t="s">
        <v>3199</v>
      </c>
      <c r="B1371">
        <v>101371</v>
      </c>
      <c r="C1371">
        <v>1000</v>
      </c>
    </row>
    <row r="1372" spans="1:3">
      <c r="A1372" t="s">
        <v>3200</v>
      </c>
      <c r="B1372">
        <v>101372</v>
      </c>
      <c r="C1372">
        <v>1000</v>
      </c>
    </row>
    <row r="1373" spans="1:3">
      <c r="A1373" t="s">
        <v>3201</v>
      </c>
      <c r="B1373">
        <v>101373</v>
      </c>
      <c r="C1373">
        <v>1000</v>
      </c>
    </row>
    <row r="1374" spans="1:3">
      <c r="A1374" t="s">
        <v>3202</v>
      </c>
      <c r="B1374">
        <v>101374</v>
      </c>
      <c r="C1374">
        <v>1000</v>
      </c>
    </row>
    <row r="1375" spans="1:3">
      <c r="A1375" t="s">
        <v>3203</v>
      </c>
      <c r="B1375">
        <v>101375</v>
      </c>
      <c r="C1375">
        <v>1000</v>
      </c>
    </row>
    <row r="1376" spans="1:3">
      <c r="A1376" t="s">
        <v>3204</v>
      </c>
      <c r="B1376">
        <v>101376</v>
      </c>
      <c r="C1376">
        <v>1000</v>
      </c>
    </row>
    <row r="1377" spans="1:3">
      <c r="A1377" t="s">
        <v>3205</v>
      </c>
      <c r="B1377">
        <v>101377</v>
      </c>
      <c r="C1377">
        <v>1000</v>
      </c>
    </row>
    <row r="1378" spans="1:3">
      <c r="A1378" t="s">
        <v>3206</v>
      </c>
      <c r="B1378">
        <v>101378</v>
      </c>
      <c r="C1378">
        <v>1000</v>
      </c>
    </row>
    <row r="1379" spans="1:3">
      <c r="A1379" t="s">
        <v>3207</v>
      </c>
      <c r="B1379">
        <v>101379</v>
      </c>
      <c r="C1379">
        <v>1000</v>
      </c>
    </row>
    <row r="1380" spans="1:3">
      <c r="A1380" t="s">
        <v>3208</v>
      </c>
      <c r="B1380">
        <v>101380</v>
      </c>
      <c r="C1380">
        <v>1000</v>
      </c>
    </row>
    <row r="1381" spans="1:3">
      <c r="A1381" t="s">
        <v>3209</v>
      </c>
      <c r="B1381">
        <v>101381</v>
      </c>
      <c r="C1381">
        <v>1000</v>
      </c>
    </row>
    <row r="1382" spans="1:3">
      <c r="A1382" t="s">
        <v>3210</v>
      </c>
      <c r="B1382">
        <v>101382</v>
      </c>
      <c r="C1382">
        <v>1000</v>
      </c>
    </row>
    <row r="1383" spans="1:3">
      <c r="A1383" t="s">
        <v>3211</v>
      </c>
      <c r="B1383">
        <v>101383</v>
      </c>
      <c r="C1383">
        <v>1000</v>
      </c>
    </row>
    <row r="1384" spans="1:3">
      <c r="A1384" t="s">
        <v>3212</v>
      </c>
      <c r="B1384">
        <v>101384</v>
      </c>
      <c r="C1384">
        <v>1000</v>
      </c>
    </row>
    <row r="1385" spans="1:3">
      <c r="A1385" t="s">
        <v>3213</v>
      </c>
      <c r="B1385">
        <v>101385</v>
      </c>
      <c r="C1385">
        <v>1000</v>
      </c>
    </row>
    <row r="1386" spans="1:3">
      <c r="A1386" t="s">
        <v>3214</v>
      </c>
      <c r="B1386">
        <v>101386</v>
      </c>
      <c r="C1386">
        <v>1000</v>
      </c>
    </row>
    <row r="1387" spans="1:3">
      <c r="A1387" t="s">
        <v>3215</v>
      </c>
      <c r="B1387">
        <v>101387</v>
      </c>
      <c r="C1387">
        <v>1000</v>
      </c>
    </row>
    <row r="1388" spans="1:3">
      <c r="A1388" t="s">
        <v>3216</v>
      </c>
      <c r="B1388">
        <v>101388</v>
      </c>
      <c r="C1388">
        <v>1000</v>
      </c>
    </row>
    <row r="1389" spans="1:3">
      <c r="A1389" t="s">
        <v>3217</v>
      </c>
      <c r="B1389">
        <v>101389</v>
      </c>
      <c r="C1389">
        <v>1000</v>
      </c>
    </row>
    <row r="1390" spans="1:3">
      <c r="A1390" t="s">
        <v>3218</v>
      </c>
      <c r="B1390">
        <v>101390</v>
      </c>
      <c r="C1390">
        <v>1000</v>
      </c>
    </row>
    <row r="1391" spans="1:3">
      <c r="A1391" t="s">
        <v>3219</v>
      </c>
      <c r="B1391">
        <v>101391</v>
      </c>
      <c r="C1391">
        <v>1000</v>
      </c>
    </row>
    <row r="1392" spans="1:3">
      <c r="A1392" t="s">
        <v>3220</v>
      </c>
      <c r="B1392">
        <v>101392</v>
      </c>
      <c r="C1392">
        <v>1000</v>
      </c>
    </row>
    <row r="1393" spans="1:3">
      <c r="A1393" t="s">
        <v>3221</v>
      </c>
      <c r="B1393">
        <v>101393</v>
      </c>
      <c r="C1393">
        <v>1000</v>
      </c>
    </row>
    <row r="1394" spans="1:3">
      <c r="A1394" t="s">
        <v>3222</v>
      </c>
      <c r="B1394">
        <v>101394</v>
      </c>
      <c r="C1394">
        <v>1000</v>
      </c>
    </row>
    <row r="1395" spans="1:3">
      <c r="A1395" t="s">
        <v>3223</v>
      </c>
      <c r="B1395">
        <v>101395</v>
      </c>
      <c r="C1395">
        <v>1000</v>
      </c>
    </row>
    <row r="1396" spans="1:3">
      <c r="A1396" t="s">
        <v>3224</v>
      </c>
      <c r="B1396">
        <v>101396</v>
      </c>
      <c r="C1396">
        <v>1000</v>
      </c>
    </row>
    <row r="1397" spans="1:3">
      <c r="A1397" t="s">
        <v>3225</v>
      </c>
      <c r="B1397">
        <v>101397</v>
      </c>
      <c r="C1397">
        <v>1000</v>
      </c>
    </row>
    <row r="1398" spans="1:3">
      <c r="A1398" t="s">
        <v>3226</v>
      </c>
      <c r="B1398">
        <v>101398</v>
      </c>
      <c r="C1398">
        <v>1000</v>
      </c>
    </row>
    <row r="1399" spans="1:3">
      <c r="A1399" t="s">
        <v>3227</v>
      </c>
      <c r="B1399">
        <v>101399</v>
      </c>
      <c r="C1399">
        <v>1000</v>
      </c>
    </row>
    <row r="1400" spans="1:3">
      <c r="A1400" t="s">
        <v>3228</v>
      </c>
      <c r="B1400">
        <v>101400</v>
      </c>
      <c r="C1400">
        <v>1000</v>
      </c>
    </row>
    <row r="1401" spans="1:3">
      <c r="A1401" t="s">
        <v>3229</v>
      </c>
      <c r="B1401">
        <v>101401</v>
      </c>
      <c r="C1401">
        <v>1000</v>
      </c>
    </row>
    <row r="1402" spans="1:3">
      <c r="A1402" t="s">
        <v>3230</v>
      </c>
      <c r="B1402">
        <v>101402</v>
      </c>
      <c r="C1402">
        <v>1000</v>
      </c>
    </row>
    <row r="1403" spans="1:3">
      <c r="A1403" t="s">
        <v>3231</v>
      </c>
      <c r="B1403">
        <v>101403</v>
      </c>
      <c r="C1403">
        <v>1000</v>
      </c>
    </row>
    <row r="1404" spans="1:3">
      <c r="A1404" t="s">
        <v>3232</v>
      </c>
      <c r="B1404">
        <v>101404</v>
      </c>
      <c r="C1404">
        <v>1000</v>
      </c>
    </row>
    <row r="1405" spans="1:3">
      <c r="A1405" t="s">
        <v>3233</v>
      </c>
      <c r="B1405">
        <v>101405</v>
      </c>
      <c r="C1405">
        <v>1000</v>
      </c>
    </row>
    <row r="1406" spans="1:3">
      <c r="A1406" t="s">
        <v>3234</v>
      </c>
      <c r="B1406">
        <v>101406</v>
      </c>
      <c r="C1406">
        <v>1000</v>
      </c>
    </row>
    <row r="1407" spans="1:3">
      <c r="A1407" t="s">
        <v>3235</v>
      </c>
      <c r="B1407">
        <v>101407</v>
      </c>
      <c r="C1407">
        <v>1000</v>
      </c>
    </row>
    <row r="1408" spans="1:3">
      <c r="A1408" t="s">
        <v>3236</v>
      </c>
      <c r="B1408">
        <v>101408</v>
      </c>
      <c r="C1408">
        <v>1000</v>
      </c>
    </row>
    <row r="1409" spans="1:3">
      <c r="A1409" t="s">
        <v>3237</v>
      </c>
      <c r="B1409">
        <v>101409</v>
      </c>
      <c r="C1409">
        <v>1000</v>
      </c>
    </row>
    <row r="1410" spans="1:3">
      <c r="A1410" t="s">
        <v>3238</v>
      </c>
      <c r="B1410">
        <v>101410</v>
      </c>
      <c r="C1410">
        <v>1000</v>
      </c>
    </row>
    <row r="1411" spans="1:3">
      <c r="A1411" t="s">
        <v>3239</v>
      </c>
      <c r="B1411">
        <v>101411</v>
      </c>
      <c r="C1411">
        <v>1000</v>
      </c>
    </row>
    <row r="1412" spans="1:3">
      <c r="A1412" t="s">
        <v>3240</v>
      </c>
      <c r="B1412">
        <v>101412</v>
      </c>
      <c r="C1412">
        <v>1000</v>
      </c>
    </row>
    <row r="1413" spans="1:3">
      <c r="A1413" t="s">
        <v>3241</v>
      </c>
      <c r="B1413">
        <v>101413</v>
      </c>
      <c r="C1413">
        <v>1000</v>
      </c>
    </row>
    <row r="1414" spans="1:3">
      <c r="A1414" t="s">
        <v>3242</v>
      </c>
      <c r="B1414">
        <v>101414</v>
      </c>
      <c r="C1414">
        <v>1000</v>
      </c>
    </row>
    <row r="1415" spans="1:3">
      <c r="A1415" t="s">
        <v>3243</v>
      </c>
      <c r="B1415">
        <v>101415</v>
      </c>
      <c r="C1415">
        <v>1000</v>
      </c>
    </row>
    <row r="1416" spans="1:3">
      <c r="A1416" t="s">
        <v>3244</v>
      </c>
      <c r="B1416">
        <v>101416</v>
      </c>
      <c r="C1416">
        <v>1000</v>
      </c>
    </row>
    <row r="1417" spans="1:3">
      <c r="A1417" t="s">
        <v>3245</v>
      </c>
      <c r="B1417">
        <v>101417</v>
      </c>
      <c r="C1417">
        <v>1000</v>
      </c>
    </row>
    <row r="1418" spans="1:3">
      <c r="A1418" t="s">
        <v>3246</v>
      </c>
      <c r="B1418">
        <v>101418</v>
      </c>
      <c r="C1418">
        <v>1000</v>
      </c>
    </row>
    <row r="1419" spans="1:3">
      <c r="A1419" t="s">
        <v>3247</v>
      </c>
      <c r="B1419">
        <v>101419</v>
      </c>
      <c r="C1419">
        <v>1000</v>
      </c>
    </row>
    <row r="1420" spans="1:3">
      <c r="A1420" t="s">
        <v>3248</v>
      </c>
      <c r="B1420">
        <v>101420</v>
      </c>
      <c r="C1420">
        <v>1000</v>
      </c>
    </row>
    <row r="1421" spans="1:3">
      <c r="A1421" t="s">
        <v>3249</v>
      </c>
      <c r="B1421">
        <v>101421</v>
      </c>
      <c r="C1421">
        <v>1000</v>
      </c>
    </row>
    <row r="1422" spans="1:3">
      <c r="A1422" t="s">
        <v>3250</v>
      </c>
      <c r="B1422">
        <v>101422</v>
      </c>
      <c r="C1422">
        <v>1000</v>
      </c>
    </row>
    <row r="1423" spans="1:3">
      <c r="A1423" t="s">
        <v>3251</v>
      </c>
      <c r="B1423">
        <v>101423</v>
      </c>
      <c r="C1423">
        <v>1000</v>
      </c>
    </row>
    <row r="1424" spans="1:3">
      <c r="A1424" t="s">
        <v>3252</v>
      </c>
      <c r="B1424">
        <v>101424</v>
      </c>
      <c r="C1424">
        <v>1000</v>
      </c>
    </row>
    <row r="1425" spans="1:3">
      <c r="A1425" t="s">
        <v>3253</v>
      </c>
      <c r="B1425">
        <v>101425</v>
      </c>
      <c r="C1425">
        <v>1000</v>
      </c>
    </row>
    <row r="1426" spans="1:3">
      <c r="A1426" t="s">
        <v>3254</v>
      </c>
      <c r="B1426">
        <v>101426</v>
      </c>
      <c r="C1426">
        <v>1000</v>
      </c>
    </row>
    <row r="1427" spans="1:3">
      <c r="A1427" t="s">
        <v>3255</v>
      </c>
      <c r="B1427">
        <v>101427</v>
      </c>
      <c r="C1427">
        <v>1000</v>
      </c>
    </row>
    <row r="1428" spans="1:3">
      <c r="A1428" t="s">
        <v>3256</v>
      </c>
      <c r="B1428">
        <v>101428</v>
      </c>
      <c r="C1428">
        <v>1000</v>
      </c>
    </row>
    <row r="1429" spans="1:3">
      <c r="A1429" t="s">
        <v>3257</v>
      </c>
      <c r="B1429">
        <v>101429</v>
      </c>
      <c r="C1429">
        <v>1000</v>
      </c>
    </row>
    <row r="1430" spans="1:3">
      <c r="A1430" t="s">
        <v>3258</v>
      </c>
      <c r="B1430">
        <v>101430</v>
      </c>
      <c r="C1430">
        <v>1000</v>
      </c>
    </row>
    <row r="1431" spans="1:3">
      <c r="A1431" t="s">
        <v>3259</v>
      </c>
      <c r="B1431">
        <v>101431</v>
      </c>
      <c r="C1431">
        <v>1000</v>
      </c>
    </row>
    <row r="1432" spans="1:3">
      <c r="A1432" t="s">
        <v>3260</v>
      </c>
      <c r="B1432">
        <v>101432</v>
      </c>
      <c r="C1432">
        <v>1000</v>
      </c>
    </row>
    <row r="1433" spans="1:3">
      <c r="A1433" t="s">
        <v>3261</v>
      </c>
      <c r="B1433">
        <v>101433</v>
      </c>
      <c r="C1433">
        <v>1000</v>
      </c>
    </row>
    <row r="1434" spans="1:3">
      <c r="A1434" t="s">
        <v>3262</v>
      </c>
      <c r="B1434">
        <v>101434</v>
      </c>
      <c r="C1434">
        <v>1000</v>
      </c>
    </row>
    <row r="1435" spans="1:3">
      <c r="A1435" t="s">
        <v>3263</v>
      </c>
      <c r="B1435">
        <v>101435</v>
      </c>
      <c r="C1435">
        <v>1000</v>
      </c>
    </row>
    <row r="1436" spans="1:3">
      <c r="A1436" t="s">
        <v>3264</v>
      </c>
      <c r="B1436">
        <v>101436</v>
      </c>
      <c r="C1436">
        <v>1000</v>
      </c>
    </row>
    <row r="1437" spans="1:3">
      <c r="A1437" t="s">
        <v>710</v>
      </c>
      <c r="B1437">
        <v>101437</v>
      </c>
      <c r="C1437">
        <v>1000</v>
      </c>
    </row>
    <row r="1438" spans="1:3">
      <c r="A1438" t="s">
        <v>3265</v>
      </c>
      <c r="B1438">
        <v>101438</v>
      </c>
      <c r="C1438">
        <v>1000</v>
      </c>
    </row>
    <row r="1439" spans="1:3">
      <c r="A1439" t="s">
        <v>3266</v>
      </c>
      <c r="B1439">
        <v>101439</v>
      </c>
      <c r="C1439">
        <v>1000</v>
      </c>
    </row>
    <row r="1440" spans="1:3">
      <c r="A1440" t="s">
        <v>3267</v>
      </c>
      <c r="B1440">
        <v>101440</v>
      </c>
      <c r="C1440">
        <v>1000</v>
      </c>
    </row>
    <row r="1441" spans="1:3">
      <c r="A1441" t="s">
        <v>3268</v>
      </c>
      <c r="B1441">
        <v>101441</v>
      </c>
      <c r="C1441">
        <v>1000</v>
      </c>
    </row>
    <row r="1442" spans="1:3">
      <c r="A1442" t="s">
        <v>3269</v>
      </c>
      <c r="B1442">
        <v>101442</v>
      </c>
      <c r="C1442">
        <v>1000</v>
      </c>
    </row>
    <row r="1443" spans="1:3">
      <c r="A1443" t="s">
        <v>3270</v>
      </c>
      <c r="B1443">
        <v>101443</v>
      </c>
      <c r="C1443">
        <v>1000</v>
      </c>
    </row>
    <row r="1444" spans="1:3">
      <c r="A1444" t="s">
        <v>3271</v>
      </c>
      <c r="B1444">
        <v>101444</v>
      </c>
      <c r="C1444">
        <v>1000</v>
      </c>
    </row>
    <row r="1445" spans="1:3">
      <c r="A1445" t="s">
        <v>3272</v>
      </c>
      <c r="B1445">
        <v>101445</v>
      </c>
      <c r="C1445">
        <v>1000</v>
      </c>
    </row>
    <row r="1446" spans="1:3">
      <c r="A1446" t="s">
        <v>3273</v>
      </c>
      <c r="B1446">
        <v>101446</v>
      </c>
      <c r="C1446">
        <v>1000</v>
      </c>
    </row>
    <row r="1447" spans="1:3">
      <c r="A1447" t="s">
        <v>3274</v>
      </c>
      <c r="B1447">
        <v>101447</v>
      </c>
      <c r="C1447">
        <v>1000</v>
      </c>
    </row>
    <row r="1448" spans="1:3">
      <c r="A1448" t="s">
        <v>3275</v>
      </c>
      <c r="B1448">
        <v>101448</v>
      </c>
      <c r="C1448">
        <v>1000</v>
      </c>
    </row>
    <row r="1449" spans="1:3">
      <c r="A1449" t="s">
        <v>3276</v>
      </c>
      <c r="B1449">
        <v>101449</v>
      </c>
      <c r="C1449">
        <v>1000</v>
      </c>
    </row>
    <row r="1450" spans="1:3">
      <c r="A1450" t="s">
        <v>730</v>
      </c>
      <c r="B1450">
        <v>101450</v>
      </c>
      <c r="C1450">
        <v>1000</v>
      </c>
    </row>
    <row r="1451" spans="1:3">
      <c r="A1451" t="s">
        <v>616</v>
      </c>
      <c r="B1451">
        <v>101451</v>
      </c>
      <c r="C1451">
        <v>1000</v>
      </c>
    </row>
    <row r="1452" spans="1:3">
      <c r="A1452" t="s">
        <v>3277</v>
      </c>
      <c r="B1452">
        <v>101452</v>
      </c>
      <c r="C1452">
        <v>1000</v>
      </c>
    </row>
    <row r="1453" spans="1:3">
      <c r="A1453" t="s">
        <v>3278</v>
      </c>
      <c r="B1453">
        <v>101453</v>
      </c>
      <c r="C1453">
        <v>1000</v>
      </c>
    </row>
    <row r="1454" spans="1:3">
      <c r="A1454" t="s">
        <v>3279</v>
      </c>
      <c r="B1454">
        <v>101454</v>
      </c>
      <c r="C1454">
        <v>1000</v>
      </c>
    </row>
    <row r="1455" spans="1:3">
      <c r="A1455" t="s">
        <v>3280</v>
      </c>
      <c r="B1455">
        <v>101455</v>
      </c>
      <c r="C1455">
        <v>1000</v>
      </c>
    </row>
    <row r="1456" spans="1:3">
      <c r="A1456" t="s">
        <v>3281</v>
      </c>
      <c r="B1456">
        <v>101456</v>
      </c>
      <c r="C1456">
        <v>1000</v>
      </c>
    </row>
    <row r="1457" spans="1:3">
      <c r="A1457" t="s">
        <v>3282</v>
      </c>
      <c r="B1457">
        <v>101457</v>
      </c>
      <c r="C1457">
        <v>1000</v>
      </c>
    </row>
    <row r="1458" spans="1:3">
      <c r="A1458" t="s">
        <v>3283</v>
      </c>
      <c r="B1458">
        <v>101458</v>
      </c>
      <c r="C1458">
        <v>1000</v>
      </c>
    </row>
    <row r="1459" spans="1:3">
      <c r="A1459" t="s">
        <v>3284</v>
      </c>
      <c r="B1459">
        <v>101459</v>
      </c>
      <c r="C1459">
        <v>1000</v>
      </c>
    </row>
    <row r="1460" spans="1:3">
      <c r="A1460" t="s">
        <v>3285</v>
      </c>
      <c r="B1460">
        <v>101460</v>
      </c>
      <c r="C1460">
        <v>1000</v>
      </c>
    </row>
    <row r="1461" spans="1:3">
      <c r="A1461" t="s">
        <v>3286</v>
      </c>
      <c r="B1461">
        <v>101461</v>
      </c>
      <c r="C1461">
        <v>1000</v>
      </c>
    </row>
    <row r="1462" spans="1:3">
      <c r="A1462" t="s">
        <v>3287</v>
      </c>
      <c r="B1462">
        <v>101462</v>
      </c>
      <c r="C1462">
        <v>1000</v>
      </c>
    </row>
    <row r="1463" spans="1:3">
      <c r="A1463" t="s">
        <v>3288</v>
      </c>
      <c r="B1463">
        <v>101463</v>
      </c>
      <c r="C1463">
        <v>1000</v>
      </c>
    </row>
    <row r="1464" spans="1:3">
      <c r="A1464" t="s">
        <v>3289</v>
      </c>
      <c r="B1464">
        <v>101464</v>
      </c>
      <c r="C1464">
        <v>1000</v>
      </c>
    </row>
    <row r="1465" spans="1:3">
      <c r="A1465" t="s">
        <v>664</v>
      </c>
      <c r="B1465">
        <v>101465</v>
      </c>
      <c r="C1465">
        <v>1000</v>
      </c>
    </row>
    <row r="1466" spans="1:3">
      <c r="A1466" t="s">
        <v>3290</v>
      </c>
      <c r="B1466">
        <v>101466</v>
      </c>
      <c r="C1466">
        <v>1000</v>
      </c>
    </row>
    <row r="1467" spans="1:3">
      <c r="A1467" t="s">
        <v>3291</v>
      </c>
      <c r="B1467">
        <v>101467</v>
      </c>
      <c r="C1467">
        <v>1000</v>
      </c>
    </row>
    <row r="1468" spans="1:3">
      <c r="A1468" t="s">
        <v>3292</v>
      </c>
      <c r="B1468">
        <v>101468</v>
      </c>
      <c r="C1468">
        <v>1100</v>
      </c>
    </row>
    <row r="1469" spans="1:3">
      <c r="A1469" t="s">
        <v>3293</v>
      </c>
      <c r="B1469">
        <v>101469</v>
      </c>
      <c r="C1469">
        <v>1000</v>
      </c>
    </row>
    <row r="1470" spans="1:3">
      <c r="A1470" t="s">
        <v>3294</v>
      </c>
      <c r="B1470">
        <v>101470</v>
      </c>
      <c r="C1470">
        <v>1000</v>
      </c>
    </row>
    <row r="1471" spans="1:3">
      <c r="A1471" t="s">
        <v>3295</v>
      </c>
      <c r="B1471">
        <v>101471</v>
      </c>
      <c r="C1471">
        <v>1000</v>
      </c>
    </row>
    <row r="1472" spans="1:3">
      <c r="A1472" t="s">
        <v>3296</v>
      </c>
      <c r="B1472">
        <v>101472</v>
      </c>
      <c r="C1472">
        <v>1000</v>
      </c>
    </row>
    <row r="1473" spans="1:3">
      <c r="A1473" t="s">
        <v>3297</v>
      </c>
      <c r="B1473">
        <v>101473</v>
      </c>
      <c r="C1473">
        <v>1000</v>
      </c>
    </row>
    <row r="1474" spans="1:3">
      <c r="A1474" t="s">
        <v>3298</v>
      </c>
      <c r="B1474">
        <v>101474</v>
      </c>
      <c r="C1474">
        <v>1000</v>
      </c>
    </row>
    <row r="1475" spans="1:3">
      <c r="A1475" t="s">
        <v>3299</v>
      </c>
      <c r="B1475">
        <v>101475</v>
      </c>
      <c r="C1475">
        <v>1000</v>
      </c>
    </row>
    <row r="1476" spans="1:3">
      <c r="A1476" t="s">
        <v>3300</v>
      </c>
      <c r="B1476">
        <v>101476</v>
      </c>
      <c r="C1476">
        <v>1000</v>
      </c>
    </row>
    <row r="1477" spans="1:3">
      <c r="A1477" t="s">
        <v>3301</v>
      </c>
      <c r="B1477">
        <v>101477</v>
      </c>
      <c r="C1477">
        <v>1000</v>
      </c>
    </row>
    <row r="1478" spans="1:3">
      <c r="A1478" t="s">
        <v>3302</v>
      </c>
      <c r="B1478">
        <v>101478</v>
      </c>
      <c r="C1478">
        <v>1000</v>
      </c>
    </row>
    <row r="1479" spans="1:3">
      <c r="A1479" t="s">
        <v>3303</v>
      </c>
      <c r="B1479">
        <v>101479</v>
      </c>
      <c r="C1479">
        <v>1000</v>
      </c>
    </row>
    <row r="1480" spans="1:3">
      <c r="A1480" t="s">
        <v>3304</v>
      </c>
      <c r="B1480">
        <v>101480</v>
      </c>
      <c r="C1480">
        <v>1000</v>
      </c>
    </row>
    <row r="1481" spans="1:3">
      <c r="A1481" t="s">
        <v>3305</v>
      </c>
      <c r="B1481">
        <v>101481</v>
      </c>
      <c r="C1481">
        <v>1000</v>
      </c>
    </row>
    <row r="1482" spans="1:3">
      <c r="A1482" t="s">
        <v>3306</v>
      </c>
      <c r="B1482">
        <v>101482</v>
      </c>
      <c r="C1482">
        <v>1000</v>
      </c>
    </row>
    <row r="1483" spans="1:3">
      <c r="A1483" t="s">
        <v>3307</v>
      </c>
      <c r="B1483">
        <v>101483</v>
      </c>
      <c r="C1483">
        <v>1000</v>
      </c>
    </row>
    <row r="1484" spans="1:3">
      <c r="A1484" t="s">
        <v>3308</v>
      </c>
      <c r="B1484">
        <v>101484</v>
      </c>
      <c r="C1484">
        <v>1000</v>
      </c>
    </row>
    <row r="1485" spans="1:3">
      <c r="A1485" t="s">
        <v>3309</v>
      </c>
      <c r="B1485">
        <v>101485</v>
      </c>
      <c r="C1485">
        <v>1000</v>
      </c>
    </row>
    <row r="1486" spans="1:3">
      <c r="A1486" t="s">
        <v>3310</v>
      </c>
      <c r="B1486">
        <v>101486</v>
      </c>
      <c r="C1486">
        <v>1000</v>
      </c>
    </row>
    <row r="1487" spans="1:3">
      <c r="A1487" t="s">
        <v>3311</v>
      </c>
      <c r="B1487">
        <v>101487</v>
      </c>
      <c r="C1487">
        <v>1000</v>
      </c>
    </row>
    <row r="1488" spans="1:3">
      <c r="A1488" t="s">
        <v>3312</v>
      </c>
      <c r="B1488">
        <v>101488</v>
      </c>
      <c r="C1488">
        <v>1000</v>
      </c>
    </row>
    <row r="1489" spans="1:3">
      <c r="A1489" t="s">
        <v>3313</v>
      </c>
      <c r="B1489">
        <v>101489</v>
      </c>
      <c r="C1489">
        <v>1000</v>
      </c>
    </row>
    <row r="1490" spans="1:3">
      <c r="A1490" t="s">
        <v>3314</v>
      </c>
      <c r="B1490">
        <v>101490</v>
      </c>
      <c r="C1490">
        <v>1000</v>
      </c>
    </row>
    <row r="1491" spans="1:3">
      <c r="A1491" t="s">
        <v>3315</v>
      </c>
      <c r="B1491">
        <v>101491</v>
      </c>
      <c r="C1491">
        <v>1000</v>
      </c>
    </row>
    <row r="1492" spans="1:3">
      <c r="A1492" t="s">
        <v>3316</v>
      </c>
      <c r="B1492">
        <v>101492</v>
      </c>
      <c r="C1492">
        <v>1000</v>
      </c>
    </row>
    <row r="1493" spans="1:3">
      <c r="A1493" t="s">
        <v>3121</v>
      </c>
      <c r="B1493">
        <v>101493</v>
      </c>
      <c r="C1493">
        <v>1000</v>
      </c>
    </row>
    <row r="1494" spans="1:3">
      <c r="A1494" t="s">
        <v>3317</v>
      </c>
      <c r="B1494">
        <v>101494</v>
      </c>
      <c r="C1494">
        <v>1000</v>
      </c>
    </row>
    <row r="1495" spans="1:3">
      <c r="A1495" t="s">
        <v>3318</v>
      </c>
      <c r="B1495">
        <v>101495</v>
      </c>
      <c r="C1495">
        <v>1000</v>
      </c>
    </row>
    <row r="1496" spans="1:3">
      <c r="A1496" t="s">
        <v>3319</v>
      </c>
      <c r="B1496">
        <v>101496</v>
      </c>
      <c r="C1496">
        <v>1000</v>
      </c>
    </row>
    <row r="1497" spans="1:3">
      <c r="A1497" t="s">
        <v>3320</v>
      </c>
      <c r="B1497">
        <v>101497</v>
      </c>
      <c r="C1497">
        <v>1000</v>
      </c>
    </row>
    <row r="1498" spans="1:3">
      <c r="A1498" t="s">
        <v>3321</v>
      </c>
      <c r="B1498">
        <v>101498</v>
      </c>
      <c r="C1498">
        <v>1000</v>
      </c>
    </row>
    <row r="1499" spans="1:3">
      <c r="A1499" t="s">
        <v>3322</v>
      </c>
      <c r="B1499">
        <v>101499</v>
      </c>
      <c r="C1499">
        <v>1000</v>
      </c>
    </row>
    <row r="1500" spans="1:3">
      <c r="A1500" t="s">
        <v>3323</v>
      </c>
      <c r="B1500">
        <v>101500</v>
      </c>
      <c r="C1500">
        <v>1000</v>
      </c>
    </row>
    <row r="1501" spans="1:3">
      <c r="A1501" t="s">
        <v>3324</v>
      </c>
      <c r="B1501">
        <v>101501</v>
      </c>
      <c r="C1501">
        <v>1000</v>
      </c>
    </row>
    <row r="1502" spans="1:3">
      <c r="A1502" t="s">
        <v>3325</v>
      </c>
      <c r="B1502">
        <v>101502</v>
      </c>
      <c r="C1502">
        <v>1000</v>
      </c>
    </row>
    <row r="1503" spans="1:3">
      <c r="A1503" t="s">
        <v>3326</v>
      </c>
      <c r="B1503">
        <v>101503</v>
      </c>
      <c r="C1503">
        <v>1000</v>
      </c>
    </row>
    <row r="1504" spans="1:3">
      <c r="A1504" t="s">
        <v>3327</v>
      </c>
      <c r="B1504">
        <v>101504</v>
      </c>
      <c r="C1504">
        <v>1000</v>
      </c>
    </row>
    <row r="1505" spans="1:3">
      <c r="A1505" t="s">
        <v>642</v>
      </c>
      <c r="B1505">
        <v>101505</v>
      </c>
      <c r="C1505">
        <v>1000</v>
      </c>
    </row>
    <row r="1506" spans="1:3">
      <c r="A1506" t="s">
        <v>3328</v>
      </c>
      <c r="B1506">
        <v>101506</v>
      </c>
      <c r="C1506">
        <v>1000</v>
      </c>
    </row>
    <row r="1507" spans="1:3">
      <c r="A1507" t="s">
        <v>3329</v>
      </c>
      <c r="B1507">
        <v>101507</v>
      </c>
      <c r="C1507">
        <v>1000</v>
      </c>
    </row>
    <row r="1508" spans="1:3">
      <c r="A1508" t="s">
        <v>3330</v>
      </c>
      <c r="B1508">
        <v>101508</v>
      </c>
      <c r="C1508">
        <v>1000</v>
      </c>
    </row>
    <row r="1509" spans="1:3">
      <c r="A1509" t="s">
        <v>665</v>
      </c>
      <c r="B1509">
        <v>101509</v>
      </c>
      <c r="C1509">
        <v>1000</v>
      </c>
    </row>
    <row r="1510" spans="1:3">
      <c r="A1510" t="s">
        <v>3331</v>
      </c>
      <c r="B1510">
        <v>101510</v>
      </c>
      <c r="C1510">
        <v>1000</v>
      </c>
    </row>
    <row r="1511" spans="1:3">
      <c r="A1511" t="s">
        <v>3332</v>
      </c>
      <c r="B1511">
        <v>101511</v>
      </c>
      <c r="C1511">
        <v>1000</v>
      </c>
    </row>
    <row r="1512" spans="1:3">
      <c r="A1512" t="s">
        <v>3333</v>
      </c>
      <c r="B1512">
        <v>101512</v>
      </c>
      <c r="C1512">
        <v>1000</v>
      </c>
    </row>
    <row r="1513" spans="1:3">
      <c r="A1513" t="s">
        <v>3334</v>
      </c>
      <c r="B1513">
        <v>101513</v>
      </c>
      <c r="C1513">
        <v>1000</v>
      </c>
    </row>
    <row r="1514" spans="1:3">
      <c r="A1514" t="s">
        <v>3335</v>
      </c>
      <c r="B1514">
        <v>101514</v>
      </c>
      <c r="C1514">
        <v>1000</v>
      </c>
    </row>
    <row r="1515" spans="1:3">
      <c r="A1515" t="s">
        <v>3336</v>
      </c>
      <c r="B1515">
        <v>101515</v>
      </c>
      <c r="C1515">
        <v>1000</v>
      </c>
    </row>
    <row r="1516" spans="1:3">
      <c r="A1516" t="s">
        <v>3337</v>
      </c>
      <c r="B1516">
        <v>101516</v>
      </c>
      <c r="C1516">
        <v>1000</v>
      </c>
    </row>
    <row r="1517" spans="1:3">
      <c r="A1517" t="s">
        <v>3338</v>
      </c>
      <c r="B1517">
        <v>101517</v>
      </c>
      <c r="C1517">
        <v>1000</v>
      </c>
    </row>
    <row r="1518" spans="1:3">
      <c r="A1518" t="s">
        <v>3339</v>
      </c>
      <c r="B1518">
        <v>101518</v>
      </c>
      <c r="C1518">
        <v>1000</v>
      </c>
    </row>
    <row r="1519" spans="1:3">
      <c r="A1519" t="s">
        <v>3340</v>
      </c>
      <c r="B1519">
        <v>101519</v>
      </c>
      <c r="C1519">
        <v>1000</v>
      </c>
    </row>
    <row r="1520" spans="1:3">
      <c r="A1520" t="s">
        <v>3341</v>
      </c>
      <c r="B1520">
        <v>101520</v>
      </c>
      <c r="C1520">
        <v>1000</v>
      </c>
    </row>
    <row r="1521" spans="1:3">
      <c r="A1521" t="s">
        <v>3342</v>
      </c>
      <c r="B1521">
        <v>101521</v>
      </c>
      <c r="C1521">
        <v>1000</v>
      </c>
    </row>
    <row r="1522" spans="1:3">
      <c r="A1522" t="s">
        <v>3343</v>
      </c>
      <c r="B1522">
        <v>101522</v>
      </c>
      <c r="C1522">
        <v>1000</v>
      </c>
    </row>
    <row r="1523" spans="1:3">
      <c r="A1523" t="s">
        <v>3344</v>
      </c>
      <c r="B1523">
        <v>101523</v>
      </c>
      <c r="C1523">
        <v>1000</v>
      </c>
    </row>
    <row r="1524" spans="1:3">
      <c r="A1524" t="s">
        <v>3345</v>
      </c>
      <c r="B1524">
        <v>101524</v>
      </c>
      <c r="C1524">
        <v>1000</v>
      </c>
    </row>
    <row r="1525" spans="1:3">
      <c r="A1525" t="s">
        <v>3346</v>
      </c>
      <c r="B1525">
        <v>101525</v>
      </c>
      <c r="C1525">
        <v>1000</v>
      </c>
    </row>
    <row r="1526" spans="1:3">
      <c r="A1526" t="s">
        <v>3347</v>
      </c>
      <c r="B1526">
        <v>101526</v>
      </c>
      <c r="C1526">
        <v>1000</v>
      </c>
    </row>
    <row r="1527" spans="1:3">
      <c r="A1527" t="s">
        <v>3348</v>
      </c>
      <c r="B1527">
        <v>101527</v>
      </c>
      <c r="C1527">
        <v>1000</v>
      </c>
    </row>
    <row r="1528" spans="1:3">
      <c r="A1528" t="s">
        <v>3349</v>
      </c>
      <c r="B1528">
        <v>101528</v>
      </c>
      <c r="C1528">
        <v>1000</v>
      </c>
    </row>
    <row r="1529" spans="1:3">
      <c r="A1529" t="s">
        <v>3350</v>
      </c>
      <c r="B1529">
        <v>101529</v>
      </c>
      <c r="C1529">
        <v>1000</v>
      </c>
    </row>
    <row r="1530" spans="1:3">
      <c r="A1530" t="s">
        <v>3351</v>
      </c>
      <c r="B1530">
        <v>101530</v>
      </c>
      <c r="C1530">
        <v>1000</v>
      </c>
    </row>
    <row r="1531" spans="1:3">
      <c r="A1531" t="s">
        <v>3352</v>
      </c>
      <c r="B1531">
        <v>101531</v>
      </c>
      <c r="C1531">
        <v>1000</v>
      </c>
    </row>
    <row r="1532" spans="1:3">
      <c r="A1532" t="s">
        <v>3353</v>
      </c>
      <c r="B1532">
        <v>101532</v>
      </c>
      <c r="C1532">
        <v>1000</v>
      </c>
    </row>
    <row r="1533" spans="1:3">
      <c r="A1533" t="s">
        <v>3354</v>
      </c>
      <c r="B1533">
        <v>101533</v>
      </c>
      <c r="C1533">
        <v>1000</v>
      </c>
    </row>
    <row r="1534" spans="1:3">
      <c r="A1534" t="s">
        <v>3355</v>
      </c>
      <c r="B1534">
        <v>101534</v>
      </c>
      <c r="C1534">
        <v>1000</v>
      </c>
    </row>
    <row r="1535" spans="1:3">
      <c r="A1535" t="s">
        <v>3356</v>
      </c>
      <c r="B1535">
        <v>101535</v>
      </c>
      <c r="C1535">
        <v>1000</v>
      </c>
    </row>
    <row r="1536" spans="1:3">
      <c r="A1536" t="s">
        <v>3357</v>
      </c>
      <c r="B1536">
        <v>101536</v>
      </c>
      <c r="C1536">
        <v>1000</v>
      </c>
    </row>
    <row r="1537" spans="1:3">
      <c r="A1537" t="s">
        <v>693</v>
      </c>
      <c r="B1537">
        <v>101537</v>
      </c>
      <c r="C1537">
        <v>1000</v>
      </c>
    </row>
    <row r="1538" spans="1:3">
      <c r="A1538" t="s">
        <v>3358</v>
      </c>
      <c r="B1538">
        <v>101538</v>
      </c>
      <c r="C1538">
        <v>1000</v>
      </c>
    </row>
    <row r="1539" spans="1:3">
      <c r="A1539" t="s">
        <v>3359</v>
      </c>
      <c r="B1539">
        <v>101539</v>
      </c>
      <c r="C1539">
        <v>1000</v>
      </c>
    </row>
    <row r="1540" spans="1:3">
      <c r="A1540" t="s">
        <v>3360</v>
      </c>
      <c r="B1540">
        <v>101540</v>
      </c>
      <c r="C1540">
        <v>1000</v>
      </c>
    </row>
    <row r="1541" spans="1:3">
      <c r="A1541" t="s">
        <v>3361</v>
      </c>
      <c r="B1541">
        <v>101541</v>
      </c>
      <c r="C1541">
        <v>1000</v>
      </c>
    </row>
    <row r="1542" spans="1:3">
      <c r="A1542" t="s">
        <v>3362</v>
      </c>
      <c r="B1542">
        <v>101542</v>
      </c>
      <c r="C1542">
        <v>1000</v>
      </c>
    </row>
    <row r="1543" spans="1:3">
      <c r="A1543" t="s">
        <v>3363</v>
      </c>
      <c r="B1543">
        <v>101543</v>
      </c>
      <c r="C1543">
        <v>1000</v>
      </c>
    </row>
    <row r="1544" spans="1:3">
      <c r="A1544" t="s">
        <v>3364</v>
      </c>
      <c r="B1544">
        <v>101544</v>
      </c>
      <c r="C1544">
        <v>1000</v>
      </c>
    </row>
    <row r="1545" spans="1:3">
      <c r="A1545" t="s">
        <v>3365</v>
      </c>
      <c r="B1545">
        <v>101545</v>
      </c>
      <c r="C1545">
        <v>1000</v>
      </c>
    </row>
    <row r="1546" spans="1:3">
      <c r="A1546" t="s">
        <v>3366</v>
      </c>
      <c r="B1546">
        <v>101546</v>
      </c>
      <c r="C1546">
        <v>1000</v>
      </c>
    </row>
    <row r="1547" spans="1:3">
      <c r="A1547" t="s">
        <v>3367</v>
      </c>
      <c r="B1547">
        <v>101547</v>
      </c>
      <c r="C1547">
        <v>1000</v>
      </c>
    </row>
    <row r="1548" spans="1:3">
      <c r="A1548" t="s">
        <v>3368</v>
      </c>
      <c r="B1548">
        <v>101548</v>
      </c>
      <c r="C1548">
        <v>1000</v>
      </c>
    </row>
    <row r="1549" spans="1:3">
      <c r="A1549" t="s">
        <v>3369</v>
      </c>
      <c r="B1549">
        <v>101549</v>
      </c>
      <c r="C1549">
        <v>1000</v>
      </c>
    </row>
    <row r="1550" spans="1:3">
      <c r="A1550" t="s">
        <v>3370</v>
      </c>
      <c r="B1550">
        <v>101550</v>
      </c>
      <c r="C1550">
        <v>1000</v>
      </c>
    </row>
    <row r="1551" spans="1:3">
      <c r="A1551" t="s">
        <v>3371</v>
      </c>
      <c r="B1551">
        <v>101551</v>
      </c>
      <c r="C1551">
        <v>1000</v>
      </c>
    </row>
    <row r="1552" spans="1:3">
      <c r="A1552" t="s">
        <v>3372</v>
      </c>
      <c r="B1552">
        <v>101552</v>
      </c>
      <c r="C1552">
        <v>1000</v>
      </c>
    </row>
    <row r="1553" spans="1:3">
      <c r="A1553" t="s">
        <v>3373</v>
      </c>
      <c r="B1553">
        <v>101553</v>
      </c>
      <c r="C1553">
        <v>1000</v>
      </c>
    </row>
    <row r="1554" spans="1:3">
      <c r="A1554" t="s">
        <v>3374</v>
      </c>
      <c r="B1554">
        <v>101554</v>
      </c>
      <c r="C1554">
        <v>1000</v>
      </c>
    </row>
    <row r="1555" spans="1:3">
      <c r="A1555" t="s">
        <v>3375</v>
      </c>
      <c r="B1555">
        <v>101555</v>
      </c>
      <c r="C1555">
        <v>1000</v>
      </c>
    </row>
    <row r="1556" spans="1:3">
      <c r="A1556" t="s">
        <v>3376</v>
      </c>
      <c r="B1556">
        <v>101556</v>
      </c>
      <c r="C1556">
        <v>1000</v>
      </c>
    </row>
    <row r="1557" spans="1:3">
      <c r="A1557" t="s">
        <v>3377</v>
      </c>
      <c r="B1557">
        <v>101557</v>
      </c>
      <c r="C1557">
        <v>1000</v>
      </c>
    </row>
    <row r="1558" spans="1:3">
      <c r="A1558" t="s">
        <v>3378</v>
      </c>
      <c r="B1558">
        <v>101558</v>
      </c>
      <c r="C1558">
        <v>1000</v>
      </c>
    </row>
    <row r="1559" spans="1:3">
      <c r="A1559" t="s">
        <v>3379</v>
      </c>
      <c r="B1559">
        <v>101559</v>
      </c>
      <c r="C1559">
        <v>1000</v>
      </c>
    </row>
    <row r="1560" spans="1:3">
      <c r="A1560" t="s">
        <v>3380</v>
      </c>
      <c r="B1560">
        <v>101560</v>
      </c>
      <c r="C1560">
        <v>1000</v>
      </c>
    </row>
    <row r="1561" spans="1:3">
      <c r="A1561" t="s">
        <v>3381</v>
      </c>
      <c r="B1561">
        <v>101561</v>
      </c>
      <c r="C1561">
        <v>1000</v>
      </c>
    </row>
    <row r="1562" spans="1:3">
      <c r="A1562" t="s">
        <v>3382</v>
      </c>
      <c r="B1562">
        <v>101562</v>
      </c>
      <c r="C1562">
        <v>1000</v>
      </c>
    </row>
    <row r="1563" spans="1:3">
      <c r="A1563" t="s">
        <v>3383</v>
      </c>
      <c r="B1563">
        <v>101563</v>
      </c>
      <c r="C1563">
        <v>1000</v>
      </c>
    </row>
    <row r="1564" spans="1:3">
      <c r="A1564" t="s">
        <v>3384</v>
      </c>
      <c r="B1564">
        <v>101564</v>
      </c>
      <c r="C1564">
        <v>1000</v>
      </c>
    </row>
    <row r="1565" spans="1:3">
      <c r="A1565" t="s">
        <v>3385</v>
      </c>
      <c r="B1565">
        <v>101565</v>
      </c>
      <c r="C1565">
        <v>1000</v>
      </c>
    </row>
    <row r="1566" spans="1:3">
      <c r="A1566" t="s">
        <v>3386</v>
      </c>
      <c r="B1566">
        <v>101566</v>
      </c>
      <c r="C1566">
        <v>1000</v>
      </c>
    </row>
    <row r="1567" spans="1:3">
      <c r="A1567" t="s">
        <v>3387</v>
      </c>
      <c r="B1567">
        <v>101567</v>
      </c>
      <c r="C1567">
        <v>1000</v>
      </c>
    </row>
    <row r="1568" spans="1:3">
      <c r="A1568" t="s">
        <v>657</v>
      </c>
      <c r="B1568">
        <v>101568</v>
      </c>
      <c r="C1568">
        <v>1000</v>
      </c>
    </row>
    <row r="1569" spans="1:3">
      <c r="A1569" t="s">
        <v>3388</v>
      </c>
      <c r="B1569">
        <v>101569</v>
      </c>
      <c r="C1569">
        <v>1000</v>
      </c>
    </row>
    <row r="1570" spans="1:3">
      <c r="A1570" t="s">
        <v>3389</v>
      </c>
      <c r="B1570">
        <v>101570</v>
      </c>
      <c r="C1570">
        <v>1000</v>
      </c>
    </row>
    <row r="1571" spans="1:3">
      <c r="A1571" t="s">
        <v>3390</v>
      </c>
      <c r="B1571">
        <v>101571</v>
      </c>
      <c r="C1571">
        <v>1000</v>
      </c>
    </row>
    <row r="1572" spans="1:3">
      <c r="A1572" t="s">
        <v>3391</v>
      </c>
      <c r="B1572">
        <v>101572</v>
      </c>
      <c r="C1572">
        <v>1000</v>
      </c>
    </row>
    <row r="1573" spans="1:3">
      <c r="A1573" t="s">
        <v>3392</v>
      </c>
      <c r="B1573">
        <v>101573</v>
      </c>
      <c r="C1573">
        <v>1000</v>
      </c>
    </row>
    <row r="1574" spans="1:3">
      <c r="A1574" t="s">
        <v>3393</v>
      </c>
      <c r="B1574">
        <v>101574</v>
      </c>
      <c r="C1574">
        <v>1000</v>
      </c>
    </row>
    <row r="1575" spans="1:3">
      <c r="A1575" t="s">
        <v>3394</v>
      </c>
      <c r="B1575">
        <v>101575</v>
      </c>
      <c r="C1575">
        <v>1000</v>
      </c>
    </row>
    <row r="1576" spans="1:3">
      <c r="A1576" t="s">
        <v>3395</v>
      </c>
      <c r="B1576">
        <v>101576</v>
      </c>
      <c r="C1576">
        <v>1000</v>
      </c>
    </row>
    <row r="1577" spans="1:3">
      <c r="A1577" t="s">
        <v>3396</v>
      </c>
      <c r="B1577">
        <v>101577</v>
      </c>
      <c r="C1577">
        <v>1000</v>
      </c>
    </row>
    <row r="1578" spans="1:3">
      <c r="A1578" t="s">
        <v>3397</v>
      </c>
      <c r="B1578">
        <v>101578</v>
      </c>
      <c r="C1578">
        <v>1000</v>
      </c>
    </row>
    <row r="1579" spans="1:3">
      <c r="A1579" t="s">
        <v>3398</v>
      </c>
      <c r="B1579">
        <v>101579</v>
      </c>
      <c r="C1579">
        <v>1000</v>
      </c>
    </row>
    <row r="1580" spans="1:3">
      <c r="A1580" t="s">
        <v>3399</v>
      </c>
      <c r="B1580">
        <v>101580</v>
      </c>
      <c r="C1580">
        <v>1000</v>
      </c>
    </row>
    <row r="1581" spans="1:3">
      <c r="A1581" t="s">
        <v>3400</v>
      </c>
      <c r="B1581">
        <v>101581</v>
      </c>
      <c r="C1581">
        <v>1000</v>
      </c>
    </row>
    <row r="1582" spans="1:3">
      <c r="A1582" t="s">
        <v>3401</v>
      </c>
      <c r="B1582">
        <v>101582</v>
      </c>
      <c r="C1582">
        <v>1000</v>
      </c>
    </row>
    <row r="1583" spans="1:3">
      <c r="A1583" t="s">
        <v>3402</v>
      </c>
      <c r="B1583">
        <v>101583</v>
      </c>
      <c r="C1583">
        <v>1000</v>
      </c>
    </row>
    <row r="1584" spans="1:3">
      <c r="A1584" t="s">
        <v>3403</v>
      </c>
      <c r="B1584">
        <v>101584</v>
      </c>
      <c r="C1584">
        <v>1000</v>
      </c>
    </row>
    <row r="1585" spans="1:3">
      <c r="A1585" t="s">
        <v>3404</v>
      </c>
      <c r="B1585">
        <v>101585</v>
      </c>
      <c r="C1585">
        <v>1000</v>
      </c>
    </row>
    <row r="1586" spans="1:3">
      <c r="A1586" t="s">
        <v>3405</v>
      </c>
      <c r="B1586">
        <v>101586</v>
      </c>
      <c r="C1586">
        <v>1000</v>
      </c>
    </row>
    <row r="1587" spans="1:3">
      <c r="A1587" t="s">
        <v>3406</v>
      </c>
      <c r="B1587">
        <v>101587</v>
      </c>
      <c r="C1587">
        <v>1000</v>
      </c>
    </row>
    <row r="1588" spans="1:3">
      <c r="A1588" t="s">
        <v>3407</v>
      </c>
      <c r="B1588">
        <v>101588</v>
      </c>
      <c r="C1588">
        <v>1000</v>
      </c>
    </row>
    <row r="1589" spans="1:3">
      <c r="A1589" t="s">
        <v>3408</v>
      </c>
      <c r="B1589">
        <v>101589</v>
      </c>
      <c r="C1589">
        <v>1000</v>
      </c>
    </row>
    <row r="1590" spans="1:3">
      <c r="A1590" t="s">
        <v>3409</v>
      </c>
      <c r="B1590">
        <v>101590</v>
      </c>
      <c r="C1590">
        <v>1000</v>
      </c>
    </row>
    <row r="1591" spans="1:3">
      <c r="A1591" t="s">
        <v>3410</v>
      </c>
      <c r="B1591">
        <v>101591</v>
      </c>
      <c r="C1591">
        <v>1000</v>
      </c>
    </row>
    <row r="1592" spans="1:3">
      <c r="A1592" t="s">
        <v>3411</v>
      </c>
      <c r="B1592">
        <v>101592</v>
      </c>
      <c r="C1592">
        <v>1000</v>
      </c>
    </row>
    <row r="1593" spans="1:3">
      <c r="A1593" t="s">
        <v>3412</v>
      </c>
      <c r="B1593">
        <v>101593</v>
      </c>
      <c r="C1593">
        <v>1000</v>
      </c>
    </row>
    <row r="1594" spans="1:3">
      <c r="A1594" t="s">
        <v>3413</v>
      </c>
      <c r="B1594">
        <v>101594</v>
      </c>
      <c r="C1594">
        <v>1000</v>
      </c>
    </row>
    <row r="1595" spans="1:3">
      <c r="A1595" t="s">
        <v>3414</v>
      </c>
      <c r="B1595">
        <v>101595</v>
      </c>
      <c r="C1595">
        <v>1000</v>
      </c>
    </row>
    <row r="1596" spans="1:3">
      <c r="A1596" t="s">
        <v>3415</v>
      </c>
      <c r="B1596">
        <v>101596</v>
      </c>
      <c r="C1596">
        <v>1000</v>
      </c>
    </row>
    <row r="1597" spans="1:3">
      <c r="A1597" t="s">
        <v>3416</v>
      </c>
      <c r="B1597">
        <v>101597</v>
      </c>
      <c r="C1597">
        <v>1000</v>
      </c>
    </row>
    <row r="1598" spans="1:3">
      <c r="A1598" t="s">
        <v>3417</v>
      </c>
      <c r="B1598">
        <v>101598</v>
      </c>
      <c r="C1598">
        <v>1000</v>
      </c>
    </row>
    <row r="1599" spans="1:3">
      <c r="A1599" t="s">
        <v>3418</v>
      </c>
      <c r="B1599">
        <v>101599</v>
      </c>
      <c r="C1599">
        <v>1000</v>
      </c>
    </row>
    <row r="1600" spans="1:3">
      <c r="A1600" t="s">
        <v>3419</v>
      </c>
      <c r="B1600">
        <v>101600</v>
      </c>
      <c r="C1600">
        <v>1000</v>
      </c>
    </row>
    <row r="1601" spans="1:3">
      <c r="A1601" t="s">
        <v>3420</v>
      </c>
      <c r="B1601">
        <v>101601</v>
      </c>
      <c r="C1601">
        <v>1000</v>
      </c>
    </row>
    <row r="1602" spans="1:3">
      <c r="A1602" t="s">
        <v>3421</v>
      </c>
      <c r="B1602">
        <v>101602</v>
      </c>
      <c r="C1602">
        <v>1000</v>
      </c>
    </row>
    <row r="1603" spans="1:3">
      <c r="A1603" t="s">
        <v>3422</v>
      </c>
      <c r="B1603">
        <v>101603</v>
      </c>
      <c r="C1603">
        <v>1000</v>
      </c>
    </row>
    <row r="1604" spans="1:3">
      <c r="A1604" t="s">
        <v>3423</v>
      </c>
      <c r="B1604">
        <v>101604</v>
      </c>
      <c r="C1604">
        <v>1000</v>
      </c>
    </row>
    <row r="1605" spans="1:3">
      <c r="A1605" t="s">
        <v>3424</v>
      </c>
      <c r="B1605">
        <v>101605</v>
      </c>
      <c r="C1605">
        <v>1000</v>
      </c>
    </row>
    <row r="1606" spans="1:3">
      <c r="A1606" t="s">
        <v>3425</v>
      </c>
      <c r="B1606">
        <v>101606</v>
      </c>
      <c r="C1606">
        <v>1000</v>
      </c>
    </row>
    <row r="1607" spans="1:3">
      <c r="A1607" t="s">
        <v>3426</v>
      </c>
      <c r="B1607">
        <v>101607</v>
      </c>
      <c r="C1607">
        <v>1000</v>
      </c>
    </row>
    <row r="1608" spans="1:3">
      <c r="A1608" t="s">
        <v>3427</v>
      </c>
      <c r="B1608">
        <v>101608</v>
      </c>
      <c r="C1608">
        <v>1000</v>
      </c>
    </row>
    <row r="1609" spans="1:3">
      <c r="A1609" t="s">
        <v>674</v>
      </c>
      <c r="B1609">
        <v>101609</v>
      </c>
      <c r="C1609">
        <v>1000</v>
      </c>
    </row>
    <row r="1610" spans="1:3">
      <c r="A1610" t="s">
        <v>3428</v>
      </c>
      <c r="B1610">
        <v>101610</v>
      </c>
      <c r="C1610">
        <v>1000</v>
      </c>
    </row>
    <row r="1611" spans="1:3">
      <c r="A1611" t="s">
        <v>3429</v>
      </c>
      <c r="B1611">
        <v>101611</v>
      </c>
      <c r="C1611">
        <v>1000</v>
      </c>
    </row>
    <row r="1612" spans="1:3">
      <c r="A1612" t="s">
        <v>3430</v>
      </c>
      <c r="B1612">
        <v>101612</v>
      </c>
      <c r="C1612">
        <v>1000</v>
      </c>
    </row>
    <row r="1613" spans="1:3">
      <c r="A1613" t="s">
        <v>3431</v>
      </c>
      <c r="B1613">
        <v>101613</v>
      </c>
      <c r="C1613">
        <v>1000</v>
      </c>
    </row>
    <row r="1614" spans="1:3">
      <c r="A1614" t="s">
        <v>3432</v>
      </c>
      <c r="B1614">
        <v>101614</v>
      </c>
      <c r="C1614">
        <v>1000</v>
      </c>
    </row>
    <row r="1615" spans="1:3">
      <c r="A1615" t="s">
        <v>3433</v>
      </c>
      <c r="B1615">
        <v>101615</v>
      </c>
      <c r="C1615">
        <v>1000</v>
      </c>
    </row>
    <row r="1616" spans="1:3">
      <c r="A1616" t="s">
        <v>3434</v>
      </c>
      <c r="B1616">
        <v>101616</v>
      </c>
      <c r="C1616">
        <v>1000</v>
      </c>
    </row>
    <row r="1617" spans="1:3">
      <c r="A1617" t="s">
        <v>3435</v>
      </c>
      <c r="B1617">
        <v>101617</v>
      </c>
      <c r="C1617">
        <v>1000</v>
      </c>
    </row>
    <row r="1618" spans="1:3">
      <c r="A1618" t="s">
        <v>3436</v>
      </c>
      <c r="B1618">
        <v>101618</v>
      </c>
      <c r="C1618">
        <v>1000</v>
      </c>
    </row>
    <row r="1619" spans="1:3">
      <c r="A1619" t="s">
        <v>2555</v>
      </c>
      <c r="B1619">
        <v>101619</v>
      </c>
      <c r="C1619">
        <v>1000</v>
      </c>
    </row>
    <row r="1620" spans="1:3">
      <c r="A1620" t="s">
        <v>3437</v>
      </c>
      <c r="B1620">
        <v>101620</v>
      </c>
      <c r="C1620">
        <v>1000</v>
      </c>
    </row>
    <row r="1621" spans="1:3">
      <c r="A1621" t="s">
        <v>3438</v>
      </c>
      <c r="B1621">
        <v>101621</v>
      </c>
      <c r="C1621">
        <v>1000</v>
      </c>
    </row>
    <row r="1622" spans="1:3">
      <c r="A1622" t="s">
        <v>3439</v>
      </c>
      <c r="B1622">
        <v>101622</v>
      </c>
      <c r="C1622">
        <v>1000</v>
      </c>
    </row>
    <row r="1623" spans="1:3">
      <c r="A1623" t="s">
        <v>3440</v>
      </c>
      <c r="B1623">
        <v>101623</v>
      </c>
      <c r="C1623">
        <v>1000</v>
      </c>
    </row>
    <row r="1624" spans="1:3">
      <c r="A1624" t="s">
        <v>3441</v>
      </c>
      <c r="B1624">
        <v>101624</v>
      </c>
      <c r="C1624">
        <v>1000</v>
      </c>
    </row>
    <row r="1625" spans="1:3">
      <c r="A1625" t="s">
        <v>3442</v>
      </c>
      <c r="B1625">
        <v>101625</v>
      </c>
      <c r="C1625">
        <v>1000</v>
      </c>
    </row>
    <row r="1626" spans="1:3">
      <c r="A1626" t="s">
        <v>3443</v>
      </c>
      <c r="B1626">
        <v>101626</v>
      </c>
      <c r="C1626">
        <v>1000</v>
      </c>
    </row>
    <row r="1627" spans="1:3">
      <c r="A1627" t="s">
        <v>3444</v>
      </c>
      <c r="B1627">
        <v>101627</v>
      </c>
      <c r="C1627">
        <v>1000</v>
      </c>
    </row>
    <row r="1628" spans="1:3">
      <c r="A1628" t="s">
        <v>3445</v>
      </c>
      <c r="B1628">
        <v>101628</v>
      </c>
      <c r="C1628">
        <v>1000</v>
      </c>
    </row>
    <row r="1629" spans="1:3">
      <c r="A1629" t="s">
        <v>3446</v>
      </c>
      <c r="B1629">
        <v>101629</v>
      </c>
      <c r="C1629">
        <v>1000</v>
      </c>
    </row>
    <row r="1630" spans="1:3">
      <c r="A1630" t="s">
        <v>3447</v>
      </c>
      <c r="B1630">
        <v>101630</v>
      </c>
      <c r="C1630">
        <v>1000</v>
      </c>
    </row>
    <row r="1631" spans="1:3">
      <c r="A1631" t="s">
        <v>3448</v>
      </c>
      <c r="B1631">
        <v>101631</v>
      </c>
      <c r="C1631">
        <v>1000</v>
      </c>
    </row>
    <row r="1632" spans="1:3">
      <c r="A1632" t="s">
        <v>3449</v>
      </c>
      <c r="B1632">
        <v>101632</v>
      </c>
      <c r="C1632">
        <v>1000</v>
      </c>
    </row>
    <row r="1633" spans="1:3">
      <c r="A1633" t="s">
        <v>3450</v>
      </c>
      <c r="B1633">
        <v>101633</v>
      </c>
      <c r="C1633">
        <v>1000</v>
      </c>
    </row>
    <row r="1634" spans="1:3">
      <c r="A1634" t="s">
        <v>3451</v>
      </c>
      <c r="B1634">
        <v>101634</v>
      </c>
      <c r="C1634">
        <v>1000</v>
      </c>
    </row>
    <row r="1635" spans="1:3">
      <c r="A1635" t="s">
        <v>3452</v>
      </c>
      <c r="B1635">
        <v>101635</v>
      </c>
      <c r="C1635">
        <v>1000</v>
      </c>
    </row>
    <row r="1636" spans="1:3">
      <c r="A1636" t="s">
        <v>3453</v>
      </c>
      <c r="B1636">
        <v>101636</v>
      </c>
      <c r="C1636">
        <v>1000</v>
      </c>
    </row>
    <row r="1637" spans="1:3">
      <c r="A1637" t="s">
        <v>3454</v>
      </c>
      <c r="B1637">
        <v>101637</v>
      </c>
      <c r="C1637">
        <v>1000</v>
      </c>
    </row>
    <row r="1638" spans="1:3">
      <c r="A1638" t="s">
        <v>3375</v>
      </c>
      <c r="B1638">
        <v>101638</v>
      </c>
      <c r="C1638">
        <v>1000</v>
      </c>
    </row>
    <row r="1639" spans="1:3">
      <c r="A1639" t="s">
        <v>3455</v>
      </c>
      <c r="B1639">
        <v>101639</v>
      </c>
      <c r="C1639">
        <v>1000</v>
      </c>
    </row>
    <row r="1640" spans="1:3">
      <c r="A1640" t="s">
        <v>3456</v>
      </c>
      <c r="B1640">
        <v>101640</v>
      </c>
      <c r="C1640">
        <v>1000</v>
      </c>
    </row>
    <row r="1641" spans="1:3">
      <c r="A1641" t="s">
        <v>3457</v>
      </c>
      <c r="B1641">
        <v>101641</v>
      </c>
      <c r="C1641">
        <v>1000</v>
      </c>
    </row>
    <row r="1642" spans="1:3">
      <c r="A1642" t="s">
        <v>3458</v>
      </c>
      <c r="B1642">
        <v>101642</v>
      </c>
      <c r="C1642">
        <v>1000</v>
      </c>
    </row>
    <row r="1643" spans="1:3">
      <c r="A1643" t="s">
        <v>3459</v>
      </c>
      <c r="B1643">
        <v>101643</v>
      </c>
      <c r="C1643">
        <v>1000</v>
      </c>
    </row>
    <row r="1644" spans="1:3">
      <c r="A1644" t="s">
        <v>3460</v>
      </c>
      <c r="B1644">
        <v>101644</v>
      </c>
      <c r="C1644">
        <v>1000</v>
      </c>
    </row>
    <row r="1645" spans="1:3">
      <c r="A1645" t="s">
        <v>3461</v>
      </c>
      <c r="B1645">
        <v>101645</v>
      </c>
      <c r="C1645">
        <v>1000</v>
      </c>
    </row>
    <row r="1646" spans="1:3">
      <c r="A1646" t="s">
        <v>3462</v>
      </c>
      <c r="B1646">
        <v>101646</v>
      </c>
      <c r="C1646">
        <v>1000</v>
      </c>
    </row>
    <row r="1647" spans="1:3">
      <c r="A1647" t="s">
        <v>3463</v>
      </c>
      <c r="B1647">
        <v>101647</v>
      </c>
      <c r="C1647">
        <v>1000</v>
      </c>
    </row>
    <row r="1648" spans="1:3">
      <c r="A1648" t="s">
        <v>3464</v>
      </c>
      <c r="B1648">
        <v>101648</v>
      </c>
      <c r="C1648">
        <v>1000</v>
      </c>
    </row>
    <row r="1649" spans="1:3">
      <c r="A1649" t="s">
        <v>3465</v>
      </c>
      <c r="B1649">
        <v>101649</v>
      </c>
      <c r="C1649">
        <v>1000</v>
      </c>
    </row>
    <row r="1650" spans="1:3">
      <c r="A1650" t="s">
        <v>3466</v>
      </c>
      <c r="B1650">
        <v>101650</v>
      </c>
      <c r="C1650">
        <v>1000</v>
      </c>
    </row>
    <row r="1651" spans="1:3">
      <c r="A1651" t="s">
        <v>632</v>
      </c>
      <c r="B1651">
        <v>101651</v>
      </c>
      <c r="C1651">
        <v>1000</v>
      </c>
    </row>
    <row r="1652" spans="1:3">
      <c r="A1652" t="s">
        <v>3467</v>
      </c>
      <c r="B1652">
        <v>101652</v>
      </c>
      <c r="C1652">
        <v>1000</v>
      </c>
    </row>
    <row r="1653" spans="1:3">
      <c r="A1653" t="s">
        <v>3468</v>
      </c>
      <c r="B1653">
        <v>101653</v>
      </c>
      <c r="C1653">
        <v>1000</v>
      </c>
    </row>
    <row r="1654" spans="1:3">
      <c r="A1654" t="s">
        <v>3469</v>
      </c>
      <c r="B1654">
        <v>101654</v>
      </c>
      <c r="C1654">
        <v>1000</v>
      </c>
    </row>
    <row r="1655" spans="1:3">
      <c r="A1655" t="s">
        <v>3470</v>
      </c>
      <c r="B1655">
        <v>101655</v>
      </c>
      <c r="C1655">
        <v>1000</v>
      </c>
    </row>
    <row r="1656" spans="1:3">
      <c r="A1656" t="s">
        <v>3471</v>
      </c>
      <c r="B1656">
        <v>101656</v>
      </c>
      <c r="C1656">
        <v>1000</v>
      </c>
    </row>
    <row r="1657" spans="1:3">
      <c r="A1657" t="s">
        <v>3472</v>
      </c>
      <c r="B1657">
        <v>101657</v>
      </c>
      <c r="C1657">
        <v>1000</v>
      </c>
    </row>
    <row r="1658" spans="1:3">
      <c r="A1658" t="s">
        <v>3473</v>
      </c>
      <c r="B1658">
        <v>101658</v>
      </c>
      <c r="C1658">
        <v>1000</v>
      </c>
    </row>
    <row r="1659" spans="1:3">
      <c r="A1659" t="s">
        <v>3474</v>
      </c>
      <c r="B1659">
        <v>101659</v>
      </c>
      <c r="C1659">
        <v>1000</v>
      </c>
    </row>
    <row r="1660" spans="1:3">
      <c r="A1660" t="s">
        <v>3475</v>
      </c>
      <c r="B1660">
        <v>101660</v>
      </c>
      <c r="C1660">
        <v>1000</v>
      </c>
    </row>
    <row r="1661" spans="1:3">
      <c r="A1661" t="s">
        <v>3476</v>
      </c>
      <c r="B1661">
        <v>101661</v>
      </c>
      <c r="C1661">
        <v>1000</v>
      </c>
    </row>
    <row r="1662" spans="1:3">
      <c r="A1662" t="s">
        <v>3477</v>
      </c>
      <c r="B1662">
        <v>101662</v>
      </c>
      <c r="C1662">
        <v>1000</v>
      </c>
    </row>
    <row r="1663" spans="1:3">
      <c r="A1663" t="s">
        <v>3478</v>
      </c>
      <c r="B1663">
        <v>101663</v>
      </c>
      <c r="C1663">
        <v>1000</v>
      </c>
    </row>
    <row r="1664" spans="1:3">
      <c r="A1664" t="s">
        <v>3479</v>
      </c>
      <c r="B1664">
        <v>101664</v>
      </c>
      <c r="C1664">
        <v>1000</v>
      </c>
    </row>
    <row r="1665" spans="1:3">
      <c r="A1665" t="s">
        <v>3480</v>
      </c>
      <c r="B1665">
        <v>101665</v>
      </c>
      <c r="C1665">
        <v>1000</v>
      </c>
    </row>
    <row r="1666" spans="1:3">
      <c r="A1666" t="s">
        <v>3481</v>
      </c>
      <c r="B1666">
        <v>101666</v>
      </c>
      <c r="C1666">
        <v>1000</v>
      </c>
    </row>
    <row r="1667" spans="1:3">
      <c r="A1667" t="s">
        <v>3482</v>
      </c>
      <c r="B1667">
        <v>101667</v>
      </c>
      <c r="C1667">
        <v>1000</v>
      </c>
    </row>
    <row r="1668" spans="1:3">
      <c r="A1668" t="s">
        <v>3483</v>
      </c>
      <c r="B1668">
        <v>101668</v>
      </c>
      <c r="C1668">
        <v>1000</v>
      </c>
    </row>
    <row r="1669" spans="1:3">
      <c r="A1669" t="s">
        <v>3484</v>
      </c>
      <c r="B1669">
        <v>101669</v>
      </c>
      <c r="C1669">
        <v>1000</v>
      </c>
    </row>
    <row r="1670" spans="1:3">
      <c r="A1670" t="s">
        <v>3485</v>
      </c>
      <c r="B1670">
        <v>101670</v>
      </c>
      <c r="C1670">
        <v>1000</v>
      </c>
    </row>
    <row r="1671" spans="1:3">
      <c r="A1671" t="s">
        <v>654</v>
      </c>
      <c r="B1671">
        <v>101671</v>
      </c>
      <c r="C1671">
        <v>1000</v>
      </c>
    </row>
    <row r="1672" spans="1:3">
      <c r="A1672" t="s">
        <v>3486</v>
      </c>
      <c r="B1672">
        <v>101672</v>
      </c>
      <c r="C1672">
        <v>1000</v>
      </c>
    </row>
    <row r="1673" spans="1:3">
      <c r="A1673" t="s">
        <v>3487</v>
      </c>
      <c r="B1673">
        <v>101673</v>
      </c>
      <c r="C1673">
        <v>1000</v>
      </c>
    </row>
    <row r="1674" spans="1:3">
      <c r="A1674" t="s">
        <v>3488</v>
      </c>
      <c r="B1674">
        <v>101674</v>
      </c>
      <c r="C1674">
        <v>1000</v>
      </c>
    </row>
    <row r="1675" spans="1:3">
      <c r="A1675" t="s">
        <v>3489</v>
      </c>
      <c r="B1675">
        <v>101675</v>
      </c>
      <c r="C1675">
        <v>1000</v>
      </c>
    </row>
    <row r="1676" spans="1:3">
      <c r="A1676" t="s">
        <v>3490</v>
      </c>
      <c r="B1676">
        <v>101676</v>
      </c>
      <c r="C1676">
        <v>1000</v>
      </c>
    </row>
    <row r="1677" spans="1:3">
      <c r="A1677" t="s">
        <v>3491</v>
      </c>
      <c r="B1677">
        <v>101677</v>
      </c>
      <c r="C1677">
        <v>1000</v>
      </c>
    </row>
    <row r="1678" spans="1:3">
      <c r="A1678" t="s">
        <v>3492</v>
      </c>
      <c r="B1678">
        <v>101678</v>
      </c>
      <c r="C1678">
        <v>1000</v>
      </c>
    </row>
    <row r="1679" spans="1:3">
      <c r="A1679" t="s">
        <v>3493</v>
      </c>
      <c r="B1679">
        <v>101679</v>
      </c>
      <c r="C1679">
        <v>1000</v>
      </c>
    </row>
    <row r="1680" spans="1:3">
      <c r="A1680" t="s">
        <v>3494</v>
      </c>
      <c r="B1680">
        <v>101680</v>
      </c>
      <c r="C1680">
        <v>1000</v>
      </c>
    </row>
    <row r="1681" spans="1:3">
      <c r="A1681" t="s">
        <v>3495</v>
      </c>
      <c r="B1681">
        <v>101681</v>
      </c>
      <c r="C1681">
        <v>1000</v>
      </c>
    </row>
    <row r="1682" spans="1:3">
      <c r="A1682" t="s">
        <v>3496</v>
      </c>
      <c r="B1682">
        <v>101682</v>
      </c>
      <c r="C1682">
        <v>1000</v>
      </c>
    </row>
    <row r="1683" spans="1:3">
      <c r="A1683" t="s">
        <v>3497</v>
      </c>
      <c r="B1683">
        <v>101683</v>
      </c>
      <c r="C1683">
        <v>1000</v>
      </c>
    </row>
    <row r="1684" spans="1:3">
      <c r="A1684" t="s">
        <v>3498</v>
      </c>
      <c r="B1684">
        <v>101684</v>
      </c>
      <c r="C1684">
        <v>1000</v>
      </c>
    </row>
    <row r="1685" spans="1:3">
      <c r="A1685" t="s">
        <v>655</v>
      </c>
      <c r="B1685">
        <v>101685</v>
      </c>
      <c r="C1685">
        <v>1000</v>
      </c>
    </row>
    <row r="1686" spans="1:3">
      <c r="A1686" t="s">
        <v>3499</v>
      </c>
      <c r="B1686">
        <v>101686</v>
      </c>
      <c r="C1686">
        <v>1000</v>
      </c>
    </row>
    <row r="1687" spans="1:3">
      <c r="A1687" t="s">
        <v>3500</v>
      </c>
      <c r="B1687">
        <v>101687</v>
      </c>
      <c r="C1687">
        <v>1000</v>
      </c>
    </row>
    <row r="1688" spans="1:3">
      <c r="A1688" t="s">
        <v>3501</v>
      </c>
      <c r="B1688">
        <v>101688</v>
      </c>
      <c r="C1688">
        <v>1000</v>
      </c>
    </row>
    <row r="1689" spans="1:3">
      <c r="A1689" t="s">
        <v>3502</v>
      </c>
      <c r="B1689">
        <v>101689</v>
      </c>
      <c r="C1689">
        <v>1000</v>
      </c>
    </row>
    <row r="1690" spans="1:3">
      <c r="A1690" t="s">
        <v>3503</v>
      </c>
      <c r="B1690">
        <v>101690</v>
      </c>
      <c r="C1690">
        <v>1000</v>
      </c>
    </row>
    <row r="1691" spans="1:3">
      <c r="A1691" t="s">
        <v>3504</v>
      </c>
      <c r="B1691">
        <v>101691</v>
      </c>
      <c r="C1691">
        <v>1000</v>
      </c>
    </row>
    <row r="1692" spans="1:3">
      <c r="A1692" t="s">
        <v>3505</v>
      </c>
      <c r="B1692">
        <v>101692</v>
      </c>
      <c r="C1692">
        <v>1000</v>
      </c>
    </row>
    <row r="1693" spans="1:3">
      <c r="A1693" t="s">
        <v>3506</v>
      </c>
      <c r="B1693">
        <v>101693</v>
      </c>
      <c r="C1693">
        <v>1000</v>
      </c>
    </row>
    <row r="1694" spans="1:3">
      <c r="A1694" t="s">
        <v>3507</v>
      </c>
      <c r="B1694">
        <v>101694</v>
      </c>
      <c r="C1694">
        <v>1000</v>
      </c>
    </row>
    <row r="1695" spans="1:3">
      <c r="A1695" t="s">
        <v>662</v>
      </c>
      <c r="B1695">
        <v>101695</v>
      </c>
      <c r="C1695">
        <v>1000</v>
      </c>
    </row>
    <row r="1696" spans="1:3">
      <c r="A1696" t="s">
        <v>3508</v>
      </c>
      <c r="B1696">
        <v>101696</v>
      </c>
      <c r="C1696">
        <v>1000</v>
      </c>
    </row>
    <row r="1697" spans="1:3">
      <c r="A1697" t="s">
        <v>3509</v>
      </c>
      <c r="B1697">
        <v>101697</v>
      </c>
      <c r="C1697">
        <v>1000</v>
      </c>
    </row>
    <row r="1698" spans="1:3">
      <c r="A1698" t="s">
        <v>3510</v>
      </c>
      <c r="B1698">
        <v>101698</v>
      </c>
      <c r="C1698">
        <v>1000</v>
      </c>
    </row>
    <row r="1699" spans="1:3">
      <c r="A1699" t="s">
        <v>3511</v>
      </c>
      <c r="B1699">
        <v>101699</v>
      </c>
      <c r="C1699">
        <v>1000</v>
      </c>
    </row>
    <row r="1700" spans="1:3">
      <c r="A1700" t="s">
        <v>3512</v>
      </c>
      <c r="B1700">
        <v>101700</v>
      </c>
      <c r="C1700">
        <v>1000</v>
      </c>
    </row>
    <row r="1701" spans="1:3">
      <c r="A1701" t="s">
        <v>3513</v>
      </c>
      <c r="B1701">
        <v>101701</v>
      </c>
      <c r="C1701">
        <v>1000</v>
      </c>
    </row>
    <row r="1702" spans="1:3">
      <c r="A1702" t="s">
        <v>3514</v>
      </c>
      <c r="B1702">
        <v>101702</v>
      </c>
      <c r="C1702">
        <v>1000</v>
      </c>
    </row>
    <row r="1703" spans="1:3">
      <c r="A1703" t="s">
        <v>3515</v>
      </c>
      <c r="B1703">
        <v>101703</v>
      </c>
      <c r="C1703">
        <v>1000</v>
      </c>
    </row>
    <row r="1704" spans="1:3">
      <c r="A1704" t="s">
        <v>3516</v>
      </c>
      <c r="B1704">
        <v>101704</v>
      </c>
      <c r="C1704">
        <v>1000</v>
      </c>
    </row>
    <row r="1705" spans="1:3">
      <c r="A1705" t="s">
        <v>3517</v>
      </c>
      <c r="B1705">
        <v>101705</v>
      </c>
      <c r="C1705">
        <v>1000</v>
      </c>
    </row>
    <row r="1706" spans="1:3">
      <c r="A1706" t="s">
        <v>3518</v>
      </c>
      <c r="B1706">
        <v>101706</v>
      </c>
      <c r="C1706">
        <v>1000</v>
      </c>
    </row>
    <row r="1707" spans="1:3">
      <c r="A1707" t="s">
        <v>3519</v>
      </c>
      <c r="B1707">
        <v>101707</v>
      </c>
      <c r="C1707">
        <v>1000</v>
      </c>
    </row>
    <row r="1708" spans="1:3">
      <c r="A1708" t="s">
        <v>3520</v>
      </c>
      <c r="B1708">
        <v>101708</v>
      </c>
      <c r="C1708">
        <v>1000</v>
      </c>
    </row>
    <row r="1709" spans="1:3">
      <c r="A1709" t="s">
        <v>3521</v>
      </c>
      <c r="B1709">
        <v>101709</v>
      </c>
      <c r="C1709">
        <v>1000</v>
      </c>
    </row>
    <row r="1710" spans="1:3">
      <c r="A1710" t="s">
        <v>3522</v>
      </c>
      <c r="B1710">
        <v>101710</v>
      </c>
      <c r="C1710">
        <v>1000</v>
      </c>
    </row>
    <row r="1711" spans="1:3">
      <c r="A1711" t="s">
        <v>3523</v>
      </c>
      <c r="B1711">
        <v>101711</v>
      </c>
      <c r="C1711">
        <v>1000</v>
      </c>
    </row>
    <row r="1712" spans="1:3">
      <c r="A1712" t="s">
        <v>631</v>
      </c>
      <c r="B1712">
        <v>101712</v>
      </c>
      <c r="C1712">
        <v>1000</v>
      </c>
    </row>
    <row r="1713" spans="1:3">
      <c r="A1713" t="s">
        <v>3524</v>
      </c>
      <c r="B1713">
        <v>101713</v>
      </c>
      <c r="C1713">
        <v>1000</v>
      </c>
    </row>
    <row r="1714" spans="1:3">
      <c r="A1714" t="s">
        <v>3525</v>
      </c>
      <c r="B1714">
        <v>101714</v>
      </c>
      <c r="C1714">
        <v>1000</v>
      </c>
    </row>
    <row r="1715" spans="1:3">
      <c r="A1715" t="s">
        <v>3526</v>
      </c>
      <c r="B1715">
        <v>101715</v>
      </c>
      <c r="C1715">
        <v>1000</v>
      </c>
    </row>
    <row r="1716" spans="1:3">
      <c r="A1716" t="s">
        <v>675</v>
      </c>
      <c r="B1716">
        <v>101716</v>
      </c>
      <c r="C1716">
        <v>1000</v>
      </c>
    </row>
    <row r="1717" spans="1:3">
      <c r="A1717" t="s">
        <v>3527</v>
      </c>
      <c r="B1717">
        <v>101717</v>
      </c>
      <c r="C1717">
        <v>1000</v>
      </c>
    </row>
    <row r="1718" spans="1:3">
      <c r="A1718" t="s">
        <v>3528</v>
      </c>
      <c r="B1718">
        <v>101718</v>
      </c>
      <c r="C1718">
        <v>1000</v>
      </c>
    </row>
    <row r="1719" spans="1:3">
      <c r="A1719" t="s">
        <v>3529</v>
      </c>
      <c r="B1719">
        <v>101719</v>
      </c>
      <c r="C1719">
        <v>1000</v>
      </c>
    </row>
    <row r="1720" spans="1:3">
      <c r="A1720" t="s">
        <v>3530</v>
      </c>
      <c r="B1720">
        <v>101720</v>
      </c>
      <c r="C1720">
        <v>1000</v>
      </c>
    </row>
    <row r="1721" spans="1:3">
      <c r="A1721" t="s">
        <v>619</v>
      </c>
      <c r="B1721">
        <v>101721</v>
      </c>
      <c r="C1721">
        <v>1000</v>
      </c>
    </row>
    <row r="1722" spans="1:3">
      <c r="A1722" t="s">
        <v>3531</v>
      </c>
      <c r="B1722">
        <v>101722</v>
      </c>
      <c r="C1722">
        <v>1000</v>
      </c>
    </row>
    <row r="1723" spans="1:3">
      <c r="A1723" t="s">
        <v>3532</v>
      </c>
      <c r="B1723">
        <v>101723</v>
      </c>
      <c r="C1723">
        <v>1000</v>
      </c>
    </row>
    <row r="1724" spans="1:3">
      <c r="A1724" t="s">
        <v>3533</v>
      </c>
      <c r="B1724">
        <v>101724</v>
      </c>
      <c r="C1724">
        <v>1000</v>
      </c>
    </row>
    <row r="1725" spans="1:3">
      <c r="A1725" t="s">
        <v>3534</v>
      </c>
      <c r="B1725">
        <v>101725</v>
      </c>
      <c r="C1725">
        <v>1000</v>
      </c>
    </row>
    <row r="1726" spans="1:3">
      <c r="A1726" t="s">
        <v>3535</v>
      </c>
      <c r="B1726">
        <v>101726</v>
      </c>
      <c r="C1726">
        <v>1000</v>
      </c>
    </row>
    <row r="1727" spans="1:3">
      <c r="A1727" t="s">
        <v>3536</v>
      </c>
      <c r="B1727">
        <v>101727</v>
      </c>
      <c r="C1727">
        <v>1000</v>
      </c>
    </row>
    <row r="1728" spans="1:3">
      <c r="A1728" t="s">
        <v>3537</v>
      </c>
      <c r="B1728">
        <v>101728</v>
      </c>
      <c r="C1728">
        <v>1000</v>
      </c>
    </row>
    <row r="1729" spans="1:3">
      <c r="A1729" t="s">
        <v>3538</v>
      </c>
      <c r="B1729">
        <v>101729</v>
      </c>
      <c r="C1729">
        <v>1000</v>
      </c>
    </row>
    <row r="1730" spans="1:3">
      <c r="A1730" t="s">
        <v>3539</v>
      </c>
      <c r="B1730">
        <v>101730</v>
      </c>
      <c r="C1730">
        <v>1000</v>
      </c>
    </row>
    <row r="1731" spans="1:3">
      <c r="A1731" t="s">
        <v>3540</v>
      </c>
      <c r="B1731">
        <v>101731</v>
      </c>
      <c r="C1731">
        <v>1000</v>
      </c>
    </row>
    <row r="1732" spans="1:3">
      <c r="A1732" t="s">
        <v>3541</v>
      </c>
      <c r="B1732">
        <v>101732</v>
      </c>
      <c r="C1732">
        <v>1000</v>
      </c>
    </row>
    <row r="1733" spans="1:3">
      <c r="A1733" t="s">
        <v>3542</v>
      </c>
      <c r="B1733">
        <v>101733</v>
      </c>
      <c r="C1733">
        <v>1000</v>
      </c>
    </row>
    <row r="1734" spans="1:3">
      <c r="A1734" t="s">
        <v>3543</v>
      </c>
      <c r="B1734">
        <v>101734</v>
      </c>
      <c r="C1734">
        <v>1000</v>
      </c>
    </row>
    <row r="1735" spans="1:3">
      <c r="A1735" t="s">
        <v>3544</v>
      </c>
      <c r="B1735">
        <v>101735</v>
      </c>
      <c r="C1735">
        <v>1000</v>
      </c>
    </row>
    <row r="1736" spans="1:3">
      <c r="A1736" t="s">
        <v>3545</v>
      </c>
      <c r="B1736">
        <v>101736</v>
      </c>
      <c r="C1736">
        <v>1000</v>
      </c>
    </row>
    <row r="1737" spans="1:3">
      <c r="A1737" t="s">
        <v>3546</v>
      </c>
      <c r="B1737">
        <v>101737</v>
      </c>
      <c r="C1737">
        <v>1000</v>
      </c>
    </row>
    <row r="1738" spans="1:3">
      <c r="A1738" t="s">
        <v>3547</v>
      </c>
      <c r="B1738">
        <v>101738</v>
      </c>
      <c r="C1738">
        <v>1000</v>
      </c>
    </row>
    <row r="1739" spans="1:3">
      <c r="A1739" t="s">
        <v>3548</v>
      </c>
      <c r="B1739">
        <v>101739</v>
      </c>
      <c r="C1739">
        <v>1000</v>
      </c>
    </row>
    <row r="1740" spans="1:3">
      <c r="A1740" t="s">
        <v>3549</v>
      </c>
      <c r="B1740">
        <v>101740</v>
      </c>
      <c r="C1740">
        <v>1000</v>
      </c>
    </row>
    <row r="1741" spans="1:3">
      <c r="A1741" t="s">
        <v>3550</v>
      </c>
      <c r="B1741">
        <v>101741</v>
      </c>
      <c r="C1741">
        <v>1000</v>
      </c>
    </row>
    <row r="1742" spans="1:3">
      <c r="A1742" t="s">
        <v>3551</v>
      </c>
      <c r="B1742">
        <v>101742</v>
      </c>
      <c r="C1742">
        <v>1000</v>
      </c>
    </row>
    <row r="1743" spans="1:3">
      <c r="A1743" t="s">
        <v>3552</v>
      </c>
      <c r="B1743">
        <v>101743</v>
      </c>
      <c r="C1743">
        <v>1000</v>
      </c>
    </row>
    <row r="1744" spans="1:3">
      <c r="A1744" t="s">
        <v>3553</v>
      </c>
      <c r="B1744">
        <v>101744</v>
      </c>
      <c r="C1744">
        <v>1000</v>
      </c>
    </row>
    <row r="1745" spans="1:3">
      <c r="A1745" t="s">
        <v>3554</v>
      </c>
      <c r="B1745">
        <v>101745</v>
      </c>
      <c r="C1745">
        <v>1000</v>
      </c>
    </row>
    <row r="1746" spans="1:3">
      <c r="A1746" t="s">
        <v>3555</v>
      </c>
      <c r="B1746">
        <v>101746</v>
      </c>
      <c r="C1746">
        <v>1000</v>
      </c>
    </row>
    <row r="1747" spans="1:3">
      <c r="A1747" t="s">
        <v>647</v>
      </c>
      <c r="B1747">
        <v>101747</v>
      </c>
      <c r="C1747">
        <v>1000</v>
      </c>
    </row>
    <row r="1748" spans="1:3">
      <c r="A1748" t="s">
        <v>3556</v>
      </c>
      <c r="B1748">
        <v>101748</v>
      </c>
      <c r="C1748">
        <v>1000</v>
      </c>
    </row>
    <row r="1749" spans="1:3">
      <c r="A1749" t="s">
        <v>3557</v>
      </c>
      <c r="B1749">
        <v>101749</v>
      </c>
      <c r="C1749">
        <v>1000</v>
      </c>
    </row>
    <row r="1750" spans="1:3">
      <c r="A1750" t="s">
        <v>3558</v>
      </c>
      <c r="B1750">
        <v>101750</v>
      </c>
      <c r="C1750">
        <v>1000</v>
      </c>
    </row>
    <row r="1751" spans="1:3">
      <c r="A1751" t="s">
        <v>3559</v>
      </c>
      <c r="B1751">
        <v>101751</v>
      </c>
      <c r="C1751">
        <v>1000</v>
      </c>
    </row>
    <row r="1752" spans="1:3">
      <c r="A1752" t="s">
        <v>626</v>
      </c>
      <c r="B1752">
        <v>101752</v>
      </c>
      <c r="C1752">
        <v>1000</v>
      </c>
    </row>
    <row r="1753" spans="1:3">
      <c r="A1753" t="s">
        <v>3560</v>
      </c>
      <c r="B1753">
        <v>101753</v>
      </c>
      <c r="C1753">
        <v>1000</v>
      </c>
    </row>
    <row r="1754" spans="1:3">
      <c r="A1754" t="s">
        <v>3561</v>
      </c>
      <c r="B1754">
        <v>101754</v>
      </c>
      <c r="C1754">
        <v>1000</v>
      </c>
    </row>
    <row r="1755" spans="1:3">
      <c r="A1755" t="s">
        <v>3562</v>
      </c>
      <c r="B1755">
        <v>101755</v>
      </c>
      <c r="C1755">
        <v>1000</v>
      </c>
    </row>
    <row r="1756" spans="1:3">
      <c r="A1756" t="s">
        <v>3563</v>
      </c>
      <c r="B1756">
        <v>101756</v>
      </c>
      <c r="C1756">
        <v>1000</v>
      </c>
    </row>
    <row r="1757" spans="1:3">
      <c r="A1757" t="s">
        <v>3564</v>
      </c>
      <c r="B1757">
        <v>101757</v>
      </c>
      <c r="C1757">
        <v>1000</v>
      </c>
    </row>
    <row r="1758" spans="1:3">
      <c r="A1758" t="s">
        <v>671</v>
      </c>
      <c r="B1758">
        <v>101758</v>
      </c>
      <c r="C1758">
        <v>1000</v>
      </c>
    </row>
    <row r="1759" spans="1:3">
      <c r="A1759" t="s">
        <v>3565</v>
      </c>
      <c r="B1759">
        <v>101759</v>
      </c>
      <c r="C1759">
        <v>1000</v>
      </c>
    </row>
    <row r="1760" spans="1:3">
      <c r="A1760" t="s">
        <v>3566</v>
      </c>
      <c r="B1760">
        <v>101760</v>
      </c>
      <c r="C1760">
        <v>1000</v>
      </c>
    </row>
    <row r="1761" spans="1:3">
      <c r="A1761" t="s">
        <v>3567</v>
      </c>
      <c r="B1761">
        <v>101761</v>
      </c>
      <c r="C1761">
        <v>1000</v>
      </c>
    </row>
    <row r="1762" spans="1:3">
      <c r="A1762" t="s">
        <v>3568</v>
      </c>
      <c r="B1762">
        <v>101762</v>
      </c>
      <c r="C1762">
        <v>1000</v>
      </c>
    </row>
    <row r="1763" spans="1:3">
      <c r="A1763" t="s">
        <v>3569</v>
      </c>
      <c r="B1763">
        <v>101763</v>
      </c>
      <c r="C1763">
        <v>1000</v>
      </c>
    </row>
    <row r="1764" spans="1:3">
      <c r="A1764" t="s">
        <v>3570</v>
      </c>
      <c r="B1764">
        <v>101764</v>
      </c>
      <c r="C1764">
        <v>1000</v>
      </c>
    </row>
    <row r="1765" spans="1:3">
      <c r="A1765" t="s">
        <v>3571</v>
      </c>
      <c r="B1765">
        <v>101765</v>
      </c>
      <c r="C1765">
        <v>1000</v>
      </c>
    </row>
    <row r="1766" spans="1:3">
      <c r="A1766" t="s">
        <v>3572</v>
      </c>
      <c r="B1766">
        <v>101766</v>
      </c>
      <c r="C1766">
        <v>1000</v>
      </c>
    </row>
    <row r="1767" spans="1:3">
      <c r="A1767" t="s">
        <v>3573</v>
      </c>
      <c r="B1767">
        <v>101767</v>
      </c>
      <c r="C1767">
        <v>1000</v>
      </c>
    </row>
    <row r="1768" spans="1:3">
      <c r="A1768" t="s">
        <v>3574</v>
      </c>
      <c r="B1768">
        <v>101768</v>
      </c>
      <c r="C1768">
        <v>1000</v>
      </c>
    </row>
    <row r="1769" spans="1:3">
      <c r="A1769" t="s">
        <v>3575</v>
      </c>
      <c r="B1769">
        <v>101769</v>
      </c>
      <c r="C1769">
        <v>1000</v>
      </c>
    </row>
    <row r="1770" spans="1:3">
      <c r="A1770" t="s">
        <v>3576</v>
      </c>
      <c r="B1770">
        <v>101770</v>
      </c>
      <c r="C1770">
        <v>1000</v>
      </c>
    </row>
    <row r="1771" spans="1:3">
      <c r="A1771" t="s">
        <v>3577</v>
      </c>
      <c r="B1771">
        <v>101771</v>
      </c>
      <c r="C1771">
        <v>1000</v>
      </c>
    </row>
    <row r="1772" spans="1:3">
      <c r="A1772" t="s">
        <v>3578</v>
      </c>
      <c r="B1772">
        <v>101772</v>
      </c>
      <c r="C1772">
        <v>1000</v>
      </c>
    </row>
    <row r="1773" spans="1:3">
      <c r="A1773" t="s">
        <v>3579</v>
      </c>
      <c r="B1773">
        <v>101773</v>
      </c>
      <c r="C1773">
        <v>1000</v>
      </c>
    </row>
    <row r="1774" spans="1:3">
      <c r="A1774" t="s">
        <v>3580</v>
      </c>
      <c r="B1774">
        <v>101774</v>
      </c>
      <c r="C1774">
        <v>1000</v>
      </c>
    </row>
    <row r="1775" spans="1:3">
      <c r="A1775" t="s">
        <v>3581</v>
      </c>
      <c r="B1775">
        <v>101775</v>
      </c>
      <c r="C1775">
        <v>1000</v>
      </c>
    </row>
    <row r="1776" spans="1:3">
      <c r="A1776" t="s">
        <v>3582</v>
      </c>
      <c r="B1776">
        <v>101776</v>
      </c>
      <c r="C1776">
        <v>1000</v>
      </c>
    </row>
    <row r="1777" spans="1:3">
      <c r="A1777" t="s">
        <v>3583</v>
      </c>
      <c r="B1777">
        <v>101777</v>
      </c>
      <c r="C1777">
        <v>1000</v>
      </c>
    </row>
    <row r="1778" spans="1:3">
      <c r="A1778" t="s">
        <v>3584</v>
      </c>
      <c r="B1778">
        <v>101778</v>
      </c>
      <c r="C1778">
        <v>1000</v>
      </c>
    </row>
    <row r="1779" spans="1:3">
      <c r="A1779" t="s">
        <v>3585</v>
      </c>
      <c r="B1779">
        <v>101779</v>
      </c>
      <c r="C1779">
        <v>1000</v>
      </c>
    </row>
    <row r="1780" spans="1:3">
      <c r="A1780" t="s">
        <v>3586</v>
      </c>
      <c r="B1780">
        <v>101780</v>
      </c>
      <c r="C1780">
        <v>1000</v>
      </c>
    </row>
    <row r="1781" spans="1:3">
      <c r="A1781" t="s">
        <v>3587</v>
      </c>
      <c r="B1781">
        <v>101781</v>
      </c>
      <c r="C1781">
        <v>1000</v>
      </c>
    </row>
    <row r="1782" spans="1:3">
      <c r="A1782" t="s">
        <v>3588</v>
      </c>
      <c r="B1782">
        <v>101782</v>
      </c>
      <c r="C1782">
        <v>1000</v>
      </c>
    </row>
    <row r="1783" spans="1:3">
      <c r="A1783" t="s">
        <v>3589</v>
      </c>
      <c r="B1783">
        <v>101783</v>
      </c>
      <c r="C1783">
        <v>1000</v>
      </c>
    </row>
    <row r="1784" spans="1:3">
      <c r="A1784" t="s">
        <v>3590</v>
      </c>
      <c r="B1784">
        <v>101784</v>
      </c>
      <c r="C1784">
        <v>1000</v>
      </c>
    </row>
    <row r="1785" spans="1:3">
      <c r="A1785" t="s">
        <v>3591</v>
      </c>
      <c r="B1785">
        <v>101785</v>
      </c>
      <c r="C1785">
        <v>1000</v>
      </c>
    </row>
    <row r="1786" spans="1:3">
      <c r="A1786" t="s">
        <v>3592</v>
      </c>
      <c r="B1786">
        <v>101786</v>
      </c>
      <c r="C1786">
        <v>1000</v>
      </c>
    </row>
    <row r="1787" spans="1:3">
      <c r="A1787" t="s">
        <v>3593</v>
      </c>
      <c r="B1787">
        <v>101787</v>
      </c>
      <c r="C1787">
        <v>1000</v>
      </c>
    </row>
    <row r="1788" spans="1:3">
      <c r="A1788" t="s">
        <v>3594</v>
      </c>
      <c r="B1788">
        <v>101788</v>
      </c>
      <c r="C1788">
        <v>1000</v>
      </c>
    </row>
    <row r="1789" spans="1:3">
      <c r="A1789" t="s">
        <v>3595</v>
      </c>
      <c r="B1789">
        <v>101789</v>
      </c>
      <c r="C1789">
        <v>1000</v>
      </c>
    </row>
    <row r="1790" spans="1:3">
      <c r="A1790" t="s">
        <v>3596</v>
      </c>
      <c r="B1790">
        <v>101790</v>
      </c>
      <c r="C1790">
        <v>1000</v>
      </c>
    </row>
    <row r="1791" spans="1:3">
      <c r="A1791" t="s">
        <v>3597</v>
      </c>
      <c r="B1791">
        <v>101791</v>
      </c>
      <c r="C1791">
        <v>1000</v>
      </c>
    </row>
    <row r="1792" spans="1:3">
      <c r="A1792" t="s">
        <v>3598</v>
      </c>
      <c r="B1792">
        <v>101792</v>
      </c>
      <c r="C1792">
        <v>1000</v>
      </c>
    </row>
    <row r="1793" spans="1:3">
      <c r="A1793" t="s">
        <v>3599</v>
      </c>
      <c r="B1793">
        <v>101793</v>
      </c>
      <c r="C1793">
        <v>1000</v>
      </c>
    </row>
    <row r="1794" spans="1:3">
      <c r="A1794" t="s">
        <v>3600</v>
      </c>
      <c r="B1794">
        <v>101794</v>
      </c>
      <c r="C1794">
        <v>1000</v>
      </c>
    </row>
    <row r="1795" spans="1:3">
      <c r="A1795" t="s">
        <v>3601</v>
      </c>
      <c r="B1795">
        <v>101795</v>
      </c>
      <c r="C1795">
        <v>1000</v>
      </c>
    </row>
    <row r="1796" spans="1:3">
      <c r="A1796" t="s">
        <v>3602</v>
      </c>
      <c r="B1796">
        <v>101796</v>
      </c>
      <c r="C1796">
        <v>1000</v>
      </c>
    </row>
    <row r="1797" spans="1:3">
      <c r="A1797" t="s">
        <v>3603</v>
      </c>
      <c r="B1797">
        <v>101797</v>
      </c>
      <c r="C1797">
        <v>1000</v>
      </c>
    </row>
    <row r="1798" spans="1:3">
      <c r="A1798" t="s">
        <v>3604</v>
      </c>
      <c r="B1798">
        <v>101798</v>
      </c>
      <c r="C1798">
        <v>1000</v>
      </c>
    </row>
    <row r="1799" spans="1:3">
      <c r="A1799" t="s">
        <v>695</v>
      </c>
      <c r="B1799">
        <v>101799</v>
      </c>
      <c r="C1799">
        <v>1000</v>
      </c>
    </row>
    <row r="1800" spans="1:3">
      <c r="A1800" t="s">
        <v>3605</v>
      </c>
      <c r="B1800">
        <v>101800</v>
      </c>
      <c r="C1800">
        <v>1000</v>
      </c>
    </row>
    <row r="1801" spans="1:3">
      <c r="A1801" t="s">
        <v>3606</v>
      </c>
      <c r="B1801">
        <v>101801</v>
      </c>
      <c r="C1801">
        <v>1000</v>
      </c>
    </row>
    <row r="1802" spans="1:3">
      <c r="A1802" t="s">
        <v>720</v>
      </c>
      <c r="B1802">
        <v>101802</v>
      </c>
      <c r="C1802">
        <v>1000</v>
      </c>
    </row>
    <row r="1803" spans="1:3">
      <c r="A1803" t="s">
        <v>3453</v>
      </c>
      <c r="B1803">
        <v>101803</v>
      </c>
      <c r="C1803">
        <v>1000</v>
      </c>
    </row>
    <row r="1804" spans="1:3">
      <c r="A1804" t="s">
        <v>3607</v>
      </c>
      <c r="B1804">
        <v>101804</v>
      </c>
      <c r="C1804">
        <v>1000</v>
      </c>
    </row>
    <row r="1805" spans="1:3">
      <c r="A1805" t="s">
        <v>3608</v>
      </c>
      <c r="B1805">
        <v>101805</v>
      </c>
      <c r="C1805">
        <v>1000</v>
      </c>
    </row>
    <row r="1806" spans="1:3">
      <c r="A1806" t="s">
        <v>3609</v>
      </c>
      <c r="B1806">
        <v>101806</v>
      </c>
      <c r="C1806">
        <v>1000</v>
      </c>
    </row>
    <row r="1807" spans="1:3">
      <c r="A1807" t="s">
        <v>3610</v>
      </c>
      <c r="B1807">
        <v>101807</v>
      </c>
      <c r="C1807">
        <v>1000</v>
      </c>
    </row>
    <row r="1808" spans="1:3">
      <c r="A1808" t="s">
        <v>3611</v>
      </c>
      <c r="B1808">
        <v>101808</v>
      </c>
      <c r="C1808">
        <v>1000</v>
      </c>
    </row>
    <row r="1809" spans="1:3">
      <c r="A1809" t="s">
        <v>3612</v>
      </c>
      <c r="B1809">
        <v>101809</v>
      </c>
      <c r="C1809">
        <v>1000</v>
      </c>
    </row>
    <row r="1810" spans="1:3">
      <c r="A1810" t="s">
        <v>3613</v>
      </c>
      <c r="B1810">
        <v>101810</v>
      </c>
      <c r="C1810">
        <v>1000</v>
      </c>
    </row>
    <row r="1811" spans="1:3">
      <c r="A1811" t="s">
        <v>3614</v>
      </c>
      <c r="B1811">
        <v>101811</v>
      </c>
      <c r="C1811">
        <v>1000</v>
      </c>
    </row>
    <row r="1812" spans="1:3">
      <c r="A1812" t="s">
        <v>3615</v>
      </c>
      <c r="B1812">
        <v>101812</v>
      </c>
      <c r="C1812">
        <v>1000</v>
      </c>
    </row>
    <row r="1813" spans="1:3">
      <c r="A1813" t="s">
        <v>3616</v>
      </c>
      <c r="B1813">
        <v>101813</v>
      </c>
      <c r="C1813">
        <v>1000</v>
      </c>
    </row>
    <row r="1814" spans="1:3">
      <c r="A1814" t="s">
        <v>3617</v>
      </c>
      <c r="B1814">
        <v>101814</v>
      </c>
      <c r="C1814">
        <v>1000</v>
      </c>
    </row>
    <row r="1815" spans="1:3">
      <c r="A1815" t="s">
        <v>3618</v>
      </c>
      <c r="B1815">
        <v>101815</v>
      </c>
      <c r="C1815">
        <v>1000</v>
      </c>
    </row>
    <row r="1816" spans="1:3">
      <c r="A1816" t="s">
        <v>3619</v>
      </c>
      <c r="B1816">
        <v>101816</v>
      </c>
      <c r="C1816">
        <v>1000</v>
      </c>
    </row>
    <row r="1817" spans="1:3">
      <c r="A1817" t="s">
        <v>3620</v>
      </c>
      <c r="B1817">
        <v>101817</v>
      </c>
      <c r="C1817">
        <v>1000</v>
      </c>
    </row>
    <row r="1818" spans="1:3">
      <c r="A1818" t="s">
        <v>3621</v>
      </c>
      <c r="B1818">
        <v>101818</v>
      </c>
      <c r="C1818">
        <v>1000</v>
      </c>
    </row>
    <row r="1819" spans="1:3">
      <c r="A1819" t="s">
        <v>3622</v>
      </c>
      <c r="B1819">
        <v>101819</v>
      </c>
      <c r="C1819">
        <v>1000</v>
      </c>
    </row>
    <row r="1820" spans="1:3">
      <c r="A1820" t="s">
        <v>3623</v>
      </c>
      <c r="B1820">
        <v>101820</v>
      </c>
      <c r="C1820">
        <v>1000</v>
      </c>
    </row>
    <row r="1821" spans="1:3">
      <c r="A1821" t="s">
        <v>3624</v>
      </c>
      <c r="B1821">
        <v>101821</v>
      </c>
      <c r="C1821">
        <v>1000</v>
      </c>
    </row>
    <row r="1822" spans="1:3">
      <c r="A1822" t="s">
        <v>3625</v>
      </c>
      <c r="B1822">
        <v>101822</v>
      </c>
      <c r="C1822">
        <v>1000</v>
      </c>
    </row>
    <row r="1823" spans="1:3">
      <c r="A1823" t="s">
        <v>3626</v>
      </c>
      <c r="B1823">
        <v>101823</v>
      </c>
      <c r="C1823">
        <v>1000</v>
      </c>
    </row>
    <row r="1824" spans="1:3">
      <c r="A1824" t="s">
        <v>3627</v>
      </c>
      <c r="B1824">
        <v>101824</v>
      </c>
      <c r="C1824">
        <v>1000</v>
      </c>
    </row>
    <row r="1825" spans="1:3">
      <c r="A1825" t="s">
        <v>3628</v>
      </c>
      <c r="B1825">
        <v>101825</v>
      </c>
      <c r="C1825">
        <v>1000</v>
      </c>
    </row>
    <row r="1826" spans="1:3">
      <c r="A1826" t="s">
        <v>3629</v>
      </c>
      <c r="B1826">
        <v>101826</v>
      </c>
      <c r="C1826">
        <v>1000</v>
      </c>
    </row>
    <row r="1827" spans="1:3">
      <c r="A1827" t="s">
        <v>3630</v>
      </c>
      <c r="B1827">
        <v>101827</v>
      </c>
      <c r="C1827">
        <v>1000</v>
      </c>
    </row>
    <row r="1828" spans="1:3">
      <c r="A1828" t="s">
        <v>3631</v>
      </c>
      <c r="B1828">
        <v>101828</v>
      </c>
      <c r="C1828">
        <v>1000</v>
      </c>
    </row>
    <row r="1829" spans="1:3">
      <c r="A1829" t="s">
        <v>3632</v>
      </c>
      <c r="B1829">
        <v>101829</v>
      </c>
      <c r="C1829">
        <v>1000</v>
      </c>
    </row>
    <row r="1830" spans="1:3">
      <c r="A1830" t="s">
        <v>3633</v>
      </c>
      <c r="B1830">
        <v>101830</v>
      </c>
      <c r="C1830">
        <v>1000</v>
      </c>
    </row>
    <row r="1831" spans="1:3">
      <c r="A1831" t="s">
        <v>3634</v>
      </c>
      <c r="B1831">
        <v>101831</v>
      </c>
      <c r="C1831">
        <v>1000</v>
      </c>
    </row>
    <row r="1832" spans="1:3">
      <c r="A1832" t="s">
        <v>3635</v>
      </c>
      <c r="B1832">
        <v>101832</v>
      </c>
      <c r="C1832">
        <v>1000</v>
      </c>
    </row>
    <row r="1833" spans="1:3">
      <c r="A1833" t="s">
        <v>3636</v>
      </c>
      <c r="B1833">
        <v>101833</v>
      </c>
      <c r="C1833">
        <v>1000</v>
      </c>
    </row>
    <row r="1834" spans="1:3">
      <c r="A1834" t="s">
        <v>3637</v>
      </c>
      <c r="B1834">
        <v>101834</v>
      </c>
      <c r="C1834">
        <v>1000</v>
      </c>
    </row>
    <row r="1835" spans="1:3">
      <c r="A1835" t="s">
        <v>697</v>
      </c>
      <c r="B1835">
        <v>101835</v>
      </c>
      <c r="C1835">
        <v>1000</v>
      </c>
    </row>
    <row r="1836" spans="1:3">
      <c r="A1836" t="s">
        <v>3638</v>
      </c>
      <c r="B1836">
        <v>101836</v>
      </c>
      <c r="C1836">
        <v>1000</v>
      </c>
    </row>
    <row r="1837" spans="1:3">
      <c r="A1837" t="s">
        <v>3639</v>
      </c>
      <c r="B1837">
        <v>101837</v>
      </c>
      <c r="C1837">
        <v>1000</v>
      </c>
    </row>
    <row r="1838" spans="1:3">
      <c r="A1838" t="s">
        <v>3640</v>
      </c>
      <c r="B1838">
        <v>101838</v>
      </c>
      <c r="C1838">
        <v>1000</v>
      </c>
    </row>
    <row r="1839" spans="1:3">
      <c r="A1839" t="s">
        <v>3641</v>
      </c>
      <c r="B1839">
        <v>101839</v>
      </c>
      <c r="C1839">
        <v>1000</v>
      </c>
    </row>
    <row r="1840" spans="1:3">
      <c r="A1840" t="s">
        <v>3642</v>
      </c>
      <c r="B1840">
        <v>101840</v>
      </c>
      <c r="C1840">
        <v>1000</v>
      </c>
    </row>
    <row r="1841" spans="1:3">
      <c r="A1841" t="s">
        <v>3643</v>
      </c>
      <c r="B1841">
        <v>101841</v>
      </c>
      <c r="C1841">
        <v>1000</v>
      </c>
    </row>
    <row r="1842" spans="1:3">
      <c r="A1842" t="s">
        <v>3644</v>
      </c>
      <c r="B1842">
        <v>101842</v>
      </c>
      <c r="C1842">
        <v>1000</v>
      </c>
    </row>
    <row r="1843" spans="1:3">
      <c r="A1843" t="s">
        <v>3645</v>
      </c>
      <c r="B1843">
        <v>101843</v>
      </c>
      <c r="C1843">
        <v>1000</v>
      </c>
    </row>
    <row r="1844" spans="1:3">
      <c r="A1844" t="s">
        <v>3646</v>
      </c>
      <c r="B1844">
        <v>101844</v>
      </c>
      <c r="C1844">
        <v>1000</v>
      </c>
    </row>
    <row r="1845" spans="1:3">
      <c r="A1845" t="s">
        <v>3647</v>
      </c>
      <c r="B1845">
        <v>101845</v>
      </c>
      <c r="C1845">
        <v>1000</v>
      </c>
    </row>
    <row r="1846" spans="1:3">
      <c r="A1846" t="s">
        <v>3648</v>
      </c>
      <c r="B1846">
        <v>101846</v>
      </c>
      <c r="C1846">
        <v>1000</v>
      </c>
    </row>
    <row r="1847" spans="1:3">
      <c r="A1847" t="s">
        <v>3649</v>
      </c>
      <c r="B1847">
        <v>101847</v>
      </c>
      <c r="C1847">
        <v>1000</v>
      </c>
    </row>
    <row r="1848" spans="1:3">
      <c r="A1848" t="s">
        <v>3650</v>
      </c>
      <c r="B1848">
        <v>101848</v>
      </c>
      <c r="C1848">
        <v>1000</v>
      </c>
    </row>
    <row r="1849" spans="1:3">
      <c r="A1849" t="s">
        <v>3651</v>
      </c>
      <c r="B1849">
        <v>101849</v>
      </c>
      <c r="C1849">
        <v>1000</v>
      </c>
    </row>
    <row r="1850" spans="1:3">
      <c r="A1850" t="s">
        <v>3652</v>
      </c>
      <c r="B1850">
        <v>101850</v>
      </c>
      <c r="C1850">
        <v>1000</v>
      </c>
    </row>
    <row r="1851" spans="1:3">
      <c r="A1851" t="s">
        <v>3653</v>
      </c>
      <c r="B1851">
        <v>101851</v>
      </c>
      <c r="C1851">
        <v>1000</v>
      </c>
    </row>
    <row r="1852" spans="1:3">
      <c r="A1852" t="s">
        <v>3654</v>
      </c>
      <c r="B1852">
        <v>101852</v>
      </c>
      <c r="C1852">
        <v>1000</v>
      </c>
    </row>
    <row r="1853" spans="1:3">
      <c r="A1853" t="s">
        <v>3655</v>
      </c>
      <c r="B1853">
        <v>101853</v>
      </c>
      <c r="C1853">
        <v>1000</v>
      </c>
    </row>
    <row r="1854" spans="1:3">
      <c r="A1854" t="s">
        <v>3656</v>
      </c>
      <c r="B1854">
        <v>101854</v>
      </c>
      <c r="C1854">
        <v>1000</v>
      </c>
    </row>
    <row r="1855" spans="1:3">
      <c r="A1855" t="s">
        <v>3657</v>
      </c>
      <c r="B1855">
        <v>101855</v>
      </c>
      <c r="C1855">
        <v>1000</v>
      </c>
    </row>
    <row r="1856" spans="1:3">
      <c r="A1856" t="s">
        <v>3658</v>
      </c>
      <c r="B1856">
        <v>101856</v>
      </c>
      <c r="C1856">
        <v>1000</v>
      </c>
    </row>
    <row r="1857" spans="1:3">
      <c r="A1857" t="s">
        <v>3659</v>
      </c>
      <c r="B1857">
        <v>101857</v>
      </c>
      <c r="C1857">
        <v>1000</v>
      </c>
    </row>
    <row r="1858" spans="1:3">
      <c r="A1858" t="s">
        <v>3660</v>
      </c>
      <c r="B1858">
        <v>101858</v>
      </c>
      <c r="C1858">
        <v>1000</v>
      </c>
    </row>
    <row r="1859" spans="1:3">
      <c r="A1859" t="s">
        <v>3661</v>
      </c>
      <c r="B1859">
        <v>101859</v>
      </c>
      <c r="C1859">
        <v>1000</v>
      </c>
    </row>
    <row r="1860" spans="1:3">
      <c r="A1860" t="s">
        <v>3662</v>
      </c>
      <c r="B1860">
        <v>101860</v>
      </c>
      <c r="C1860">
        <v>1000</v>
      </c>
    </row>
    <row r="1861" spans="1:3">
      <c r="A1861" t="s">
        <v>3663</v>
      </c>
      <c r="B1861">
        <v>101861</v>
      </c>
      <c r="C1861">
        <v>1000</v>
      </c>
    </row>
    <row r="1862" spans="1:3">
      <c r="A1862" t="s">
        <v>3664</v>
      </c>
      <c r="B1862">
        <v>101862</v>
      </c>
      <c r="C1862">
        <v>1000</v>
      </c>
    </row>
    <row r="1863" spans="1:3">
      <c r="A1863" t="s">
        <v>3665</v>
      </c>
      <c r="B1863">
        <v>101863</v>
      </c>
      <c r="C1863">
        <v>1000</v>
      </c>
    </row>
    <row r="1864" spans="1:3">
      <c r="A1864" t="s">
        <v>3666</v>
      </c>
      <c r="B1864">
        <v>101864</v>
      </c>
      <c r="C1864">
        <v>1000</v>
      </c>
    </row>
    <row r="1865" spans="1:3">
      <c r="A1865" t="s">
        <v>3667</v>
      </c>
      <c r="B1865">
        <v>101865</v>
      </c>
      <c r="C1865">
        <v>1000</v>
      </c>
    </row>
    <row r="1866" spans="1:3">
      <c r="A1866" t="s">
        <v>3668</v>
      </c>
      <c r="B1866">
        <v>101866</v>
      </c>
      <c r="C1866">
        <v>1000</v>
      </c>
    </row>
    <row r="1867" spans="1:3">
      <c r="A1867" t="s">
        <v>3669</v>
      </c>
      <c r="B1867">
        <v>101867</v>
      </c>
      <c r="C1867">
        <v>1000</v>
      </c>
    </row>
    <row r="1868" spans="1:3">
      <c r="A1868" t="s">
        <v>3670</v>
      </c>
      <c r="B1868">
        <v>101868</v>
      </c>
      <c r="C1868">
        <v>1000</v>
      </c>
    </row>
    <row r="1869" spans="1:3">
      <c r="A1869" t="s">
        <v>3671</v>
      </c>
      <c r="B1869">
        <v>101869</v>
      </c>
      <c r="C1869">
        <v>1000</v>
      </c>
    </row>
    <row r="1870" spans="1:3">
      <c r="A1870" t="s">
        <v>3672</v>
      </c>
      <c r="B1870">
        <v>101870</v>
      </c>
      <c r="C1870">
        <v>1000</v>
      </c>
    </row>
    <row r="1871" spans="1:3">
      <c r="A1871" t="s">
        <v>3673</v>
      </c>
      <c r="B1871">
        <v>101871</v>
      </c>
      <c r="C1871">
        <v>1000</v>
      </c>
    </row>
    <row r="1872" spans="1:3">
      <c r="A1872" t="s">
        <v>3674</v>
      </c>
      <c r="B1872">
        <v>101872</v>
      </c>
      <c r="C1872">
        <v>1000</v>
      </c>
    </row>
    <row r="1873" spans="1:3">
      <c r="A1873" t="s">
        <v>3675</v>
      </c>
      <c r="B1873">
        <v>101873</v>
      </c>
      <c r="C1873">
        <v>1000</v>
      </c>
    </row>
    <row r="1874" spans="1:3">
      <c r="A1874" t="s">
        <v>3676</v>
      </c>
      <c r="B1874">
        <v>101874</v>
      </c>
      <c r="C1874">
        <v>1000</v>
      </c>
    </row>
    <row r="1875" spans="1:3">
      <c r="A1875" t="s">
        <v>3677</v>
      </c>
      <c r="B1875">
        <v>101875</v>
      </c>
      <c r="C1875">
        <v>1001</v>
      </c>
    </row>
    <row r="1876" spans="1:3">
      <c r="A1876" t="s">
        <v>3678</v>
      </c>
      <c r="B1876">
        <v>101876</v>
      </c>
      <c r="C1876">
        <v>1000</v>
      </c>
    </row>
    <row r="1877" spans="1:3">
      <c r="A1877" t="s">
        <v>3679</v>
      </c>
      <c r="B1877">
        <v>101877</v>
      </c>
      <c r="C1877">
        <v>1000</v>
      </c>
    </row>
    <row r="1878" spans="1:3">
      <c r="A1878" t="s">
        <v>3680</v>
      </c>
      <c r="B1878">
        <v>101878</v>
      </c>
      <c r="C1878">
        <v>1000</v>
      </c>
    </row>
    <row r="1879" spans="1:3">
      <c r="A1879" t="s">
        <v>3681</v>
      </c>
      <c r="B1879">
        <v>101879</v>
      </c>
      <c r="C1879">
        <v>1000</v>
      </c>
    </row>
    <row r="1880" spans="1:3">
      <c r="A1880" t="s">
        <v>3682</v>
      </c>
      <c r="B1880">
        <v>101880</v>
      </c>
      <c r="C1880">
        <v>1000</v>
      </c>
    </row>
    <row r="1881" spans="1:3">
      <c r="A1881" t="s">
        <v>3683</v>
      </c>
      <c r="B1881">
        <v>101881</v>
      </c>
      <c r="C1881">
        <v>1000</v>
      </c>
    </row>
    <row r="1882" spans="1:3">
      <c r="A1882" t="s">
        <v>3684</v>
      </c>
      <c r="B1882">
        <v>101882</v>
      </c>
      <c r="C1882">
        <v>1000</v>
      </c>
    </row>
    <row r="1883" spans="1:3">
      <c r="A1883" t="s">
        <v>721</v>
      </c>
      <c r="B1883">
        <v>101883</v>
      </c>
      <c r="C1883">
        <v>1000</v>
      </c>
    </row>
    <row r="1884" spans="1:3">
      <c r="A1884" t="s">
        <v>3685</v>
      </c>
      <c r="B1884">
        <v>101884</v>
      </c>
      <c r="C1884">
        <v>1000</v>
      </c>
    </row>
    <row r="1885" spans="1:3">
      <c r="A1885" t="s">
        <v>3686</v>
      </c>
      <c r="B1885">
        <v>101885</v>
      </c>
      <c r="C1885">
        <v>1000</v>
      </c>
    </row>
    <row r="1886" spans="1:3">
      <c r="A1886" t="s">
        <v>3687</v>
      </c>
      <c r="B1886">
        <v>101886</v>
      </c>
      <c r="C1886">
        <v>1000</v>
      </c>
    </row>
    <row r="1887" spans="1:3">
      <c r="A1887" t="s">
        <v>3688</v>
      </c>
      <c r="B1887">
        <v>101887</v>
      </c>
      <c r="C1887">
        <v>1000</v>
      </c>
    </row>
    <row r="1888" spans="1:3">
      <c r="A1888" t="s">
        <v>3689</v>
      </c>
      <c r="B1888">
        <v>101888</v>
      </c>
      <c r="C1888">
        <v>1000</v>
      </c>
    </row>
    <row r="1889" spans="1:3">
      <c r="A1889" t="s">
        <v>3690</v>
      </c>
      <c r="B1889">
        <v>101889</v>
      </c>
      <c r="C1889">
        <v>1000</v>
      </c>
    </row>
    <row r="1890" spans="1:3">
      <c r="A1890" t="s">
        <v>3691</v>
      </c>
      <c r="B1890">
        <v>101890</v>
      </c>
      <c r="C1890">
        <v>1000</v>
      </c>
    </row>
    <row r="1891" spans="1:3">
      <c r="A1891" t="s">
        <v>3692</v>
      </c>
      <c r="B1891">
        <v>101891</v>
      </c>
      <c r="C1891">
        <v>1000</v>
      </c>
    </row>
    <row r="1892" spans="1:3">
      <c r="A1892" t="s">
        <v>3693</v>
      </c>
      <c r="B1892">
        <v>101892</v>
      </c>
      <c r="C1892">
        <v>1000</v>
      </c>
    </row>
    <row r="1893" spans="1:3">
      <c r="A1893" t="s">
        <v>3694</v>
      </c>
      <c r="B1893">
        <v>101893</v>
      </c>
      <c r="C1893">
        <v>1000</v>
      </c>
    </row>
    <row r="1894" spans="1:3">
      <c r="A1894" t="s">
        <v>3695</v>
      </c>
      <c r="B1894">
        <v>101894</v>
      </c>
      <c r="C1894">
        <v>1000</v>
      </c>
    </row>
    <row r="1895" spans="1:3">
      <c r="A1895" t="s">
        <v>3696</v>
      </c>
      <c r="B1895">
        <v>101895</v>
      </c>
      <c r="C1895">
        <v>1000</v>
      </c>
    </row>
    <row r="1896" spans="1:3">
      <c r="A1896" t="s">
        <v>3697</v>
      </c>
      <c r="B1896">
        <v>101896</v>
      </c>
      <c r="C1896">
        <v>1000</v>
      </c>
    </row>
    <row r="1897" spans="1:3">
      <c r="A1897" t="s">
        <v>3698</v>
      </c>
      <c r="B1897">
        <v>101897</v>
      </c>
      <c r="C1897">
        <v>1000</v>
      </c>
    </row>
    <row r="1898" spans="1:3">
      <c r="A1898" t="s">
        <v>3699</v>
      </c>
      <c r="B1898">
        <v>101898</v>
      </c>
      <c r="C1898">
        <v>1000</v>
      </c>
    </row>
    <row r="1899" spans="1:3">
      <c r="A1899" t="s">
        <v>3700</v>
      </c>
      <c r="B1899">
        <v>101899</v>
      </c>
      <c r="C1899">
        <v>1000</v>
      </c>
    </row>
    <row r="1900" spans="1:3">
      <c r="A1900" t="s">
        <v>3701</v>
      </c>
      <c r="B1900">
        <v>101900</v>
      </c>
      <c r="C1900">
        <v>1000</v>
      </c>
    </row>
    <row r="1901" spans="1:3">
      <c r="A1901" t="s">
        <v>3702</v>
      </c>
      <c r="B1901">
        <v>101901</v>
      </c>
      <c r="C1901">
        <v>1000</v>
      </c>
    </row>
    <row r="1902" spans="1:3">
      <c r="A1902" t="s">
        <v>3703</v>
      </c>
      <c r="B1902">
        <v>101902</v>
      </c>
      <c r="C1902">
        <v>1000</v>
      </c>
    </row>
    <row r="1903" spans="1:3">
      <c r="A1903" t="s">
        <v>3704</v>
      </c>
      <c r="B1903">
        <v>101903</v>
      </c>
      <c r="C1903">
        <v>1000</v>
      </c>
    </row>
    <row r="1904" spans="1:3">
      <c r="A1904" t="s">
        <v>3705</v>
      </c>
      <c r="B1904">
        <v>101904</v>
      </c>
      <c r="C1904">
        <v>1000</v>
      </c>
    </row>
    <row r="1905" spans="1:3">
      <c r="A1905" t="s">
        <v>3706</v>
      </c>
      <c r="B1905">
        <v>101905</v>
      </c>
      <c r="C1905">
        <v>1000</v>
      </c>
    </row>
    <row r="1906" spans="1:3">
      <c r="A1906" t="s">
        <v>3707</v>
      </c>
      <c r="B1906">
        <v>101906</v>
      </c>
      <c r="C1906">
        <v>1000</v>
      </c>
    </row>
    <row r="1907" spans="1:3">
      <c r="A1907" t="s">
        <v>3708</v>
      </c>
      <c r="B1907">
        <v>101907</v>
      </c>
      <c r="C1907">
        <v>1000</v>
      </c>
    </row>
    <row r="1908" spans="1:3">
      <c r="A1908" t="s">
        <v>3709</v>
      </c>
      <c r="B1908">
        <v>101908</v>
      </c>
      <c r="C1908">
        <v>1000</v>
      </c>
    </row>
    <row r="1909" spans="1:3">
      <c r="A1909" t="s">
        <v>3710</v>
      </c>
      <c r="B1909">
        <v>101909</v>
      </c>
      <c r="C1909">
        <v>1000</v>
      </c>
    </row>
    <row r="1910" spans="1:3">
      <c r="A1910" t="s">
        <v>3711</v>
      </c>
      <c r="B1910">
        <v>101910</v>
      </c>
      <c r="C1910">
        <v>1000</v>
      </c>
    </row>
    <row r="1911" spans="1:3">
      <c r="A1911" t="s">
        <v>3712</v>
      </c>
      <c r="B1911">
        <v>101911</v>
      </c>
      <c r="C1911">
        <v>1000</v>
      </c>
    </row>
    <row r="1912" spans="1:3">
      <c r="A1912" t="s">
        <v>3713</v>
      </c>
      <c r="B1912">
        <v>101912</v>
      </c>
      <c r="C1912">
        <v>1000</v>
      </c>
    </row>
    <row r="1913" spans="1:3">
      <c r="A1913" t="s">
        <v>3714</v>
      </c>
      <c r="B1913">
        <v>101913</v>
      </c>
      <c r="C1913">
        <v>1000</v>
      </c>
    </row>
    <row r="1914" spans="1:3">
      <c r="A1914" t="s">
        <v>3715</v>
      </c>
      <c r="B1914">
        <v>101914</v>
      </c>
      <c r="C1914">
        <v>1000</v>
      </c>
    </row>
    <row r="1915" spans="1:3">
      <c r="A1915" t="s">
        <v>3716</v>
      </c>
      <c r="B1915">
        <v>101915</v>
      </c>
      <c r="C1915">
        <v>1000</v>
      </c>
    </row>
    <row r="1916" spans="1:3">
      <c r="A1916" t="s">
        <v>3717</v>
      </c>
      <c r="B1916">
        <v>101916</v>
      </c>
      <c r="C1916">
        <v>1000</v>
      </c>
    </row>
    <row r="1917" spans="1:3">
      <c r="A1917" t="s">
        <v>3718</v>
      </c>
      <c r="B1917">
        <v>101917</v>
      </c>
      <c r="C1917">
        <v>1000</v>
      </c>
    </row>
    <row r="1918" spans="1:3">
      <c r="A1918" t="s">
        <v>3719</v>
      </c>
      <c r="B1918">
        <v>101918</v>
      </c>
      <c r="C1918">
        <v>1000</v>
      </c>
    </row>
    <row r="1919" spans="1:3">
      <c r="A1919" t="s">
        <v>3720</v>
      </c>
      <c r="B1919">
        <v>101919</v>
      </c>
      <c r="C1919">
        <v>1000</v>
      </c>
    </row>
    <row r="1920" spans="1:3">
      <c r="A1920" t="s">
        <v>3721</v>
      </c>
      <c r="B1920">
        <v>101920</v>
      </c>
      <c r="C1920">
        <v>1000</v>
      </c>
    </row>
    <row r="1921" spans="1:3">
      <c r="A1921" t="s">
        <v>3722</v>
      </c>
      <c r="B1921">
        <v>101921</v>
      </c>
      <c r="C1921">
        <v>1000</v>
      </c>
    </row>
    <row r="1922" spans="1:3">
      <c r="A1922" t="s">
        <v>3723</v>
      </c>
      <c r="B1922">
        <v>101922</v>
      </c>
      <c r="C1922">
        <v>1000</v>
      </c>
    </row>
    <row r="1923" spans="1:3">
      <c r="A1923" t="s">
        <v>3724</v>
      </c>
      <c r="B1923">
        <v>101923</v>
      </c>
      <c r="C1923">
        <v>1000</v>
      </c>
    </row>
    <row r="1924" spans="1:3">
      <c r="A1924" t="s">
        <v>3725</v>
      </c>
      <c r="B1924">
        <v>101924</v>
      </c>
      <c r="C1924">
        <v>1000</v>
      </c>
    </row>
    <row r="1925" spans="1:3">
      <c r="A1925" t="s">
        <v>3726</v>
      </c>
      <c r="B1925">
        <v>101925</v>
      </c>
      <c r="C1925">
        <v>1000</v>
      </c>
    </row>
    <row r="1926" spans="1:3">
      <c r="A1926" t="s">
        <v>3727</v>
      </c>
      <c r="B1926">
        <v>101926</v>
      </c>
      <c r="C1926">
        <v>1000</v>
      </c>
    </row>
    <row r="1927" spans="1:3">
      <c r="A1927" t="s">
        <v>3728</v>
      </c>
      <c r="B1927">
        <v>101927</v>
      </c>
      <c r="C1927">
        <v>1000</v>
      </c>
    </row>
    <row r="1928" spans="1:3">
      <c r="A1928" t="s">
        <v>3729</v>
      </c>
      <c r="B1928">
        <v>101928</v>
      </c>
      <c r="C1928">
        <v>1000</v>
      </c>
    </row>
    <row r="1929" spans="1:3">
      <c r="A1929" t="s">
        <v>3730</v>
      </c>
      <c r="B1929">
        <v>101929</v>
      </c>
      <c r="C1929">
        <v>1000</v>
      </c>
    </row>
    <row r="1930" spans="1:3">
      <c r="A1930" t="s">
        <v>3731</v>
      </c>
      <c r="B1930">
        <v>101930</v>
      </c>
      <c r="C1930">
        <v>1000</v>
      </c>
    </row>
    <row r="1931" spans="1:3">
      <c r="A1931" t="s">
        <v>3732</v>
      </c>
      <c r="B1931">
        <v>101931</v>
      </c>
      <c r="C1931">
        <v>1000</v>
      </c>
    </row>
    <row r="1932" spans="1:3">
      <c r="A1932" t="s">
        <v>3680</v>
      </c>
      <c r="B1932">
        <v>101932</v>
      </c>
      <c r="C1932">
        <v>1000</v>
      </c>
    </row>
    <row r="1933" spans="1:3">
      <c r="A1933" t="s">
        <v>3681</v>
      </c>
      <c r="B1933">
        <v>101933</v>
      </c>
      <c r="C1933">
        <v>1000</v>
      </c>
    </row>
    <row r="1934" spans="1:3">
      <c r="A1934" t="s">
        <v>3733</v>
      </c>
      <c r="B1934">
        <v>101934</v>
      </c>
      <c r="C1934">
        <v>1000</v>
      </c>
    </row>
    <row r="1935" spans="1:3">
      <c r="A1935" t="s">
        <v>3734</v>
      </c>
      <c r="B1935">
        <v>101935</v>
      </c>
      <c r="C1935">
        <v>1000</v>
      </c>
    </row>
    <row r="1936" spans="1:3">
      <c r="A1936" t="s">
        <v>3683</v>
      </c>
      <c r="B1936">
        <v>101936</v>
      </c>
      <c r="C1936">
        <v>1000</v>
      </c>
    </row>
    <row r="1937" spans="1:3">
      <c r="A1937" t="s">
        <v>3684</v>
      </c>
      <c r="B1937">
        <v>101937</v>
      </c>
      <c r="C1937">
        <v>1000</v>
      </c>
    </row>
    <row r="1938" spans="1:3">
      <c r="A1938" t="s">
        <v>3735</v>
      </c>
      <c r="B1938">
        <v>101938</v>
      </c>
      <c r="C1938">
        <v>1000</v>
      </c>
    </row>
    <row r="1939" spans="1:3">
      <c r="A1939" t="s">
        <v>3736</v>
      </c>
      <c r="B1939">
        <v>101939</v>
      </c>
      <c r="C1939">
        <v>1000</v>
      </c>
    </row>
    <row r="1940" spans="1:3">
      <c r="A1940" t="s">
        <v>651</v>
      </c>
      <c r="B1940">
        <v>101940</v>
      </c>
      <c r="C1940">
        <v>1000</v>
      </c>
    </row>
    <row r="1941" spans="1:3">
      <c r="A1941" t="s">
        <v>3737</v>
      </c>
      <c r="B1941">
        <v>101941</v>
      </c>
      <c r="C1941">
        <v>1000</v>
      </c>
    </row>
    <row r="1942" spans="1:3">
      <c r="A1942" t="s">
        <v>706</v>
      </c>
      <c r="B1942">
        <v>101942</v>
      </c>
      <c r="C1942">
        <v>1000</v>
      </c>
    </row>
    <row r="1943" spans="1:3">
      <c r="A1943" t="s">
        <v>3738</v>
      </c>
      <c r="B1943">
        <v>101943</v>
      </c>
      <c r="C1943">
        <v>1000</v>
      </c>
    </row>
    <row r="1944" spans="1:3">
      <c r="A1944" t="s">
        <v>3739</v>
      </c>
      <c r="B1944">
        <v>101944</v>
      </c>
      <c r="C1944">
        <v>1000</v>
      </c>
    </row>
    <row r="1945" spans="1:3">
      <c r="A1945" t="s">
        <v>3740</v>
      </c>
      <c r="B1945">
        <v>101945</v>
      </c>
      <c r="C1945">
        <v>1000</v>
      </c>
    </row>
    <row r="1946" spans="1:3">
      <c r="A1946" t="s">
        <v>3741</v>
      </c>
      <c r="B1946">
        <v>101946</v>
      </c>
      <c r="C1946">
        <v>1000</v>
      </c>
    </row>
    <row r="1947" spans="1:3">
      <c r="A1947" t="s">
        <v>3742</v>
      </c>
      <c r="B1947">
        <v>101947</v>
      </c>
      <c r="C1947">
        <v>1000</v>
      </c>
    </row>
    <row r="1948" spans="1:3">
      <c r="A1948" t="s">
        <v>3743</v>
      </c>
      <c r="B1948">
        <v>101948</v>
      </c>
      <c r="C1948">
        <v>1000</v>
      </c>
    </row>
    <row r="1949" spans="1:3">
      <c r="A1949" t="s">
        <v>3744</v>
      </c>
      <c r="B1949">
        <v>101949</v>
      </c>
      <c r="C1949">
        <v>1000</v>
      </c>
    </row>
    <row r="1950" spans="1:3">
      <c r="A1950" t="s">
        <v>3745</v>
      </c>
      <c r="B1950">
        <v>101950</v>
      </c>
      <c r="C1950">
        <v>1000</v>
      </c>
    </row>
    <row r="1951" spans="1:3">
      <c r="A1951" t="s">
        <v>3746</v>
      </c>
      <c r="B1951">
        <v>101951</v>
      </c>
      <c r="C1951">
        <v>1000</v>
      </c>
    </row>
    <row r="1952" spans="1:3">
      <c r="A1952" t="s">
        <v>3747</v>
      </c>
      <c r="B1952">
        <v>101952</v>
      </c>
      <c r="C1952">
        <v>1000</v>
      </c>
    </row>
    <row r="1953" spans="1:3">
      <c r="A1953" t="s">
        <v>3748</v>
      </c>
      <c r="B1953">
        <v>101953</v>
      </c>
      <c r="C1953">
        <v>1000</v>
      </c>
    </row>
    <row r="1954" spans="1:3">
      <c r="A1954" t="s">
        <v>3749</v>
      </c>
      <c r="B1954">
        <v>101954</v>
      </c>
      <c r="C1954">
        <v>1000</v>
      </c>
    </row>
    <row r="1955" spans="1:3">
      <c r="A1955" t="s">
        <v>3750</v>
      </c>
      <c r="B1955">
        <v>101955</v>
      </c>
      <c r="C1955">
        <v>1000</v>
      </c>
    </row>
    <row r="1956" spans="1:3">
      <c r="A1956" t="s">
        <v>3751</v>
      </c>
      <c r="B1956">
        <v>101956</v>
      </c>
      <c r="C1956">
        <v>1000</v>
      </c>
    </row>
    <row r="1957" spans="1:3">
      <c r="A1957" t="s">
        <v>3752</v>
      </c>
      <c r="B1957">
        <v>101957</v>
      </c>
      <c r="C1957">
        <v>1000</v>
      </c>
    </row>
    <row r="1958" spans="1:3">
      <c r="A1958" t="s">
        <v>3753</v>
      </c>
      <c r="B1958">
        <v>101958</v>
      </c>
      <c r="C1958">
        <v>1000</v>
      </c>
    </row>
    <row r="1959" spans="1:3">
      <c r="A1959" t="s">
        <v>3754</v>
      </c>
      <c r="B1959">
        <v>101959</v>
      </c>
      <c r="C1959">
        <v>1000</v>
      </c>
    </row>
    <row r="1960" spans="1:3">
      <c r="A1960" t="s">
        <v>3755</v>
      </c>
      <c r="B1960">
        <v>101960</v>
      </c>
      <c r="C1960">
        <v>1000</v>
      </c>
    </row>
    <row r="1961" spans="1:3">
      <c r="A1961" t="s">
        <v>3756</v>
      </c>
      <c r="B1961">
        <v>101961</v>
      </c>
      <c r="C1961">
        <v>1000</v>
      </c>
    </row>
    <row r="1962" spans="1:3">
      <c r="A1962" t="s">
        <v>3757</v>
      </c>
      <c r="B1962">
        <v>101962</v>
      </c>
      <c r="C1962">
        <v>1000</v>
      </c>
    </row>
    <row r="1963" spans="1:3">
      <c r="A1963" t="s">
        <v>3758</v>
      </c>
      <c r="B1963">
        <v>101963</v>
      </c>
      <c r="C1963">
        <v>1000</v>
      </c>
    </row>
    <row r="1964" spans="1:3">
      <c r="A1964" t="s">
        <v>3759</v>
      </c>
      <c r="B1964">
        <v>101964</v>
      </c>
      <c r="C1964">
        <v>1000</v>
      </c>
    </row>
    <row r="1965" spans="1:3">
      <c r="A1965" t="s">
        <v>3760</v>
      </c>
      <c r="B1965">
        <v>101965</v>
      </c>
      <c r="C1965">
        <v>1000</v>
      </c>
    </row>
    <row r="1966" spans="1:3">
      <c r="A1966" t="s">
        <v>3761</v>
      </c>
      <c r="B1966">
        <v>101966</v>
      </c>
      <c r="C1966">
        <v>1000</v>
      </c>
    </row>
    <row r="1967" spans="1:3">
      <c r="A1967" t="s">
        <v>3762</v>
      </c>
      <c r="B1967">
        <v>101967</v>
      </c>
      <c r="C1967">
        <v>1000</v>
      </c>
    </row>
    <row r="1968" spans="1:3">
      <c r="A1968" t="s">
        <v>3763</v>
      </c>
      <c r="B1968">
        <v>101968</v>
      </c>
      <c r="C1968">
        <v>1000</v>
      </c>
    </row>
    <row r="1969" spans="1:3">
      <c r="A1969" t="s">
        <v>3764</v>
      </c>
      <c r="B1969">
        <v>101969</v>
      </c>
      <c r="C1969">
        <v>1000</v>
      </c>
    </row>
    <row r="1970" spans="1:3">
      <c r="A1970" t="s">
        <v>3765</v>
      </c>
      <c r="B1970">
        <v>101970</v>
      </c>
      <c r="C1970">
        <v>1000</v>
      </c>
    </row>
    <row r="1971" spans="1:3">
      <c r="A1971" t="s">
        <v>3766</v>
      </c>
      <c r="B1971">
        <v>101971</v>
      </c>
      <c r="C1971">
        <v>1000</v>
      </c>
    </row>
    <row r="1972" spans="1:3">
      <c r="A1972" t="s">
        <v>3767</v>
      </c>
      <c r="B1972">
        <v>101972</v>
      </c>
      <c r="C1972">
        <v>1000</v>
      </c>
    </row>
    <row r="1973" spans="1:3">
      <c r="A1973" t="s">
        <v>3768</v>
      </c>
      <c r="B1973">
        <v>101973</v>
      </c>
      <c r="C1973">
        <v>1000</v>
      </c>
    </row>
    <row r="1974" spans="1:3">
      <c r="A1974" t="s">
        <v>3769</v>
      </c>
      <c r="B1974">
        <v>101974</v>
      </c>
      <c r="C1974">
        <v>1000</v>
      </c>
    </row>
    <row r="1975" spans="1:3">
      <c r="A1975" t="s">
        <v>3770</v>
      </c>
      <c r="B1975">
        <v>101975</v>
      </c>
      <c r="C1975">
        <v>1000</v>
      </c>
    </row>
    <row r="1976" spans="1:3">
      <c r="A1976" t="s">
        <v>3771</v>
      </c>
      <c r="B1976">
        <v>101976</v>
      </c>
      <c r="C1976">
        <v>1000</v>
      </c>
    </row>
    <row r="1977" spans="1:3">
      <c r="A1977" t="s">
        <v>3772</v>
      </c>
      <c r="B1977">
        <v>101977</v>
      </c>
      <c r="C1977">
        <v>1000</v>
      </c>
    </row>
    <row r="1978" spans="1:3">
      <c r="A1978" t="s">
        <v>3773</v>
      </c>
      <c r="B1978">
        <v>101978</v>
      </c>
      <c r="C1978">
        <v>1000</v>
      </c>
    </row>
    <row r="1979" spans="1:3">
      <c r="A1979" t="s">
        <v>3774</v>
      </c>
      <c r="B1979">
        <v>101979</v>
      </c>
      <c r="C1979">
        <v>1000</v>
      </c>
    </row>
    <row r="1980" spans="1:3">
      <c r="A1980" t="s">
        <v>3775</v>
      </c>
      <c r="B1980">
        <v>101980</v>
      </c>
      <c r="C1980">
        <v>1000</v>
      </c>
    </row>
    <row r="1981" spans="1:3">
      <c r="A1981" t="s">
        <v>3776</v>
      </c>
      <c r="B1981">
        <v>101981</v>
      </c>
      <c r="C1981">
        <v>1000</v>
      </c>
    </row>
    <row r="1982" spans="1:3">
      <c r="A1982" t="s">
        <v>3777</v>
      </c>
      <c r="B1982">
        <v>101982</v>
      </c>
      <c r="C1982">
        <v>1000</v>
      </c>
    </row>
    <row r="1983" spans="1:3">
      <c r="A1983" t="s">
        <v>3778</v>
      </c>
      <c r="B1983">
        <v>101983</v>
      </c>
      <c r="C1983">
        <v>1000</v>
      </c>
    </row>
    <row r="1984" spans="1:3">
      <c r="A1984" t="s">
        <v>3779</v>
      </c>
      <c r="B1984">
        <v>101984</v>
      </c>
      <c r="C1984">
        <v>1000</v>
      </c>
    </row>
    <row r="1985" spans="1:3">
      <c r="A1985" t="s">
        <v>3780</v>
      </c>
      <c r="B1985">
        <v>101985</v>
      </c>
      <c r="C1985">
        <v>1000</v>
      </c>
    </row>
    <row r="1986" spans="1:3">
      <c r="A1986" t="s">
        <v>3781</v>
      </c>
      <c r="B1986">
        <v>101986</v>
      </c>
      <c r="C1986">
        <v>1000</v>
      </c>
    </row>
    <row r="1987" spans="1:3">
      <c r="A1987" t="s">
        <v>3782</v>
      </c>
      <c r="B1987">
        <v>101987</v>
      </c>
      <c r="C1987">
        <v>1000</v>
      </c>
    </row>
    <row r="1988" spans="1:3">
      <c r="A1988" t="s">
        <v>3783</v>
      </c>
      <c r="B1988">
        <v>101988</v>
      </c>
      <c r="C1988">
        <v>1000</v>
      </c>
    </row>
    <row r="1989" spans="1:3">
      <c r="A1989" t="s">
        <v>3784</v>
      </c>
      <c r="B1989">
        <v>101989</v>
      </c>
      <c r="C1989">
        <v>1000</v>
      </c>
    </row>
    <row r="1990" spans="1:3">
      <c r="A1990" t="s">
        <v>3785</v>
      </c>
      <c r="B1990">
        <v>101990</v>
      </c>
      <c r="C1990">
        <v>1000</v>
      </c>
    </row>
    <row r="1991" spans="1:3">
      <c r="A1991" t="s">
        <v>3786</v>
      </c>
      <c r="B1991">
        <v>101991</v>
      </c>
      <c r="C1991">
        <v>1000</v>
      </c>
    </row>
    <row r="1992" spans="1:3">
      <c r="A1992" t="s">
        <v>3787</v>
      </c>
      <c r="B1992">
        <v>101992</v>
      </c>
      <c r="C1992">
        <v>1000</v>
      </c>
    </row>
    <row r="1993" spans="1:3">
      <c r="A1993" t="s">
        <v>656</v>
      </c>
      <c r="B1993">
        <v>101993</v>
      </c>
      <c r="C1993">
        <v>1000</v>
      </c>
    </row>
    <row r="1994" spans="1:3">
      <c r="A1994" t="s">
        <v>3788</v>
      </c>
      <c r="B1994">
        <v>101994</v>
      </c>
      <c r="C1994">
        <v>1000</v>
      </c>
    </row>
    <row r="1995" spans="1:3">
      <c r="A1995" t="s">
        <v>3789</v>
      </c>
      <c r="B1995">
        <v>101995</v>
      </c>
      <c r="C1995">
        <v>1000</v>
      </c>
    </row>
    <row r="1996" spans="1:3">
      <c r="A1996" t="s">
        <v>3790</v>
      </c>
      <c r="B1996">
        <v>101996</v>
      </c>
      <c r="C1996">
        <v>1000</v>
      </c>
    </row>
    <row r="1997" spans="1:3">
      <c r="A1997" t="s">
        <v>3791</v>
      </c>
      <c r="B1997">
        <v>101997</v>
      </c>
      <c r="C1997">
        <v>1000</v>
      </c>
    </row>
    <row r="1998" spans="1:3">
      <c r="A1998" t="s">
        <v>3792</v>
      </c>
      <c r="B1998">
        <v>101998</v>
      </c>
      <c r="C1998">
        <v>1000</v>
      </c>
    </row>
    <row r="1999" spans="1:3">
      <c r="A1999" t="s">
        <v>3793</v>
      </c>
      <c r="B1999">
        <v>101999</v>
      </c>
      <c r="C1999">
        <v>1000</v>
      </c>
    </row>
    <row r="2000" spans="1:3">
      <c r="A2000" t="s">
        <v>3794</v>
      </c>
      <c r="B2000">
        <v>102000</v>
      </c>
      <c r="C2000">
        <v>1000</v>
      </c>
    </row>
    <row r="2001" spans="1:3">
      <c r="A2001" t="s">
        <v>3795</v>
      </c>
      <c r="B2001">
        <v>102001</v>
      </c>
      <c r="C2001">
        <v>1000</v>
      </c>
    </row>
    <row r="2002" spans="1:3">
      <c r="A2002" t="s">
        <v>3796</v>
      </c>
      <c r="B2002">
        <v>102002</v>
      </c>
      <c r="C2002">
        <v>1000</v>
      </c>
    </row>
    <row r="2003" spans="1:3">
      <c r="A2003" t="s">
        <v>3797</v>
      </c>
      <c r="B2003">
        <v>102003</v>
      </c>
      <c r="C2003">
        <v>1000</v>
      </c>
    </row>
    <row r="2004" spans="1:3">
      <c r="A2004" t="s">
        <v>3798</v>
      </c>
      <c r="B2004">
        <v>102004</v>
      </c>
      <c r="C2004">
        <v>1000</v>
      </c>
    </row>
    <row r="2005" spans="1:3">
      <c r="A2005" t="s">
        <v>3799</v>
      </c>
      <c r="B2005">
        <v>102005</v>
      </c>
      <c r="C2005">
        <v>1000</v>
      </c>
    </row>
    <row r="2006" spans="1:3">
      <c r="A2006" t="s">
        <v>3800</v>
      </c>
      <c r="B2006">
        <v>102006</v>
      </c>
      <c r="C2006">
        <v>1000</v>
      </c>
    </row>
    <row r="2007" spans="1:3">
      <c r="A2007" t="s">
        <v>3801</v>
      </c>
      <c r="B2007">
        <v>102007</v>
      </c>
      <c r="C2007">
        <v>1000</v>
      </c>
    </row>
    <row r="2008" spans="1:3">
      <c r="A2008" t="s">
        <v>3802</v>
      </c>
      <c r="B2008">
        <v>102008</v>
      </c>
      <c r="C2008">
        <v>1000</v>
      </c>
    </row>
    <row r="2009" spans="1:3">
      <c r="A2009" t="s">
        <v>3803</v>
      </c>
      <c r="B2009">
        <v>102009</v>
      </c>
      <c r="C2009">
        <v>1000</v>
      </c>
    </row>
    <row r="2010" spans="1:3">
      <c r="A2010" t="s">
        <v>3804</v>
      </c>
      <c r="B2010">
        <v>102010</v>
      </c>
      <c r="C2010">
        <v>1000</v>
      </c>
    </row>
    <row r="2011" spans="1:3">
      <c r="A2011" t="s">
        <v>3805</v>
      </c>
      <c r="B2011">
        <v>102011</v>
      </c>
      <c r="C2011">
        <v>1000</v>
      </c>
    </row>
    <row r="2012" spans="1:3">
      <c r="A2012" t="s">
        <v>3806</v>
      </c>
      <c r="B2012">
        <v>102012</v>
      </c>
      <c r="C2012">
        <v>1000</v>
      </c>
    </row>
    <row r="2013" spans="1:3">
      <c r="A2013" t="s">
        <v>3807</v>
      </c>
      <c r="B2013">
        <v>102013</v>
      </c>
      <c r="C2013">
        <v>1000</v>
      </c>
    </row>
    <row r="2014" spans="1:3">
      <c r="A2014" t="s">
        <v>3808</v>
      </c>
      <c r="B2014">
        <v>102014</v>
      </c>
      <c r="C2014">
        <v>1000</v>
      </c>
    </row>
    <row r="2015" spans="1:3">
      <c r="A2015" t="s">
        <v>3809</v>
      </c>
      <c r="B2015">
        <v>102015</v>
      </c>
      <c r="C2015">
        <v>1000</v>
      </c>
    </row>
    <row r="2016" spans="1:3">
      <c r="A2016" t="s">
        <v>3810</v>
      </c>
      <c r="B2016">
        <v>102016</v>
      </c>
      <c r="C2016">
        <v>1000</v>
      </c>
    </row>
    <row r="2017" spans="1:3">
      <c r="A2017" t="s">
        <v>3811</v>
      </c>
      <c r="B2017">
        <v>102017</v>
      </c>
      <c r="C2017">
        <v>1000</v>
      </c>
    </row>
    <row r="2018" spans="1:3">
      <c r="A2018" t="s">
        <v>3812</v>
      </c>
      <c r="B2018">
        <v>102018</v>
      </c>
      <c r="C2018">
        <v>1000</v>
      </c>
    </row>
    <row r="2019" spans="1:3">
      <c r="A2019" t="s">
        <v>3813</v>
      </c>
      <c r="B2019">
        <v>102019</v>
      </c>
      <c r="C2019">
        <v>1000</v>
      </c>
    </row>
    <row r="2020" spans="1:3">
      <c r="A2020" t="s">
        <v>3814</v>
      </c>
      <c r="B2020">
        <v>102020</v>
      </c>
      <c r="C2020">
        <v>1000</v>
      </c>
    </row>
    <row r="2021" spans="1:3">
      <c r="A2021" t="s">
        <v>3815</v>
      </c>
      <c r="B2021">
        <v>102021</v>
      </c>
      <c r="C2021">
        <v>1000</v>
      </c>
    </row>
    <row r="2022" spans="1:3">
      <c r="A2022" t="s">
        <v>724</v>
      </c>
      <c r="B2022">
        <v>102022</v>
      </c>
      <c r="C2022">
        <v>1000</v>
      </c>
    </row>
    <row r="2023" spans="1:3">
      <c r="A2023" t="s">
        <v>3816</v>
      </c>
      <c r="B2023">
        <v>102023</v>
      </c>
      <c r="C2023">
        <v>1000</v>
      </c>
    </row>
    <row r="2024" spans="1:3">
      <c r="A2024" t="s">
        <v>3817</v>
      </c>
      <c r="B2024">
        <v>102024</v>
      </c>
      <c r="C2024">
        <v>1000</v>
      </c>
    </row>
    <row r="2025" spans="1:3">
      <c r="A2025" t="s">
        <v>3818</v>
      </c>
      <c r="B2025">
        <v>102025</v>
      </c>
      <c r="C2025">
        <v>1000</v>
      </c>
    </row>
    <row r="2026" spans="1:3">
      <c r="A2026" t="s">
        <v>3819</v>
      </c>
      <c r="B2026">
        <v>102026</v>
      </c>
      <c r="C2026">
        <v>1000</v>
      </c>
    </row>
    <row r="2027" spans="1:3">
      <c r="A2027" t="s">
        <v>3820</v>
      </c>
      <c r="B2027">
        <v>102027</v>
      </c>
      <c r="C2027">
        <v>1000</v>
      </c>
    </row>
    <row r="2028" spans="1:3">
      <c r="A2028" t="s">
        <v>3821</v>
      </c>
      <c r="B2028">
        <v>102028</v>
      </c>
      <c r="C2028">
        <v>1000</v>
      </c>
    </row>
    <row r="2029" spans="1:3">
      <c r="A2029" t="s">
        <v>3822</v>
      </c>
      <c r="B2029">
        <v>102029</v>
      </c>
      <c r="C2029">
        <v>1000</v>
      </c>
    </row>
    <row r="2030" spans="1:3">
      <c r="A2030" t="s">
        <v>3823</v>
      </c>
      <c r="B2030">
        <v>102030</v>
      </c>
      <c r="C2030">
        <v>1000</v>
      </c>
    </row>
    <row r="2031" spans="1:3">
      <c r="A2031" t="s">
        <v>3824</v>
      </c>
      <c r="B2031">
        <v>102031</v>
      </c>
      <c r="C2031">
        <v>1000</v>
      </c>
    </row>
    <row r="2032" spans="1:3">
      <c r="A2032" t="s">
        <v>3825</v>
      </c>
      <c r="B2032">
        <v>102032</v>
      </c>
      <c r="C2032">
        <v>1000</v>
      </c>
    </row>
    <row r="2033" spans="1:3">
      <c r="A2033" t="s">
        <v>3826</v>
      </c>
      <c r="B2033">
        <v>102033</v>
      </c>
      <c r="C2033">
        <v>1000</v>
      </c>
    </row>
    <row r="2034" spans="1:3">
      <c r="A2034" t="s">
        <v>3827</v>
      </c>
      <c r="B2034">
        <v>102034</v>
      </c>
      <c r="C2034">
        <v>1000</v>
      </c>
    </row>
    <row r="2035" spans="1:3">
      <c r="A2035" t="s">
        <v>688</v>
      </c>
      <c r="B2035">
        <v>102035</v>
      </c>
      <c r="C2035">
        <v>1000</v>
      </c>
    </row>
    <row r="2036" spans="1:3">
      <c r="A2036" t="s">
        <v>3828</v>
      </c>
      <c r="B2036">
        <v>102036</v>
      </c>
      <c r="C2036">
        <v>1000</v>
      </c>
    </row>
    <row r="2037" spans="1:3">
      <c r="A2037" t="s">
        <v>3829</v>
      </c>
      <c r="B2037">
        <v>102037</v>
      </c>
      <c r="C2037">
        <v>1000</v>
      </c>
    </row>
    <row r="2038" spans="1:3">
      <c r="A2038" t="s">
        <v>3830</v>
      </c>
      <c r="B2038">
        <v>102038</v>
      </c>
      <c r="C2038">
        <v>1000</v>
      </c>
    </row>
    <row r="2039" spans="1:3">
      <c r="A2039" t="s">
        <v>3831</v>
      </c>
      <c r="B2039">
        <v>102039</v>
      </c>
      <c r="C2039">
        <v>1000</v>
      </c>
    </row>
    <row r="2040" spans="1:3">
      <c r="A2040" t="s">
        <v>3832</v>
      </c>
      <c r="B2040">
        <v>102040</v>
      </c>
      <c r="C2040">
        <v>1000</v>
      </c>
    </row>
    <row r="2041" spans="1:3">
      <c r="A2041" t="s">
        <v>3833</v>
      </c>
      <c r="B2041">
        <v>102041</v>
      </c>
      <c r="C2041">
        <v>1000</v>
      </c>
    </row>
    <row r="2042" spans="1:3">
      <c r="A2042" t="s">
        <v>3834</v>
      </c>
      <c r="B2042">
        <v>102042</v>
      </c>
      <c r="C2042">
        <v>1000</v>
      </c>
    </row>
    <row r="2043" spans="1:3">
      <c r="A2043" t="s">
        <v>3835</v>
      </c>
      <c r="B2043">
        <v>102043</v>
      </c>
      <c r="C2043">
        <v>1000</v>
      </c>
    </row>
    <row r="2044" spans="1:3">
      <c r="A2044" t="s">
        <v>3836</v>
      </c>
      <c r="B2044">
        <v>102044</v>
      </c>
      <c r="C2044">
        <v>1000</v>
      </c>
    </row>
    <row r="2045" spans="1:3">
      <c r="A2045" t="s">
        <v>3837</v>
      </c>
      <c r="B2045">
        <v>102045</v>
      </c>
      <c r="C2045">
        <v>1000</v>
      </c>
    </row>
    <row r="2046" spans="1:3">
      <c r="A2046" t="s">
        <v>3838</v>
      </c>
      <c r="B2046">
        <v>102046</v>
      </c>
      <c r="C2046">
        <v>1000</v>
      </c>
    </row>
    <row r="2047" spans="1:3">
      <c r="A2047" t="s">
        <v>3839</v>
      </c>
      <c r="B2047">
        <v>102047</v>
      </c>
      <c r="C2047">
        <v>1000</v>
      </c>
    </row>
    <row r="2048" spans="1:3">
      <c r="A2048" t="s">
        <v>3840</v>
      </c>
      <c r="B2048">
        <v>102048</v>
      </c>
      <c r="C2048">
        <v>1000</v>
      </c>
    </row>
    <row r="2049" spans="1:3">
      <c r="A2049" t="s">
        <v>3841</v>
      </c>
      <c r="B2049">
        <v>102049</v>
      </c>
      <c r="C2049">
        <v>1000</v>
      </c>
    </row>
    <row r="2050" spans="1:3">
      <c r="A2050" t="s">
        <v>3842</v>
      </c>
      <c r="B2050">
        <v>102050</v>
      </c>
      <c r="C2050">
        <v>1000</v>
      </c>
    </row>
    <row r="2051" spans="1:3">
      <c r="A2051" t="s">
        <v>3843</v>
      </c>
      <c r="B2051">
        <v>102051</v>
      </c>
      <c r="C2051">
        <v>1000</v>
      </c>
    </row>
    <row r="2052" spans="1:3">
      <c r="A2052" t="s">
        <v>3844</v>
      </c>
      <c r="B2052">
        <v>102052</v>
      </c>
      <c r="C2052">
        <v>1000</v>
      </c>
    </row>
    <row r="2053" spans="1:3">
      <c r="A2053" t="s">
        <v>3845</v>
      </c>
      <c r="B2053">
        <v>102053</v>
      </c>
      <c r="C2053">
        <v>1000</v>
      </c>
    </row>
    <row r="2054" spans="1:3">
      <c r="A2054" t="s">
        <v>3846</v>
      </c>
      <c r="B2054">
        <v>102054</v>
      </c>
      <c r="C2054">
        <v>1000</v>
      </c>
    </row>
    <row r="2055" spans="1:3">
      <c r="A2055" t="s">
        <v>3847</v>
      </c>
      <c r="B2055">
        <v>102055</v>
      </c>
      <c r="C2055">
        <v>1000</v>
      </c>
    </row>
    <row r="2056" spans="1:3">
      <c r="A2056" t="s">
        <v>3848</v>
      </c>
      <c r="B2056">
        <v>102056</v>
      </c>
      <c r="C2056">
        <v>1000</v>
      </c>
    </row>
    <row r="2057" spans="1:3">
      <c r="A2057" t="s">
        <v>3849</v>
      </c>
      <c r="B2057">
        <v>102057</v>
      </c>
      <c r="C2057">
        <v>1000</v>
      </c>
    </row>
    <row r="2058" spans="1:3">
      <c r="A2058" t="s">
        <v>3850</v>
      </c>
      <c r="B2058">
        <v>102058</v>
      </c>
      <c r="C2058">
        <v>1000</v>
      </c>
    </row>
    <row r="2059" spans="1:3">
      <c r="A2059" t="s">
        <v>3851</v>
      </c>
      <c r="B2059">
        <v>102059</v>
      </c>
      <c r="C2059">
        <v>1000</v>
      </c>
    </row>
    <row r="2060" spans="1:3">
      <c r="A2060" t="s">
        <v>3852</v>
      </c>
      <c r="B2060">
        <v>102060</v>
      </c>
      <c r="C2060">
        <v>1000</v>
      </c>
    </row>
    <row r="2061" spans="1:3">
      <c r="A2061" t="s">
        <v>3853</v>
      </c>
      <c r="B2061">
        <v>102061</v>
      </c>
      <c r="C2061">
        <v>1000</v>
      </c>
    </row>
    <row r="2062" spans="1:3">
      <c r="A2062" t="s">
        <v>3854</v>
      </c>
      <c r="B2062">
        <v>102062</v>
      </c>
      <c r="C2062">
        <v>1000</v>
      </c>
    </row>
    <row r="2063" spans="1:3">
      <c r="A2063" t="s">
        <v>3855</v>
      </c>
      <c r="B2063">
        <v>102063</v>
      </c>
      <c r="C2063">
        <v>1000</v>
      </c>
    </row>
    <row r="2064" spans="1:3">
      <c r="A2064" t="s">
        <v>3856</v>
      </c>
      <c r="B2064">
        <v>102064</v>
      </c>
      <c r="C2064">
        <v>1000</v>
      </c>
    </row>
    <row r="2065" spans="1:3">
      <c r="A2065" t="s">
        <v>3857</v>
      </c>
      <c r="B2065">
        <v>102065</v>
      </c>
      <c r="C2065">
        <v>1000</v>
      </c>
    </row>
    <row r="2066" spans="1:3">
      <c r="A2066" t="s">
        <v>3858</v>
      </c>
      <c r="B2066">
        <v>102066</v>
      </c>
      <c r="C2066">
        <v>1000</v>
      </c>
    </row>
    <row r="2067" spans="1:3">
      <c r="A2067" t="s">
        <v>3859</v>
      </c>
      <c r="B2067">
        <v>102067</v>
      </c>
      <c r="C2067">
        <v>1000</v>
      </c>
    </row>
    <row r="2068" spans="1:3">
      <c r="A2068" t="s">
        <v>3860</v>
      </c>
      <c r="B2068">
        <v>102068</v>
      </c>
      <c r="C2068">
        <v>1000</v>
      </c>
    </row>
    <row r="2069" spans="1:3">
      <c r="A2069" t="s">
        <v>3861</v>
      </c>
      <c r="B2069">
        <v>102069</v>
      </c>
      <c r="C2069">
        <v>1000</v>
      </c>
    </row>
    <row r="2070" spans="1:3">
      <c r="A2070" t="s">
        <v>3862</v>
      </c>
      <c r="B2070">
        <v>102070</v>
      </c>
      <c r="C2070">
        <v>1000</v>
      </c>
    </row>
    <row r="2071" spans="1:3">
      <c r="A2071" t="s">
        <v>3863</v>
      </c>
      <c r="B2071">
        <v>102071</v>
      </c>
      <c r="C2071">
        <v>1000</v>
      </c>
    </row>
    <row r="2072" spans="1:3">
      <c r="A2072" t="s">
        <v>3864</v>
      </c>
      <c r="B2072">
        <v>102072</v>
      </c>
      <c r="C2072">
        <v>1000</v>
      </c>
    </row>
    <row r="2073" spans="1:3">
      <c r="A2073" t="s">
        <v>3865</v>
      </c>
      <c r="B2073">
        <v>102073</v>
      </c>
      <c r="C2073">
        <v>1000</v>
      </c>
    </row>
    <row r="2074" spans="1:3">
      <c r="A2074" t="s">
        <v>3866</v>
      </c>
      <c r="B2074">
        <v>102074</v>
      </c>
      <c r="C2074">
        <v>1000</v>
      </c>
    </row>
    <row r="2075" spans="1:3">
      <c r="A2075" t="s">
        <v>3867</v>
      </c>
      <c r="B2075">
        <v>102075</v>
      </c>
      <c r="C2075">
        <v>1000</v>
      </c>
    </row>
    <row r="2076" spans="1:3">
      <c r="A2076" t="s">
        <v>3868</v>
      </c>
      <c r="B2076">
        <v>102076</v>
      </c>
      <c r="C2076">
        <v>1000</v>
      </c>
    </row>
    <row r="2077" spans="1:3">
      <c r="A2077" t="s">
        <v>3869</v>
      </c>
      <c r="B2077">
        <v>102077</v>
      </c>
      <c r="C2077">
        <v>1000</v>
      </c>
    </row>
    <row r="2078" spans="1:3">
      <c r="A2078" t="s">
        <v>1328</v>
      </c>
      <c r="B2078">
        <v>102078</v>
      </c>
      <c r="C2078">
        <v>1000</v>
      </c>
    </row>
    <row r="2079" spans="1:3">
      <c r="A2079" t="s">
        <v>3870</v>
      </c>
      <c r="B2079">
        <v>102079</v>
      </c>
      <c r="C2079">
        <v>1000</v>
      </c>
    </row>
    <row r="2080" spans="1:3">
      <c r="A2080" t="s">
        <v>3871</v>
      </c>
      <c r="B2080">
        <v>102080</v>
      </c>
      <c r="C2080">
        <v>1000</v>
      </c>
    </row>
    <row r="2081" spans="1:3">
      <c r="A2081" t="s">
        <v>3872</v>
      </c>
      <c r="B2081">
        <v>102081</v>
      </c>
      <c r="C2081">
        <v>1000</v>
      </c>
    </row>
    <row r="2082" spans="1:3">
      <c r="A2082" t="s">
        <v>3873</v>
      </c>
      <c r="B2082">
        <v>102082</v>
      </c>
      <c r="C2082">
        <v>1000</v>
      </c>
    </row>
    <row r="2083" spans="1:3">
      <c r="A2083" t="s">
        <v>3874</v>
      </c>
      <c r="B2083">
        <v>102083</v>
      </c>
      <c r="C2083">
        <v>1000</v>
      </c>
    </row>
    <row r="2084" spans="1:3">
      <c r="A2084" t="s">
        <v>3875</v>
      </c>
      <c r="B2084">
        <v>102084</v>
      </c>
      <c r="C2084">
        <v>1000</v>
      </c>
    </row>
    <row r="2085" spans="1:3">
      <c r="A2085" t="s">
        <v>3876</v>
      </c>
      <c r="B2085">
        <v>102085</v>
      </c>
      <c r="C2085">
        <v>1000</v>
      </c>
    </row>
    <row r="2086" spans="1:3">
      <c r="A2086" t="s">
        <v>3877</v>
      </c>
      <c r="B2086">
        <v>102086</v>
      </c>
      <c r="C2086">
        <v>1000</v>
      </c>
    </row>
    <row r="2087" spans="1:3">
      <c r="A2087" t="s">
        <v>3878</v>
      </c>
      <c r="B2087">
        <v>102087</v>
      </c>
      <c r="C2087">
        <v>1000</v>
      </c>
    </row>
    <row r="2088" spans="1:3">
      <c r="A2088" t="s">
        <v>3879</v>
      </c>
      <c r="B2088">
        <v>102088</v>
      </c>
      <c r="C2088">
        <v>1000</v>
      </c>
    </row>
    <row r="2089" spans="1:3">
      <c r="A2089" t="s">
        <v>3880</v>
      </c>
      <c r="B2089">
        <v>102089</v>
      </c>
      <c r="C2089">
        <v>1000</v>
      </c>
    </row>
    <row r="2090" spans="1:3">
      <c r="A2090" t="s">
        <v>3881</v>
      </c>
      <c r="B2090">
        <v>102090</v>
      </c>
      <c r="C2090">
        <v>1000</v>
      </c>
    </row>
    <row r="2091" spans="1:3">
      <c r="A2091" t="s">
        <v>3882</v>
      </c>
      <c r="B2091">
        <v>102091</v>
      </c>
      <c r="C2091">
        <v>1000</v>
      </c>
    </row>
    <row r="2092" spans="1:3">
      <c r="A2092" t="s">
        <v>3883</v>
      </c>
      <c r="B2092">
        <v>102092</v>
      </c>
      <c r="C2092">
        <v>1000</v>
      </c>
    </row>
    <row r="2093" spans="1:3">
      <c r="A2093" t="s">
        <v>3884</v>
      </c>
      <c r="B2093">
        <v>102093</v>
      </c>
      <c r="C2093">
        <v>1000</v>
      </c>
    </row>
    <row r="2094" spans="1:3">
      <c r="A2094" t="s">
        <v>3885</v>
      </c>
      <c r="B2094">
        <v>102094</v>
      </c>
      <c r="C2094">
        <v>1000</v>
      </c>
    </row>
    <row r="2095" spans="1:3">
      <c r="A2095" t="s">
        <v>3886</v>
      </c>
      <c r="B2095">
        <v>102095</v>
      </c>
      <c r="C2095">
        <v>1000</v>
      </c>
    </row>
    <row r="2096" spans="1:3">
      <c r="A2096" t="s">
        <v>649</v>
      </c>
      <c r="B2096">
        <v>102096</v>
      </c>
      <c r="C2096">
        <v>1000</v>
      </c>
    </row>
    <row r="2097" spans="1:3">
      <c r="A2097" t="s">
        <v>3887</v>
      </c>
      <c r="B2097">
        <v>102097</v>
      </c>
      <c r="C2097">
        <v>1000</v>
      </c>
    </row>
    <row r="2098" spans="1:3">
      <c r="A2098" t="s">
        <v>2859</v>
      </c>
      <c r="B2098">
        <v>102098</v>
      </c>
      <c r="C2098">
        <v>1000</v>
      </c>
    </row>
    <row r="2099" spans="1:3">
      <c r="A2099" t="s">
        <v>3888</v>
      </c>
      <c r="B2099">
        <v>102099</v>
      </c>
      <c r="C2099">
        <v>1000</v>
      </c>
    </row>
    <row r="2100" spans="1:3">
      <c r="A2100" t="s">
        <v>3524</v>
      </c>
      <c r="B2100">
        <v>102100</v>
      </c>
      <c r="C2100">
        <v>1000</v>
      </c>
    </row>
    <row r="2101" spans="1:3">
      <c r="A2101" t="s">
        <v>3889</v>
      </c>
      <c r="B2101">
        <v>102101</v>
      </c>
      <c r="C2101">
        <v>1000</v>
      </c>
    </row>
    <row r="2102" spans="1:3">
      <c r="A2102" t="s">
        <v>3890</v>
      </c>
      <c r="B2102">
        <v>102102</v>
      </c>
      <c r="C2102">
        <v>1000</v>
      </c>
    </row>
    <row r="2103" spans="1:3">
      <c r="A2103" t="s">
        <v>3891</v>
      </c>
      <c r="B2103">
        <v>102103</v>
      </c>
      <c r="C2103">
        <v>1000</v>
      </c>
    </row>
    <row r="2104" spans="1:3">
      <c r="A2104" t="s">
        <v>3892</v>
      </c>
      <c r="B2104">
        <v>102104</v>
      </c>
      <c r="C2104">
        <v>1000</v>
      </c>
    </row>
    <row r="2105" spans="1:3">
      <c r="A2105" t="s">
        <v>3893</v>
      </c>
      <c r="B2105">
        <v>102105</v>
      </c>
      <c r="C2105">
        <v>1000</v>
      </c>
    </row>
    <row r="2106" spans="1:3">
      <c r="A2106" t="s">
        <v>3894</v>
      </c>
      <c r="B2106">
        <v>102106</v>
      </c>
      <c r="C2106">
        <v>1000</v>
      </c>
    </row>
    <row r="2107" spans="1:3">
      <c r="A2107" t="s">
        <v>3895</v>
      </c>
      <c r="B2107">
        <v>102107</v>
      </c>
      <c r="C2107">
        <v>1000</v>
      </c>
    </row>
    <row r="2108" spans="1:3">
      <c r="A2108" t="s">
        <v>3896</v>
      </c>
      <c r="B2108">
        <v>102108</v>
      </c>
      <c r="C2108">
        <v>1000</v>
      </c>
    </row>
    <row r="2109" spans="1:3">
      <c r="A2109" t="s">
        <v>3897</v>
      </c>
      <c r="B2109">
        <v>102109</v>
      </c>
      <c r="C2109">
        <v>1000</v>
      </c>
    </row>
    <row r="2110" spans="1:3">
      <c r="A2110" t="s">
        <v>3898</v>
      </c>
      <c r="B2110">
        <v>102110</v>
      </c>
      <c r="C2110">
        <v>1000</v>
      </c>
    </row>
    <row r="2111" spans="1:3">
      <c r="A2111" t="s">
        <v>3899</v>
      </c>
      <c r="B2111">
        <v>102111</v>
      </c>
      <c r="C2111">
        <v>1000</v>
      </c>
    </row>
    <row r="2112" spans="1:3">
      <c r="A2112" t="s">
        <v>3900</v>
      </c>
      <c r="B2112">
        <v>102112</v>
      </c>
      <c r="C2112">
        <v>1000</v>
      </c>
    </row>
    <row r="2113" spans="1:3">
      <c r="A2113" t="s">
        <v>3901</v>
      </c>
      <c r="B2113">
        <v>102113</v>
      </c>
      <c r="C2113">
        <v>1000</v>
      </c>
    </row>
    <row r="2114" spans="1:3">
      <c r="A2114" t="s">
        <v>3902</v>
      </c>
      <c r="B2114">
        <v>102114</v>
      </c>
      <c r="C2114">
        <v>1000</v>
      </c>
    </row>
    <row r="2115" spans="1:3">
      <c r="A2115" t="s">
        <v>3903</v>
      </c>
      <c r="B2115">
        <v>102115</v>
      </c>
      <c r="C2115">
        <v>1000</v>
      </c>
    </row>
    <row r="2116" spans="1:3">
      <c r="A2116" t="s">
        <v>3904</v>
      </c>
      <c r="B2116">
        <v>102116</v>
      </c>
      <c r="C2116">
        <v>1000</v>
      </c>
    </row>
    <row r="2117" spans="1:3">
      <c r="A2117" t="s">
        <v>3905</v>
      </c>
      <c r="B2117">
        <v>102117</v>
      </c>
      <c r="C2117">
        <v>1000</v>
      </c>
    </row>
    <row r="2118" spans="1:3">
      <c r="A2118" t="s">
        <v>3906</v>
      </c>
      <c r="B2118">
        <v>102118</v>
      </c>
      <c r="C2118">
        <v>1000</v>
      </c>
    </row>
    <row r="2119" spans="1:3">
      <c r="A2119" t="s">
        <v>3907</v>
      </c>
      <c r="B2119">
        <v>102119</v>
      </c>
      <c r="C2119">
        <v>1000</v>
      </c>
    </row>
    <row r="2120" spans="1:3">
      <c r="A2120" t="s">
        <v>3908</v>
      </c>
      <c r="B2120">
        <v>102120</v>
      </c>
      <c r="C2120">
        <v>1000</v>
      </c>
    </row>
    <row r="2121" spans="1:3">
      <c r="A2121" t="s">
        <v>3909</v>
      </c>
      <c r="B2121">
        <v>102121</v>
      </c>
      <c r="C2121">
        <v>1000</v>
      </c>
    </row>
    <row r="2122" spans="1:3">
      <c r="A2122" t="s">
        <v>3910</v>
      </c>
      <c r="B2122">
        <v>102122</v>
      </c>
      <c r="C2122">
        <v>1000</v>
      </c>
    </row>
    <row r="2123" spans="1:3">
      <c r="A2123" t="s">
        <v>3911</v>
      </c>
      <c r="B2123">
        <v>102123</v>
      </c>
      <c r="C2123">
        <v>1000</v>
      </c>
    </row>
    <row r="2124" spans="1:3">
      <c r="A2124" t="s">
        <v>3912</v>
      </c>
      <c r="B2124">
        <v>102124</v>
      </c>
      <c r="C2124">
        <v>1000</v>
      </c>
    </row>
    <row r="2125" spans="1:3">
      <c r="A2125" t="s">
        <v>3913</v>
      </c>
      <c r="B2125">
        <v>102125</v>
      </c>
      <c r="C2125">
        <v>1000</v>
      </c>
    </row>
    <row r="2126" spans="1:3">
      <c r="A2126" t="s">
        <v>3914</v>
      </c>
      <c r="B2126">
        <v>102126</v>
      </c>
      <c r="C2126">
        <v>1000</v>
      </c>
    </row>
    <row r="2127" spans="1:3">
      <c r="A2127" t="s">
        <v>3915</v>
      </c>
      <c r="B2127">
        <v>102127</v>
      </c>
      <c r="C2127">
        <v>1000</v>
      </c>
    </row>
    <row r="2128" spans="1:3">
      <c r="A2128" t="s">
        <v>3916</v>
      </c>
      <c r="B2128">
        <v>102128</v>
      </c>
      <c r="C2128">
        <v>1000</v>
      </c>
    </row>
    <row r="2129" spans="1:3">
      <c r="A2129" t="s">
        <v>3917</v>
      </c>
      <c r="B2129">
        <v>102129</v>
      </c>
      <c r="C2129">
        <v>1000</v>
      </c>
    </row>
    <row r="2130" spans="1:3">
      <c r="A2130" t="s">
        <v>3918</v>
      </c>
      <c r="B2130">
        <v>102130</v>
      </c>
      <c r="C2130">
        <v>1000</v>
      </c>
    </row>
    <row r="2131" spans="1:3">
      <c r="A2131" t="s">
        <v>3919</v>
      </c>
      <c r="B2131">
        <v>102131</v>
      </c>
      <c r="C2131">
        <v>1000</v>
      </c>
    </row>
    <row r="2132" spans="1:3">
      <c r="A2132" t="s">
        <v>3920</v>
      </c>
      <c r="B2132">
        <v>102132</v>
      </c>
      <c r="C2132">
        <v>1000</v>
      </c>
    </row>
    <row r="2133" spans="1:3">
      <c r="A2133" t="s">
        <v>3921</v>
      </c>
      <c r="B2133">
        <v>102133</v>
      </c>
      <c r="C2133">
        <v>1000</v>
      </c>
    </row>
    <row r="2134" spans="1:3">
      <c r="A2134" t="s">
        <v>3922</v>
      </c>
      <c r="B2134">
        <v>102134</v>
      </c>
      <c r="C2134">
        <v>1000</v>
      </c>
    </row>
    <row r="2135" spans="1:3">
      <c r="A2135" t="s">
        <v>3923</v>
      </c>
      <c r="B2135">
        <v>102135</v>
      </c>
      <c r="C2135">
        <v>1000</v>
      </c>
    </row>
    <row r="2136" spans="1:3">
      <c r="A2136" t="s">
        <v>3924</v>
      </c>
      <c r="B2136">
        <v>102136</v>
      </c>
      <c r="C2136">
        <v>1000</v>
      </c>
    </row>
    <row r="2137" spans="1:3">
      <c r="A2137" t="s">
        <v>3925</v>
      </c>
      <c r="B2137">
        <v>102137</v>
      </c>
      <c r="C2137">
        <v>1000</v>
      </c>
    </row>
    <row r="2138" spans="1:3">
      <c r="A2138" t="s">
        <v>3926</v>
      </c>
      <c r="B2138">
        <v>102138</v>
      </c>
      <c r="C2138">
        <v>1000</v>
      </c>
    </row>
    <row r="2139" spans="1:3">
      <c r="A2139" t="s">
        <v>3927</v>
      </c>
      <c r="B2139">
        <v>102139</v>
      </c>
      <c r="C2139">
        <v>1000</v>
      </c>
    </row>
    <row r="2140" spans="1:3">
      <c r="A2140" t="s">
        <v>3928</v>
      </c>
      <c r="B2140">
        <v>102140</v>
      </c>
      <c r="C2140">
        <v>1000</v>
      </c>
    </row>
    <row r="2141" spans="1:3">
      <c r="A2141" t="s">
        <v>3929</v>
      </c>
      <c r="B2141">
        <v>102141</v>
      </c>
      <c r="C2141">
        <v>1000</v>
      </c>
    </row>
    <row r="2142" spans="1:3">
      <c r="A2142" t="s">
        <v>3930</v>
      </c>
      <c r="B2142">
        <v>102142</v>
      </c>
      <c r="C2142">
        <v>1000</v>
      </c>
    </row>
    <row r="2143" spans="1:3">
      <c r="A2143" t="s">
        <v>3931</v>
      </c>
      <c r="B2143">
        <v>102143</v>
      </c>
      <c r="C2143">
        <v>1000</v>
      </c>
    </row>
    <row r="2144" spans="1:3">
      <c r="A2144" t="s">
        <v>3932</v>
      </c>
      <c r="B2144">
        <v>102144</v>
      </c>
      <c r="C2144">
        <v>1000</v>
      </c>
    </row>
    <row r="2145" spans="1:3">
      <c r="A2145" t="s">
        <v>3933</v>
      </c>
      <c r="B2145">
        <v>102145</v>
      </c>
      <c r="C2145">
        <v>1000</v>
      </c>
    </row>
    <row r="2146" spans="1:3">
      <c r="A2146" t="s">
        <v>3934</v>
      </c>
      <c r="B2146">
        <v>102146</v>
      </c>
      <c r="C2146">
        <v>1000</v>
      </c>
    </row>
    <row r="2147" spans="1:3">
      <c r="A2147" t="s">
        <v>3935</v>
      </c>
      <c r="B2147">
        <v>102147</v>
      </c>
      <c r="C2147">
        <v>1000</v>
      </c>
    </row>
    <row r="2148" spans="1:3">
      <c r="A2148" t="s">
        <v>3936</v>
      </c>
      <c r="B2148">
        <v>102148</v>
      </c>
      <c r="C2148">
        <v>1000</v>
      </c>
    </row>
    <row r="2149" spans="1:3">
      <c r="A2149" t="s">
        <v>3937</v>
      </c>
      <c r="B2149">
        <v>102149</v>
      </c>
      <c r="C2149">
        <v>1000</v>
      </c>
    </row>
    <row r="2150" spans="1:3">
      <c r="A2150" t="s">
        <v>3938</v>
      </c>
      <c r="B2150">
        <v>102150</v>
      </c>
      <c r="C2150">
        <v>1000</v>
      </c>
    </row>
    <row r="2151" spans="1:3">
      <c r="A2151" t="s">
        <v>3939</v>
      </c>
      <c r="B2151">
        <v>102151</v>
      </c>
      <c r="C2151">
        <v>1000</v>
      </c>
    </row>
    <row r="2152" spans="1:3">
      <c r="A2152" t="s">
        <v>3940</v>
      </c>
      <c r="B2152">
        <v>102152</v>
      </c>
      <c r="C2152">
        <v>1000</v>
      </c>
    </row>
    <row r="2153" spans="1:3">
      <c r="A2153" t="s">
        <v>3941</v>
      </c>
      <c r="B2153">
        <v>102153</v>
      </c>
      <c r="C2153">
        <v>1000</v>
      </c>
    </row>
    <row r="2154" spans="1:3">
      <c r="A2154" t="s">
        <v>3942</v>
      </c>
      <c r="B2154">
        <v>102154</v>
      </c>
      <c r="C2154">
        <v>1000</v>
      </c>
    </row>
    <row r="2155" spans="1:3">
      <c r="A2155" t="s">
        <v>3943</v>
      </c>
      <c r="B2155">
        <v>102155</v>
      </c>
      <c r="C2155">
        <v>1000</v>
      </c>
    </row>
    <row r="2156" spans="1:3">
      <c r="A2156" t="s">
        <v>3944</v>
      </c>
      <c r="B2156">
        <v>102156</v>
      </c>
      <c r="C2156">
        <v>1000</v>
      </c>
    </row>
    <row r="2157" spans="1:3">
      <c r="A2157" t="s">
        <v>3945</v>
      </c>
      <c r="B2157">
        <v>102157</v>
      </c>
      <c r="C2157">
        <v>1000</v>
      </c>
    </row>
    <row r="2158" spans="1:3">
      <c r="A2158" t="s">
        <v>3946</v>
      </c>
      <c r="B2158">
        <v>102158</v>
      </c>
      <c r="C2158">
        <v>1000</v>
      </c>
    </row>
    <row r="2159" spans="1:3">
      <c r="A2159" t="s">
        <v>3947</v>
      </c>
      <c r="B2159">
        <v>102159</v>
      </c>
      <c r="C2159">
        <v>1000</v>
      </c>
    </row>
    <row r="2160" spans="1:3">
      <c r="A2160" t="s">
        <v>3948</v>
      </c>
      <c r="B2160">
        <v>102160</v>
      </c>
      <c r="C2160">
        <v>1000</v>
      </c>
    </row>
    <row r="2161" spans="1:3">
      <c r="A2161" t="s">
        <v>3949</v>
      </c>
      <c r="B2161">
        <v>102161</v>
      </c>
      <c r="C2161">
        <v>1000</v>
      </c>
    </row>
    <row r="2162" spans="1:3">
      <c r="A2162" t="s">
        <v>3950</v>
      </c>
      <c r="B2162">
        <v>102162</v>
      </c>
      <c r="C2162">
        <v>1000</v>
      </c>
    </row>
    <row r="2163" spans="1:3">
      <c r="A2163" t="s">
        <v>3951</v>
      </c>
      <c r="B2163">
        <v>102163</v>
      </c>
      <c r="C2163">
        <v>1000</v>
      </c>
    </row>
    <row r="2164" spans="1:3">
      <c r="A2164" t="s">
        <v>3952</v>
      </c>
      <c r="B2164">
        <v>102164</v>
      </c>
      <c r="C2164">
        <v>1000</v>
      </c>
    </row>
    <row r="2165" spans="1:3">
      <c r="A2165" t="s">
        <v>3953</v>
      </c>
      <c r="B2165">
        <v>102165</v>
      </c>
      <c r="C2165">
        <v>1000</v>
      </c>
    </row>
    <row r="2166" spans="1:3">
      <c r="A2166" t="s">
        <v>3954</v>
      </c>
      <c r="B2166">
        <v>102166</v>
      </c>
      <c r="C2166">
        <v>1000</v>
      </c>
    </row>
    <row r="2167" spans="1:3">
      <c r="A2167" t="s">
        <v>3955</v>
      </c>
      <c r="B2167">
        <v>102167</v>
      </c>
      <c r="C2167">
        <v>1000</v>
      </c>
    </row>
    <row r="2168" spans="1:3">
      <c r="A2168" t="s">
        <v>3956</v>
      </c>
      <c r="B2168">
        <v>104103</v>
      </c>
      <c r="C2168">
        <v>1400</v>
      </c>
    </row>
    <row r="2169" spans="1:3">
      <c r="A2169" t="s">
        <v>3957</v>
      </c>
      <c r="B2169">
        <v>104107</v>
      </c>
      <c r="C2169">
        <v>1000</v>
      </c>
    </row>
    <row r="2170" spans="1:3">
      <c r="A2170" t="s">
        <v>3958</v>
      </c>
      <c r="B2170">
        <v>105001</v>
      </c>
      <c r="C2170">
        <v>1000</v>
      </c>
    </row>
    <row r="2171" spans="1:3">
      <c r="A2171" t="s">
        <v>3959</v>
      </c>
      <c r="B2171">
        <v>105002</v>
      </c>
      <c r="C2171">
        <v>1000</v>
      </c>
    </row>
    <row r="2172" spans="1:3">
      <c r="A2172" t="s">
        <v>3960</v>
      </c>
      <c r="B2172">
        <v>105003</v>
      </c>
      <c r="C2172">
        <v>1000</v>
      </c>
    </row>
    <row r="2173" spans="1:3">
      <c r="A2173" t="s">
        <v>3961</v>
      </c>
      <c r="B2173">
        <v>105004</v>
      </c>
      <c r="C2173">
        <v>1000</v>
      </c>
    </row>
    <row r="2174" spans="1:3">
      <c r="A2174" t="s">
        <v>3962</v>
      </c>
      <c r="B2174">
        <v>105005</v>
      </c>
      <c r="C2174">
        <v>1000</v>
      </c>
    </row>
    <row r="2175" spans="1:3">
      <c r="A2175" t="s">
        <v>3963</v>
      </c>
      <c r="B2175">
        <v>105006</v>
      </c>
      <c r="C2175">
        <v>1000</v>
      </c>
    </row>
    <row r="2176" spans="1:3">
      <c r="A2176" t="s">
        <v>3964</v>
      </c>
      <c r="B2176">
        <v>105007</v>
      </c>
      <c r="C2176">
        <v>1000</v>
      </c>
    </row>
    <row r="2177" spans="1:3">
      <c r="A2177" t="s">
        <v>3965</v>
      </c>
      <c r="B2177">
        <v>105008</v>
      </c>
      <c r="C2177">
        <v>1000</v>
      </c>
    </row>
    <row r="2178" spans="1:3">
      <c r="A2178" t="s">
        <v>3966</v>
      </c>
      <c r="B2178">
        <v>105009</v>
      </c>
      <c r="C2178">
        <v>1000</v>
      </c>
    </row>
    <row r="2179" spans="1:3">
      <c r="A2179" t="s">
        <v>3967</v>
      </c>
      <c r="B2179">
        <v>105010</v>
      </c>
      <c r="C2179">
        <v>1000</v>
      </c>
    </row>
    <row r="2180" spans="1:3">
      <c r="A2180" t="s">
        <v>3968</v>
      </c>
      <c r="B2180">
        <v>105011</v>
      </c>
      <c r="C2180">
        <v>1000</v>
      </c>
    </row>
    <row r="2181" spans="1:3">
      <c r="A2181" t="s">
        <v>3969</v>
      </c>
      <c r="B2181">
        <v>105012</v>
      </c>
      <c r="C2181">
        <v>1000</v>
      </c>
    </row>
    <row r="2182" spans="1:3">
      <c r="A2182" t="s">
        <v>3970</v>
      </c>
      <c r="B2182">
        <v>105013</v>
      </c>
      <c r="C2182">
        <v>1000</v>
      </c>
    </row>
    <row r="2183" spans="1:3">
      <c r="A2183" t="s">
        <v>3971</v>
      </c>
      <c r="B2183">
        <v>105014</v>
      </c>
      <c r="C2183">
        <v>1000</v>
      </c>
    </row>
    <row r="2184" spans="1:3">
      <c r="A2184" t="s">
        <v>3972</v>
      </c>
      <c r="B2184">
        <v>105015</v>
      </c>
      <c r="C2184">
        <v>1000</v>
      </c>
    </row>
    <row r="2185" spans="1:3">
      <c r="A2185" t="s">
        <v>3973</v>
      </c>
      <c r="B2185">
        <v>105016</v>
      </c>
      <c r="C2185">
        <v>1000</v>
      </c>
    </row>
    <row r="2186" spans="1:3">
      <c r="A2186" t="s">
        <v>3974</v>
      </c>
      <c r="B2186">
        <v>105017</v>
      </c>
      <c r="C2186">
        <v>1000</v>
      </c>
    </row>
    <row r="2187" spans="1:3">
      <c r="A2187" t="s">
        <v>3975</v>
      </c>
      <c r="B2187">
        <v>105018</v>
      </c>
      <c r="C2187">
        <v>1000</v>
      </c>
    </row>
    <row r="2188" spans="1:3">
      <c r="A2188" t="s">
        <v>639</v>
      </c>
      <c r="B2188">
        <v>105019</v>
      </c>
      <c r="C2188">
        <v>1000</v>
      </c>
    </row>
    <row r="2189" spans="1:3">
      <c r="A2189" t="s">
        <v>3976</v>
      </c>
      <c r="B2189">
        <v>105020</v>
      </c>
      <c r="C2189">
        <v>1000</v>
      </c>
    </row>
    <row r="2190" spans="1:3">
      <c r="A2190" t="s">
        <v>3977</v>
      </c>
      <c r="B2190">
        <v>105021</v>
      </c>
      <c r="C2190">
        <v>1000</v>
      </c>
    </row>
    <row r="2191" spans="1:3">
      <c r="A2191" t="s">
        <v>3978</v>
      </c>
      <c r="B2191">
        <v>105022</v>
      </c>
      <c r="C2191">
        <v>1000</v>
      </c>
    </row>
    <row r="2192" spans="1:3">
      <c r="A2192" t="s">
        <v>3979</v>
      </c>
      <c r="B2192">
        <v>105023</v>
      </c>
      <c r="C2192">
        <v>1000</v>
      </c>
    </row>
    <row r="2193" spans="1:3">
      <c r="A2193" t="s">
        <v>3980</v>
      </c>
      <c r="B2193">
        <v>105025</v>
      </c>
      <c r="C2193">
        <v>1000</v>
      </c>
    </row>
    <row r="2194" spans="1:3">
      <c r="A2194" t="s">
        <v>3981</v>
      </c>
      <c r="B2194">
        <v>105026</v>
      </c>
      <c r="C2194">
        <v>1000</v>
      </c>
    </row>
    <row r="2195" spans="1:3">
      <c r="A2195" t="s">
        <v>715</v>
      </c>
      <c r="B2195">
        <v>105027</v>
      </c>
      <c r="C2195">
        <v>1000</v>
      </c>
    </row>
    <row r="2196" spans="1:3">
      <c r="A2196" t="s">
        <v>3982</v>
      </c>
      <c r="B2196">
        <v>105028</v>
      </c>
      <c r="C2196">
        <v>1000</v>
      </c>
    </row>
    <row r="2197" spans="1:3">
      <c r="A2197" t="s">
        <v>3983</v>
      </c>
      <c r="B2197">
        <v>105029</v>
      </c>
      <c r="C2197">
        <v>1000</v>
      </c>
    </row>
    <row r="2198" spans="1:3">
      <c r="A2198" t="s">
        <v>3984</v>
      </c>
      <c r="B2198">
        <v>105030</v>
      </c>
      <c r="C2198">
        <v>1000</v>
      </c>
    </row>
    <row r="2199" spans="1:3">
      <c r="A2199" t="s">
        <v>3985</v>
      </c>
      <c r="B2199">
        <v>105031</v>
      </c>
      <c r="C2199">
        <v>1000</v>
      </c>
    </row>
    <row r="2200" spans="1:3">
      <c r="A2200" t="s">
        <v>3986</v>
      </c>
      <c r="B2200">
        <v>105032</v>
      </c>
      <c r="C2200">
        <v>1000</v>
      </c>
    </row>
    <row r="2201" spans="1:3">
      <c r="A2201" t="s">
        <v>3987</v>
      </c>
      <c r="B2201">
        <v>105033</v>
      </c>
      <c r="C2201">
        <v>1000</v>
      </c>
    </row>
    <row r="2202" spans="1:3">
      <c r="A2202" t="s">
        <v>3988</v>
      </c>
      <c r="B2202">
        <v>105034</v>
      </c>
      <c r="C2202">
        <v>1000</v>
      </c>
    </row>
    <row r="2203" spans="1:3">
      <c r="A2203" t="s">
        <v>3989</v>
      </c>
      <c r="B2203">
        <v>105035</v>
      </c>
      <c r="C2203">
        <v>1000</v>
      </c>
    </row>
    <row r="2204" spans="1:3">
      <c r="A2204" t="s">
        <v>3990</v>
      </c>
      <c r="B2204">
        <v>105036</v>
      </c>
      <c r="C2204">
        <v>1000</v>
      </c>
    </row>
    <row r="2205" spans="1:3">
      <c r="A2205" t="s">
        <v>3991</v>
      </c>
      <c r="B2205">
        <v>105037</v>
      </c>
      <c r="C2205">
        <v>1000</v>
      </c>
    </row>
    <row r="2206" spans="1:3">
      <c r="A2206" t="s">
        <v>3992</v>
      </c>
      <c r="B2206">
        <v>105038</v>
      </c>
      <c r="C2206">
        <v>1000</v>
      </c>
    </row>
    <row r="2207" spans="1:3">
      <c r="A2207" t="s">
        <v>3993</v>
      </c>
      <c r="B2207">
        <v>105039</v>
      </c>
      <c r="C2207">
        <v>1000</v>
      </c>
    </row>
    <row r="2208" spans="1:3">
      <c r="A2208" t="s">
        <v>3994</v>
      </c>
      <c r="B2208">
        <v>105045</v>
      </c>
      <c r="C2208">
        <v>1000</v>
      </c>
    </row>
    <row r="2209" spans="1:3">
      <c r="A2209" t="s">
        <v>3995</v>
      </c>
      <c r="B2209">
        <v>105046</v>
      </c>
      <c r="C2209">
        <v>1000</v>
      </c>
    </row>
    <row r="2210" spans="1:3">
      <c r="A2210" t="s">
        <v>3996</v>
      </c>
      <c r="B2210">
        <v>105047</v>
      </c>
      <c r="C2210">
        <v>1000</v>
      </c>
    </row>
    <row r="2211" spans="1:3">
      <c r="A2211" t="s">
        <v>3997</v>
      </c>
      <c r="B2211">
        <v>105052</v>
      </c>
      <c r="C2211">
        <v>1000</v>
      </c>
    </row>
    <row r="2212" spans="1:3">
      <c r="A2212" t="s">
        <v>3998</v>
      </c>
      <c r="B2212">
        <v>105053</v>
      </c>
      <c r="C2212">
        <v>1000</v>
      </c>
    </row>
    <row r="2213" spans="1:3">
      <c r="A2213" t="s">
        <v>3999</v>
      </c>
      <c r="B2213">
        <v>105054</v>
      </c>
      <c r="C2213">
        <v>1000</v>
      </c>
    </row>
    <row r="2214" spans="1:3">
      <c r="A2214" t="s">
        <v>4000</v>
      </c>
      <c r="B2214">
        <v>105055</v>
      </c>
      <c r="C2214">
        <v>1000</v>
      </c>
    </row>
    <row r="2215" spans="1:3">
      <c r="A2215" t="s">
        <v>4001</v>
      </c>
      <c r="B2215">
        <v>105056</v>
      </c>
      <c r="C2215">
        <v>1000</v>
      </c>
    </row>
    <row r="2216" spans="1:3">
      <c r="A2216" t="s">
        <v>4002</v>
      </c>
      <c r="B2216">
        <v>105057</v>
      </c>
      <c r="C2216">
        <v>1000</v>
      </c>
    </row>
    <row r="2217" spans="1:3">
      <c r="A2217" t="s">
        <v>4003</v>
      </c>
      <c r="B2217">
        <v>105058</v>
      </c>
      <c r="C2217">
        <v>1000</v>
      </c>
    </row>
    <row r="2218" spans="1:3">
      <c r="A2218" t="s">
        <v>4004</v>
      </c>
      <c r="B2218">
        <v>107001</v>
      </c>
      <c r="C2218">
        <v>1000</v>
      </c>
    </row>
    <row r="2219" spans="1:3">
      <c r="A2219" t="s">
        <v>4005</v>
      </c>
      <c r="B2219">
        <v>107002</v>
      </c>
      <c r="C2219">
        <v>1000</v>
      </c>
    </row>
    <row r="2220" spans="1:3">
      <c r="A2220" t="s">
        <v>4006</v>
      </c>
      <c r="B2220">
        <v>107003</v>
      </c>
      <c r="C2220">
        <v>1000</v>
      </c>
    </row>
    <row r="2221" spans="1:3">
      <c r="A2221" t="s">
        <v>4007</v>
      </c>
      <c r="B2221">
        <v>107004</v>
      </c>
      <c r="C2221">
        <v>1000</v>
      </c>
    </row>
    <row r="2222" spans="1:3">
      <c r="A2222" t="s">
        <v>1657</v>
      </c>
      <c r="B2222">
        <v>107005</v>
      </c>
      <c r="C2222">
        <v>1000</v>
      </c>
    </row>
    <row r="2223" spans="1:3">
      <c r="A2223" t="s">
        <v>4008</v>
      </c>
      <c r="B2223">
        <v>107006</v>
      </c>
      <c r="C2223">
        <v>1000</v>
      </c>
    </row>
    <row r="2224" spans="1:3">
      <c r="A2224" t="s">
        <v>4009</v>
      </c>
      <c r="B2224">
        <v>107007</v>
      </c>
      <c r="C2224">
        <v>1000</v>
      </c>
    </row>
    <row r="2225" spans="1:3">
      <c r="A2225" t="s">
        <v>4010</v>
      </c>
      <c r="B2225">
        <v>107008</v>
      </c>
      <c r="C2225">
        <v>1000</v>
      </c>
    </row>
    <row r="2226" spans="1:3">
      <c r="A2226" t="s">
        <v>4011</v>
      </c>
      <c r="B2226">
        <v>107009</v>
      </c>
      <c r="C2226">
        <v>1000</v>
      </c>
    </row>
    <row r="2227" spans="1:3">
      <c r="A2227" t="s">
        <v>4012</v>
      </c>
      <c r="B2227">
        <v>107010</v>
      </c>
      <c r="C2227">
        <v>1000</v>
      </c>
    </row>
    <row r="2228" spans="1:3">
      <c r="A2228" t="s">
        <v>4013</v>
      </c>
      <c r="B2228">
        <v>107011</v>
      </c>
      <c r="C2228">
        <v>1000</v>
      </c>
    </row>
    <row r="2229" spans="1:3">
      <c r="A2229" t="s">
        <v>4014</v>
      </c>
      <c r="B2229">
        <v>107012</v>
      </c>
      <c r="C2229">
        <v>1000</v>
      </c>
    </row>
    <row r="2230" spans="1:3">
      <c r="A2230" t="s">
        <v>4015</v>
      </c>
      <c r="B2230">
        <v>107013</v>
      </c>
      <c r="C2230">
        <v>1000</v>
      </c>
    </row>
    <row r="2231" spans="1:3">
      <c r="A2231" t="s">
        <v>4016</v>
      </c>
      <c r="B2231">
        <v>107014</v>
      </c>
      <c r="C2231">
        <v>1000</v>
      </c>
    </row>
    <row r="2232" spans="1:3">
      <c r="A2232" t="s">
        <v>4017</v>
      </c>
      <c r="B2232">
        <v>107015</v>
      </c>
      <c r="C2232">
        <v>1000</v>
      </c>
    </row>
    <row r="2233" spans="1:3">
      <c r="A2233" t="s">
        <v>4018</v>
      </c>
      <c r="B2233">
        <v>107016</v>
      </c>
      <c r="C2233">
        <v>1000</v>
      </c>
    </row>
    <row r="2234" spans="1:3">
      <c r="A2234" t="s">
        <v>691</v>
      </c>
      <c r="B2234">
        <v>107017</v>
      </c>
      <c r="C2234">
        <v>1000</v>
      </c>
    </row>
    <row r="2235" spans="1:3">
      <c r="A2235" t="s">
        <v>4019</v>
      </c>
      <c r="B2235">
        <v>107018</v>
      </c>
      <c r="C2235">
        <v>1000</v>
      </c>
    </row>
    <row r="2236" spans="1:3">
      <c r="A2236" t="s">
        <v>4020</v>
      </c>
      <c r="B2236">
        <v>107019</v>
      </c>
      <c r="C2236">
        <v>1000</v>
      </c>
    </row>
    <row r="2237" spans="1:3">
      <c r="A2237" t="s">
        <v>4021</v>
      </c>
      <c r="B2237">
        <v>107020</v>
      </c>
      <c r="C2237">
        <v>1000</v>
      </c>
    </row>
    <row r="2238" spans="1:3">
      <c r="A2238" t="s">
        <v>4022</v>
      </c>
      <c r="B2238">
        <v>107021</v>
      </c>
      <c r="C2238">
        <v>1000</v>
      </c>
    </row>
    <row r="2239" spans="1:3">
      <c r="A2239" t="s">
        <v>4023</v>
      </c>
      <c r="B2239">
        <v>107022</v>
      </c>
      <c r="C2239">
        <v>1000</v>
      </c>
    </row>
    <row r="2240" spans="1:3">
      <c r="A2240" t="s">
        <v>4024</v>
      </c>
      <c r="B2240">
        <v>107023</v>
      </c>
      <c r="C2240">
        <v>1000</v>
      </c>
    </row>
    <row r="2241" spans="1:3">
      <c r="A2241" t="s">
        <v>4025</v>
      </c>
      <c r="B2241">
        <v>110001</v>
      </c>
      <c r="C2241">
        <v>1100</v>
      </c>
    </row>
    <row r="2242" spans="1:3">
      <c r="A2242" t="s">
        <v>4026</v>
      </c>
      <c r="B2242">
        <v>110002</v>
      </c>
      <c r="C2242">
        <v>1100</v>
      </c>
    </row>
    <row r="2243" spans="1:3">
      <c r="A2243" t="s">
        <v>4027</v>
      </c>
      <c r="B2243">
        <v>110003</v>
      </c>
      <c r="C2243">
        <v>1100</v>
      </c>
    </row>
    <row r="2244" spans="1:3">
      <c r="A2244" t="s">
        <v>4028</v>
      </c>
      <c r="B2244">
        <v>110004</v>
      </c>
      <c r="C2244">
        <v>1100</v>
      </c>
    </row>
    <row r="2245" spans="1:3">
      <c r="A2245" t="s">
        <v>4029</v>
      </c>
      <c r="B2245">
        <v>110005</v>
      </c>
      <c r="C2245">
        <v>1100</v>
      </c>
    </row>
    <row r="2246" spans="1:3">
      <c r="A2246" t="s">
        <v>4030</v>
      </c>
      <c r="B2246">
        <v>110006</v>
      </c>
      <c r="C2246">
        <v>1100</v>
      </c>
    </row>
    <row r="2247" spans="1:3">
      <c r="A2247" t="s">
        <v>4031</v>
      </c>
      <c r="B2247">
        <v>110007</v>
      </c>
      <c r="C2247">
        <v>1100</v>
      </c>
    </row>
    <row r="2248" spans="1:3">
      <c r="A2248" t="s">
        <v>4032</v>
      </c>
      <c r="B2248">
        <v>110008</v>
      </c>
      <c r="C2248">
        <v>1100</v>
      </c>
    </row>
    <row r="2249" spans="1:3">
      <c r="A2249" t="s">
        <v>4033</v>
      </c>
      <c r="B2249">
        <v>110009</v>
      </c>
      <c r="C2249">
        <v>1100</v>
      </c>
    </row>
    <row r="2250" spans="1:3">
      <c r="A2250" t="s">
        <v>4034</v>
      </c>
      <c r="B2250">
        <v>110010</v>
      </c>
      <c r="C2250">
        <v>1100</v>
      </c>
    </row>
    <row r="2251" spans="1:3">
      <c r="A2251" t="s">
        <v>4035</v>
      </c>
      <c r="B2251">
        <v>110011</v>
      </c>
      <c r="C2251">
        <v>1100</v>
      </c>
    </row>
    <row r="2252" spans="1:3">
      <c r="A2252" t="s">
        <v>4036</v>
      </c>
      <c r="B2252">
        <v>110012</v>
      </c>
      <c r="C2252">
        <v>1100</v>
      </c>
    </row>
    <row r="2253" spans="1:3">
      <c r="A2253" t="s">
        <v>4037</v>
      </c>
      <c r="B2253">
        <v>110013</v>
      </c>
      <c r="C2253">
        <v>1100</v>
      </c>
    </row>
    <row r="2254" spans="1:3">
      <c r="A2254" t="s">
        <v>4038</v>
      </c>
      <c r="B2254">
        <v>110014</v>
      </c>
      <c r="C2254">
        <v>1100</v>
      </c>
    </row>
    <row r="2255" spans="1:3">
      <c r="A2255" t="s">
        <v>4039</v>
      </c>
      <c r="B2255">
        <v>110015</v>
      </c>
      <c r="C2255">
        <v>1100</v>
      </c>
    </row>
    <row r="2256" spans="1:3">
      <c r="A2256" t="s">
        <v>4040</v>
      </c>
      <c r="B2256">
        <v>110016</v>
      </c>
      <c r="C2256">
        <v>1100</v>
      </c>
    </row>
    <row r="2257" spans="1:3">
      <c r="A2257" t="s">
        <v>4041</v>
      </c>
      <c r="B2257">
        <v>110017</v>
      </c>
      <c r="C2257">
        <v>1100</v>
      </c>
    </row>
    <row r="2258" spans="1:3">
      <c r="A2258" t="s">
        <v>4042</v>
      </c>
      <c r="B2258">
        <v>110018</v>
      </c>
      <c r="C2258">
        <v>1100</v>
      </c>
    </row>
    <row r="2259" spans="1:3">
      <c r="A2259" t="s">
        <v>4043</v>
      </c>
      <c r="B2259">
        <v>110019</v>
      </c>
      <c r="C2259">
        <v>1100</v>
      </c>
    </row>
    <row r="2260" spans="1:3">
      <c r="A2260" t="s">
        <v>4044</v>
      </c>
      <c r="B2260">
        <v>110020</v>
      </c>
      <c r="C2260">
        <v>1100</v>
      </c>
    </row>
    <row r="2261" spans="1:3">
      <c r="A2261" t="s">
        <v>4045</v>
      </c>
      <c r="B2261">
        <v>110021</v>
      </c>
      <c r="C2261">
        <v>1100</v>
      </c>
    </row>
    <row r="2262" spans="1:3">
      <c r="A2262" t="s">
        <v>4046</v>
      </c>
      <c r="B2262">
        <v>110022</v>
      </c>
      <c r="C2262">
        <v>1100</v>
      </c>
    </row>
    <row r="2263" spans="1:3">
      <c r="A2263" t="s">
        <v>4047</v>
      </c>
      <c r="B2263">
        <v>110023</v>
      </c>
      <c r="C2263">
        <v>1100</v>
      </c>
    </row>
    <row r="2264" spans="1:3">
      <c r="A2264" t="s">
        <v>604</v>
      </c>
      <c r="B2264">
        <v>110024</v>
      </c>
      <c r="C2264">
        <v>1100</v>
      </c>
    </row>
    <row r="2265" spans="1:3">
      <c r="A2265" t="s">
        <v>4048</v>
      </c>
      <c r="B2265">
        <v>110025</v>
      </c>
      <c r="C2265">
        <v>1100</v>
      </c>
    </row>
    <row r="2266" spans="1:3">
      <c r="A2266" t="s">
        <v>4049</v>
      </c>
      <c r="B2266">
        <v>110026</v>
      </c>
      <c r="C2266">
        <v>1100</v>
      </c>
    </row>
    <row r="2267" spans="1:3">
      <c r="A2267" t="s">
        <v>4050</v>
      </c>
      <c r="B2267">
        <v>110027</v>
      </c>
      <c r="C2267">
        <v>1100</v>
      </c>
    </row>
    <row r="2268" spans="1:3">
      <c r="A2268" t="s">
        <v>4051</v>
      </c>
      <c r="B2268">
        <v>110028</v>
      </c>
      <c r="C2268">
        <v>1100</v>
      </c>
    </row>
    <row r="2269" spans="1:3">
      <c r="A2269" t="s">
        <v>4052</v>
      </c>
      <c r="B2269">
        <v>110029</v>
      </c>
      <c r="C2269">
        <v>1100</v>
      </c>
    </row>
    <row r="2270" spans="1:3">
      <c r="A2270" t="s">
        <v>4053</v>
      </c>
      <c r="B2270">
        <v>110030</v>
      </c>
      <c r="C2270">
        <v>1100</v>
      </c>
    </row>
    <row r="2271" spans="1:3">
      <c r="A2271" t="s">
        <v>4054</v>
      </c>
      <c r="B2271">
        <v>110031</v>
      </c>
      <c r="C2271">
        <v>1100</v>
      </c>
    </row>
    <row r="2272" spans="1:3">
      <c r="A2272" t="s">
        <v>4055</v>
      </c>
      <c r="B2272">
        <v>110032</v>
      </c>
      <c r="C2272">
        <v>1100</v>
      </c>
    </row>
    <row r="2273" spans="1:3">
      <c r="A2273" t="s">
        <v>4056</v>
      </c>
      <c r="B2273">
        <v>110033</v>
      </c>
      <c r="C2273">
        <v>1100</v>
      </c>
    </row>
    <row r="2274" spans="1:3">
      <c r="A2274" t="s">
        <v>4057</v>
      </c>
      <c r="B2274">
        <v>110034</v>
      </c>
      <c r="C2274">
        <v>1100</v>
      </c>
    </row>
    <row r="2275" spans="1:3">
      <c r="A2275" t="s">
        <v>4058</v>
      </c>
      <c r="B2275">
        <v>110035</v>
      </c>
      <c r="C2275">
        <v>1100</v>
      </c>
    </row>
    <row r="2276" spans="1:3">
      <c r="A2276" t="s">
        <v>4059</v>
      </c>
      <c r="B2276">
        <v>110036</v>
      </c>
      <c r="C2276">
        <v>1100</v>
      </c>
    </row>
    <row r="2277" spans="1:3">
      <c r="A2277" t="s">
        <v>4060</v>
      </c>
      <c r="B2277">
        <v>110037</v>
      </c>
      <c r="C2277">
        <v>1100</v>
      </c>
    </row>
    <row r="2278" spans="1:3">
      <c r="A2278" t="s">
        <v>4061</v>
      </c>
      <c r="B2278">
        <v>110038</v>
      </c>
      <c r="C2278">
        <v>1100</v>
      </c>
    </row>
    <row r="2279" spans="1:3">
      <c r="A2279" t="s">
        <v>4062</v>
      </c>
      <c r="B2279">
        <v>110039</v>
      </c>
      <c r="C2279">
        <v>1100</v>
      </c>
    </row>
    <row r="2280" spans="1:3">
      <c r="A2280" t="s">
        <v>4063</v>
      </c>
      <c r="B2280">
        <v>110040</v>
      </c>
      <c r="C2280">
        <v>1100</v>
      </c>
    </row>
    <row r="2281" spans="1:3">
      <c r="A2281" t="s">
        <v>4064</v>
      </c>
      <c r="B2281">
        <v>110041</v>
      </c>
      <c r="C2281">
        <v>1100</v>
      </c>
    </row>
    <row r="2282" spans="1:3">
      <c r="A2282" t="s">
        <v>4065</v>
      </c>
      <c r="B2282">
        <v>110042</v>
      </c>
      <c r="C2282">
        <v>1100</v>
      </c>
    </row>
    <row r="2283" spans="1:3">
      <c r="A2283" t="s">
        <v>4066</v>
      </c>
      <c r="B2283">
        <v>110043</v>
      </c>
      <c r="C2283">
        <v>1100</v>
      </c>
    </row>
    <row r="2284" spans="1:3">
      <c r="A2284" t="s">
        <v>4067</v>
      </c>
      <c r="B2284">
        <v>110044</v>
      </c>
      <c r="C2284">
        <v>1100</v>
      </c>
    </row>
    <row r="2285" spans="1:3">
      <c r="A2285" t="s">
        <v>4068</v>
      </c>
      <c r="B2285">
        <v>110045</v>
      </c>
      <c r="C2285">
        <v>1100</v>
      </c>
    </row>
    <row r="2286" spans="1:3">
      <c r="A2286" t="s">
        <v>4069</v>
      </c>
      <c r="B2286">
        <v>110046</v>
      </c>
      <c r="C2286">
        <v>1100</v>
      </c>
    </row>
    <row r="2287" spans="1:3">
      <c r="A2287" t="s">
        <v>4070</v>
      </c>
      <c r="B2287">
        <v>110047</v>
      </c>
      <c r="C2287">
        <v>1100</v>
      </c>
    </row>
    <row r="2288" spans="1:3">
      <c r="A2288" t="s">
        <v>4071</v>
      </c>
      <c r="B2288">
        <v>110048</v>
      </c>
      <c r="C2288">
        <v>1100</v>
      </c>
    </row>
    <row r="2289" spans="1:3">
      <c r="A2289" t="s">
        <v>4072</v>
      </c>
      <c r="B2289">
        <v>110049</v>
      </c>
      <c r="C2289">
        <v>1100</v>
      </c>
    </row>
    <row r="2290" spans="1:3">
      <c r="A2290" t="s">
        <v>4073</v>
      </c>
      <c r="B2290">
        <v>110050</v>
      </c>
      <c r="C2290">
        <v>1100</v>
      </c>
    </row>
    <row r="2291" spans="1:3">
      <c r="A2291" t="s">
        <v>4074</v>
      </c>
      <c r="B2291">
        <v>110051</v>
      </c>
      <c r="C2291">
        <v>1100</v>
      </c>
    </row>
    <row r="2292" spans="1:3">
      <c r="A2292" t="s">
        <v>4075</v>
      </c>
      <c r="B2292">
        <v>110052</v>
      </c>
      <c r="C2292">
        <v>1100</v>
      </c>
    </row>
    <row r="2293" spans="1:3">
      <c r="A2293" t="s">
        <v>4076</v>
      </c>
      <c r="B2293">
        <v>110053</v>
      </c>
      <c r="C2293">
        <v>1100</v>
      </c>
    </row>
    <row r="2294" spans="1:3">
      <c r="A2294" t="s">
        <v>4077</v>
      </c>
      <c r="B2294">
        <v>110054</v>
      </c>
      <c r="C2294">
        <v>1100</v>
      </c>
    </row>
    <row r="2295" spans="1:3">
      <c r="A2295" t="s">
        <v>4078</v>
      </c>
      <c r="B2295">
        <v>110055</v>
      </c>
      <c r="C2295">
        <v>1100</v>
      </c>
    </row>
    <row r="2296" spans="1:3">
      <c r="A2296" t="s">
        <v>4079</v>
      </c>
      <c r="B2296">
        <v>110056</v>
      </c>
      <c r="C2296">
        <v>1100</v>
      </c>
    </row>
    <row r="2297" spans="1:3">
      <c r="A2297" t="s">
        <v>4080</v>
      </c>
      <c r="B2297">
        <v>110057</v>
      </c>
      <c r="C2297">
        <v>1100</v>
      </c>
    </row>
    <row r="2298" spans="1:3">
      <c r="A2298" t="s">
        <v>4081</v>
      </c>
      <c r="B2298">
        <v>110058</v>
      </c>
      <c r="C2298">
        <v>1100</v>
      </c>
    </row>
    <row r="2299" spans="1:3">
      <c r="A2299" t="s">
        <v>4082</v>
      </c>
      <c r="B2299">
        <v>110059</v>
      </c>
      <c r="C2299">
        <v>1100</v>
      </c>
    </row>
    <row r="2300" spans="1:3">
      <c r="A2300" t="s">
        <v>4083</v>
      </c>
      <c r="B2300">
        <v>110060</v>
      </c>
      <c r="C2300">
        <v>1100</v>
      </c>
    </row>
    <row r="2301" spans="1:3">
      <c r="A2301" t="s">
        <v>4084</v>
      </c>
      <c r="B2301">
        <v>110061</v>
      </c>
      <c r="C2301">
        <v>1100</v>
      </c>
    </row>
    <row r="2302" spans="1:3">
      <c r="A2302" t="s">
        <v>4085</v>
      </c>
      <c r="B2302">
        <v>110062</v>
      </c>
      <c r="C2302">
        <v>1100</v>
      </c>
    </row>
    <row r="2303" spans="1:3">
      <c r="A2303" t="s">
        <v>4086</v>
      </c>
      <c r="B2303">
        <v>110063</v>
      </c>
      <c r="C2303">
        <v>1100</v>
      </c>
    </row>
    <row r="2304" spans="1:3">
      <c r="A2304" t="s">
        <v>4087</v>
      </c>
      <c r="B2304">
        <v>110064</v>
      </c>
      <c r="C2304">
        <v>1100</v>
      </c>
    </row>
    <row r="2305" spans="1:3">
      <c r="A2305" t="s">
        <v>4088</v>
      </c>
      <c r="B2305">
        <v>110065</v>
      </c>
      <c r="C2305">
        <v>1100</v>
      </c>
    </row>
    <row r="2306" spans="1:3">
      <c r="A2306" t="s">
        <v>4089</v>
      </c>
      <c r="B2306">
        <v>110066</v>
      </c>
      <c r="C2306">
        <v>1100</v>
      </c>
    </row>
    <row r="2307" spans="1:3">
      <c r="A2307" t="s">
        <v>4090</v>
      </c>
      <c r="B2307">
        <v>110067</v>
      </c>
      <c r="C2307">
        <v>1100</v>
      </c>
    </row>
    <row r="2308" spans="1:3">
      <c r="A2308" t="s">
        <v>4091</v>
      </c>
      <c r="B2308">
        <v>110068</v>
      </c>
      <c r="C2308">
        <v>1100</v>
      </c>
    </row>
    <row r="2309" spans="1:3">
      <c r="A2309" t="s">
        <v>4092</v>
      </c>
      <c r="B2309">
        <v>110069</v>
      </c>
      <c r="C2309">
        <v>1100</v>
      </c>
    </row>
    <row r="2310" spans="1:3">
      <c r="A2310" t="s">
        <v>4093</v>
      </c>
      <c r="B2310">
        <v>110070</v>
      </c>
      <c r="C2310">
        <v>1100</v>
      </c>
    </row>
    <row r="2311" spans="1:3">
      <c r="A2311" t="s">
        <v>4094</v>
      </c>
      <c r="B2311">
        <v>110071</v>
      </c>
      <c r="C2311">
        <v>1100</v>
      </c>
    </row>
    <row r="2312" spans="1:3">
      <c r="A2312" t="s">
        <v>4095</v>
      </c>
      <c r="B2312">
        <v>110072</v>
      </c>
      <c r="C2312">
        <v>1100</v>
      </c>
    </row>
    <row r="2313" spans="1:3">
      <c r="A2313" t="s">
        <v>4096</v>
      </c>
      <c r="B2313">
        <v>110073</v>
      </c>
      <c r="C2313">
        <v>1100</v>
      </c>
    </row>
    <row r="2314" spans="1:3">
      <c r="A2314" t="s">
        <v>4097</v>
      </c>
      <c r="B2314">
        <v>110074</v>
      </c>
      <c r="C2314">
        <v>1100</v>
      </c>
    </row>
    <row r="2315" spans="1:3">
      <c r="A2315" t="s">
        <v>4098</v>
      </c>
      <c r="B2315">
        <v>110075</v>
      </c>
      <c r="C2315">
        <v>1100</v>
      </c>
    </row>
    <row r="2316" spans="1:3">
      <c r="A2316" t="s">
        <v>4099</v>
      </c>
      <c r="B2316">
        <v>110076</v>
      </c>
      <c r="C2316">
        <v>1100</v>
      </c>
    </row>
    <row r="2317" spans="1:3">
      <c r="A2317" t="s">
        <v>4100</v>
      </c>
      <c r="B2317">
        <v>110077</v>
      </c>
      <c r="C2317">
        <v>1100</v>
      </c>
    </row>
    <row r="2318" spans="1:3">
      <c r="A2318" t="s">
        <v>4101</v>
      </c>
      <c r="B2318">
        <v>110078</v>
      </c>
      <c r="C2318">
        <v>1100</v>
      </c>
    </row>
    <row r="2319" spans="1:3">
      <c r="A2319" t="s">
        <v>4102</v>
      </c>
      <c r="B2319">
        <v>110079</v>
      </c>
      <c r="C2319">
        <v>1100</v>
      </c>
    </row>
    <row r="2320" spans="1:3">
      <c r="A2320" t="s">
        <v>4103</v>
      </c>
      <c r="B2320">
        <v>110080</v>
      </c>
      <c r="C2320">
        <v>1100</v>
      </c>
    </row>
    <row r="2321" spans="1:3">
      <c r="A2321" t="s">
        <v>4104</v>
      </c>
      <c r="B2321">
        <v>110081</v>
      </c>
      <c r="C2321">
        <v>1100</v>
      </c>
    </row>
    <row r="2322" spans="1:3">
      <c r="A2322" t="s">
        <v>4105</v>
      </c>
      <c r="B2322">
        <v>110082</v>
      </c>
      <c r="C2322">
        <v>1100</v>
      </c>
    </row>
    <row r="2323" spans="1:3">
      <c r="A2323" t="s">
        <v>4106</v>
      </c>
      <c r="B2323">
        <v>110083</v>
      </c>
      <c r="C2323">
        <v>1100</v>
      </c>
    </row>
    <row r="2324" spans="1:3">
      <c r="A2324" t="s">
        <v>4107</v>
      </c>
      <c r="B2324">
        <v>110084</v>
      </c>
      <c r="C2324">
        <v>1100</v>
      </c>
    </row>
    <row r="2325" spans="1:3">
      <c r="A2325" t="s">
        <v>4108</v>
      </c>
      <c r="B2325">
        <v>110085</v>
      </c>
      <c r="C2325">
        <v>1100</v>
      </c>
    </row>
    <row r="2326" spans="1:3">
      <c r="A2326" t="s">
        <v>4109</v>
      </c>
      <c r="B2326">
        <v>110086</v>
      </c>
      <c r="C2326">
        <v>1100</v>
      </c>
    </row>
    <row r="2327" spans="1:3">
      <c r="A2327" t="s">
        <v>4110</v>
      </c>
      <c r="B2327">
        <v>110087</v>
      </c>
      <c r="C2327">
        <v>1100</v>
      </c>
    </row>
    <row r="2328" spans="1:3">
      <c r="A2328" t="s">
        <v>4111</v>
      </c>
      <c r="B2328">
        <v>110088</v>
      </c>
      <c r="C2328">
        <v>1100</v>
      </c>
    </row>
    <row r="2329" spans="1:3">
      <c r="A2329" t="s">
        <v>4112</v>
      </c>
      <c r="B2329">
        <v>110089</v>
      </c>
      <c r="C2329">
        <v>1100</v>
      </c>
    </row>
    <row r="2330" spans="1:3">
      <c r="A2330" t="s">
        <v>4113</v>
      </c>
      <c r="B2330">
        <v>110090</v>
      </c>
      <c r="C2330">
        <v>1100</v>
      </c>
    </row>
    <row r="2331" spans="1:3">
      <c r="A2331" t="s">
        <v>4114</v>
      </c>
      <c r="B2331">
        <v>110091</v>
      </c>
      <c r="C2331">
        <v>1100</v>
      </c>
    </row>
    <row r="2332" spans="1:3">
      <c r="A2332" t="s">
        <v>4115</v>
      </c>
      <c r="B2332">
        <v>110092</v>
      </c>
      <c r="C2332">
        <v>1100</v>
      </c>
    </row>
    <row r="2333" spans="1:3">
      <c r="A2333" t="s">
        <v>4116</v>
      </c>
      <c r="B2333">
        <v>110093</v>
      </c>
      <c r="C2333">
        <v>1100</v>
      </c>
    </row>
    <row r="2334" spans="1:3">
      <c r="A2334" t="s">
        <v>4117</v>
      </c>
      <c r="B2334">
        <v>110094</v>
      </c>
      <c r="C2334">
        <v>1100</v>
      </c>
    </row>
    <row r="2335" spans="1:3">
      <c r="A2335" t="s">
        <v>4118</v>
      </c>
      <c r="B2335">
        <v>110095</v>
      </c>
      <c r="C2335">
        <v>1100</v>
      </c>
    </row>
    <row r="2336" spans="1:3">
      <c r="A2336" t="s">
        <v>4119</v>
      </c>
      <c r="B2336">
        <v>110096</v>
      </c>
      <c r="C2336">
        <v>1100</v>
      </c>
    </row>
    <row r="2337" spans="1:3">
      <c r="A2337" t="s">
        <v>4120</v>
      </c>
      <c r="B2337">
        <v>110097</v>
      </c>
      <c r="C2337">
        <v>1100</v>
      </c>
    </row>
    <row r="2338" spans="1:3">
      <c r="A2338" t="s">
        <v>4121</v>
      </c>
      <c r="B2338">
        <v>110098</v>
      </c>
      <c r="C2338">
        <v>1100</v>
      </c>
    </row>
    <row r="2339" spans="1:3">
      <c r="A2339" t="s">
        <v>605</v>
      </c>
      <c r="B2339">
        <v>110099</v>
      </c>
      <c r="C2339">
        <v>1100</v>
      </c>
    </row>
    <row r="2340" spans="1:3">
      <c r="A2340" t="s">
        <v>4122</v>
      </c>
      <c r="B2340">
        <v>110100</v>
      </c>
      <c r="C2340">
        <v>1100</v>
      </c>
    </row>
    <row r="2341" spans="1:3">
      <c r="A2341" t="s">
        <v>4123</v>
      </c>
      <c r="B2341">
        <v>110101</v>
      </c>
      <c r="C2341">
        <v>1100</v>
      </c>
    </row>
    <row r="2342" spans="1:3">
      <c r="A2342" t="s">
        <v>4124</v>
      </c>
      <c r="B2342">
        <v>110102</v>
      </c>
      <c r="C2342">
        <v>1100</v>
      </c>
    </row>
    <row r="2343" spans="1:3">
      <c r="A2343" t="s">
        <v>4125</v>
      </c>
      <c r="B2343">
        <v>110103</v>
      </c>
      <c r="C2343">
        <v>1100</v>
      </c>
    </row>
    <row r="2344" spans="1:3">
      <c r="A2344" t="s">
        <v>4126</v>
      </c>
      <c r="B2344">
        <v>110104</v>
      </c>
      <c r="C2344">
        <v>1100</v>
      </c>
    </row>
    <row r="2345" spans="1:3">
      <c r="A2345" t="s">
        <v>4127</v>
      </c>
      <c r="B2345">
        <v>110105</v>
      </c>
      <c r="C2345">
        <v>1100</v>
      </c>
    </row>
    <row r="2346" spans="1:3">
      <c r="A2346" t="s">
        <v>4128</v>
      </c>
      <c r="B2346">
        <v>110106</v>
      </c>
      <c r="C2346">
        <v>1100</v>
      </c>
    </row>
    <row r="2347" spans="1:3">
      <c r="A2347" t="s">
        <v>4129</v>
      </c>
      <c r="B2347">
        <v>110107</v>
      </c>
      <c r="C2347">
        <v>1100</v>
      </c>
    </row>
    <row r="2348" spans="1:3">
      <c r="A2348" t="s">
        <v>4130</v>
      </c>
      <c r="B2348">
        <v>110108</v>
      </c>
      <c r="C2348">
        <v>1100</v>
      </c>
    </row>
    <row r="2349" spans="1:3">
      <c r="A2349" t="s">
        <v>4131</v>
      </c>
      <c r="B2349">
        <v>110109</v>
      </c>
      <c r="C2349">
        <v>1100</v>
      </c>
    </row>
    <row r="2350" spans="1:3">
      <c r="A2350" t="s">
        <v>4132</v>
      </c>
      <c r="B2350">
        <v>110110</v>
      </c>
      <c r="C2350">
        <v>1100</v>
      </c>
    </row>
    <row r="2351" spans="1:3">
      <c r="A2351" t="s">
        <v>4133</v>
      </c>
      <c r="B2351">
        <v>110111</v>
      </c>
      <c r="C2351">
        <v>1100</v>
      </c>
    </row>
    <row r="2352" spans="1:3">
      <c r="A2352" t="s">
        <v>4134</v>
      </c>
      <c r="B2352">
        <v>110112</v>
      </c>
      <c r="C2352">
        <v>1100</v>
      </c>
    </row>
    <row r="2353" spans="1:3">
      <c r="A2353" t="s">
        <v>4135</v>
      </c>
      <c r="B2353">
        <v>110113</v>
      </c>
      <c r="C2353">
        <v>1100</v>
      </c>
    </row>
    <row r="2354" spans="1:3">
      <c r="A2354" t="s">
        <v>4136</v>
      </c>
      <c r="B2354">
        <v>110114</v>
      </c>
      <c r="C2354">
        <v>1100</v>
      </c>
    </row>
    <row r="2355" spans="1:3">
      <c r="A2355" t="s">
        <v>4137</v>
      </c>
      <c r="B2355">
        <v>110115</v>
      </c>
      <c r="C2355">
        <v>1100</v>
      </c>
    </row>
    <row r="2356" spans="1:3">
      <c r="A2356" t="s">
        <v>4138</v>
      </c>
      <c r="B2356">
        <v>110116</v>
      </c>
      <c r="C2356">
        <v>1100</v>
      </c>
    </row>
    <row r="2357" spans="1:3">
      <c r="A2357" t="s">
        <v>4139</v>
      </c>
      <c r="B2357">
        <v>110117</v>
      </c>
      <c r="C2357">
        <v>1100</v>
      </c>
    </row>
    <row r="2358" spans="1:3">
      <c r="A2358" t="s">
        <v>4140</v>
      </c>
      <c r="B2358">
        <v>110118</v>
      </c>
      <c r="C2358">
        <v>1100</v>
      </c>
    </row>
    <row r="2359" spans="1:3">
      <c r="A2359" t="s">
        <v>601</v>
      </c>
      <c r="B2359">
        <v>110119</v>
      </c>
      <c r="C2359">
        <v>1100</v>
      </c>
    </row>
    <row r="2360" spans="1:3">
      <c r="A2360" t="s">
        <v>4141</v>
      </c>
      <c r="B2360">
        <v>110120</v>
      </c>
      <c r="C2360">
        <v>1100</v>
      </c>
    </row>
    <row r="2361" spans="1:3">
      <c r="A2361" t="s">
        <v>4142</v>
      </c>
      <c r="B2361">
        <v>110121</v>
      </c>
      <c r="C2361">
        <v>1100</v>
      </c>
    </row>
    <row r="2362" spans="1:3">
      <c r="A2362" t="s">
        <v>4143</v>
      </c>
      <c r="B2362">
        <v>110122</v>
      </c>
      <c r="C2362">
        <v>1100</v>
      </c>
    </row>
    <row r="2363" spans="1:3">
      <c r="A2363" t="s">
        <v>4144</v>
      </c>
      <c r="B2363">
        <v>110123</v>
      </c>
      <c r="C2363">
        <v>1100</v>
      </c>
    </row>
    <row r="2364" spans="1:3">
      <c r="A2364" t="s">
        <v>4145</v>
      </c>
      <c r="B2364">
        <v>110124</v>
      </c>
      <c r="C2364">
        <v>1100</v>
      </c>
    </row>
    <row r="2365" spans="1:3">
      <c r="A2365" t="s">
        <v>4146</v>
      </c>
      <c r="B2365">
        <v>110125</v>
      </c>
      <c r="C2365">
        <v>1100</v>
      </c>
    </row>
    <row r="2366" spans="1:3">
      <c r="A2366" t="s">
        <v>4147</v>
      </c>
      <c r="B2366">
        <v>110126</v>
      </c>
      <c r="C2366">
        <v>1100</v>
      </c>
    </row>
    <row r="2367" spans="1:3">
      <c r="A2367" t="s">
        <v>4148</v>
      </c>
      <c r="B2367">
        <v>110128</v>
      </c>
      <c r="C2367">
        <v>1100</v>
      </c>
    </row>
    <row r="2368" spans="1:3">
      <c r="A2368" t="s">
        <v>4149</v>
      </c>
      <c r="B2368">
        <v>110129</v>
      </c>
      <c r="C2368">
        <v>1100</v>
      </c>
    </row>
    <row r="2369" spans="1:3">
      <c r="A2369" t="s">
        <v>4150</v>
      </c>
      <c r="B2369">
        <v>110130</v>
      </c>
      <c r="C2369">
        <v>1100</v>
      </c>
    </row>
    <row r="2370" spans="1:3">
      <c r="A2370" t="s">
        <v>4151</v>
      </c>
      <c r="B2370">
        <v>110131</v>
      </c>
      <c r="C2370">
        <v>1100</v>
      </c>
    </row>
    <row r="2371" spans="1:3">
      <c r="A2371" t="s">
        <v>4152</v>
      </c>
      <c r="B2371">
        <v>110132</v>
      </c>
      <c r="C2371">
        <v>1100</v>
      </c>
    </row>
    <row r="2372" spans="1:3">
      <c r="A2372" t="s">
        <v>4153</v>
      </c>
      <c r="B2372">
        <v>110133</v>
      </c>
      <c r="C2372">
        <v>1100</v>
      </c>
    </row>
    <row r="2373" spans="1:3">
      <c r="A2373" t="s">
        <v>4154</v>
      </c>
      <c r="B2373">
        <v>110134</v>
      </c>
      <c r="C2373">
        <v>1100</v>
      </c>
    </row>
    <row r="2374" spans="1:3">
      <c r="A2374" t="s">
        <v>4155</v>
      </c>
      <c r="B2374">
        <v>110135</v>
      </c>
      <c r="C2374">
        <v>1100</v>
      </c>
    </row>
    <row r="2375" spans="1:3">
      <c r="A2375" t="s">
        <v>4156</v>
      </c>
      <c r="B2375">
        <v>110136</v>
      </c>
      <c r="C2375">
        <v>1100</v>
      </c>
    </row>
    <row r="2376" spans="1:3">
      <c r="A2376" t="s">
        <v>4067</v>
      </c>
      <c r="B2376">
        <v>110137</v>
      </c>
      <c r="C2376">
        <v>1100</v>
      </c>
    </row>
    <row r="2377" spans="1:3">
      <c r="A2377" t="s">
        <v>4157</v>
      </c>
      <c r="B2377">
        <v>110138</v>
      </c>
      <c r="C2377">
        <v>1100</v>
      </c>
    </row>
    <row r="2378" spans="1:3">
      <c r="A2378" t="s">
        <v>4158</v>
      </c>
      <c r="B2378">
        <v>110139</v>
      </c>
      <c r="C2378">
        <v>1100</v>
      </c>
    </row>
    <row r="2379" spans="1:3">
      <c r="A2379" t="s">
        <v>4159</v>
      </c>
      <c r="B2379">
        <v>110140</v>
      </c>
      <c r="C2379">
        <v>1100</v>
      </c>
    </row>
    <row r="2380" spans="1:3">
      <c r="A2380" t="s">
        <v>4160</v>
      </c>
      <c r="B2380">
        <v>110141</v>
      </c>
      <c r="C2380">
        <v>1100</v>
      </c>
    </row>
    <row r="2381" spans="1:3">
      <c r="A2381" t="s">
        <v>4161</v>
      </c>
      <c r="B2381">
        <v>110142</v>
      </c>
      <c r="C2381">
        <v>1100</v>
      </c>
    </row>
    <row r="2382" spans="1:3">
      <c r="A2382" t="s">
        <v>4162</v>
      </c>
      <c r="B2382">
        <v>110143</v>
      </c>
      <c r="C2382">
        <v>1100</v>
      </c>
    </row>
    <row r="2383" spans="1:3">
      <c r="A2383" t="s">
        <v>4163</v>
      </c>
      <c r="B2383">
        <v>110144</v>
      </c>
      <c r="C2383">
        <v>1100</v>
      </c>
    </row>
    <row r="2384" spans="1:3">
      <c r="A2384" t="s">
        <v>4164</v>
      </c>
      <c r="B2384">
        <v>110145</v>
      </c>
      <c r="C2384">
        <v>1100</v>
      </c>
    </row>
    <row r="2385" spans="1:3">
      <c r="A2385" t="s">
        <v>4165</v>
      </c>
      <c r="B2385">
        <v>110146</v>
      </c>
      <c r="C2385">
        <v>1100</v>
      </c>
    </row>
    <row r="2386" spans="1:3">
      <c r="A2386" t="s">
        <v>4166</v>
      </c>
      <c r="B2386">
        <v>110147</v>
      </c>
      <c r="C2386">
        <v>1100</v>
      </c>
    </row>
    <row r="2387" spans="1:3">
      <c r="A2387" t="s">
        <v>4167</v>
      </c>
      <c r="B2387">
        <v>110148</v>
      </c>
      <c r="C2387">
        <v>1100</v>
      </c>
    </row>
    <row r="2388" spans="1:3">
      <c r="A2388" t="s">
        <v>4168</v>
      </c>
      <c r="B2388">
        <v>110149</v>
      </c>
      <c r="C2388">
        <v>1100</v>
      </c>
    </row>
    <row r="2389" spans="1:3">
      <c r="A2389" t="s">
        <v>4169</v>
      </c>
      <c r="B2389">
        <v>110150</v>
      </c>
      <c r="C2389">
        <v>1100</v>
      </c>
    </row>
    <row r="2390" spans="1:3">
      <c r="A2390" t="s">
        <v>4170</v>
      </c>
      <c r="B2390">
        <v>110151</v>
      </c>
      <c r="C2390">
        <v>1100</v>
      </c>
    </row>
    <row r="2391" spans="1:3">
      <c r="A2391" t="s">
        <v>4171</v>
      </c>
      <c r="B2391">
        <v>110152</v>
      </c>
      <c r="C2391">
        <v>1100</v>
      </c>
    </row>
    <row r="2392" spans="1:3">
      <c r="A2392" t="s">
        <v>4172</v>
      </c>
      <c r="B2392">
        <v>110153</v>
      </c>
      <c r="C2392">
        <v>1100</v>
      </c>
    </row>
    <row r="2393" spans="1:3">
      <c r="A2393" t="s">
        <v>4173</v>
      </c>
      <c r="B2393">
        <v>110154</v>
      </c>
      <c r="C2393">
        <v>1100</v>
      </c>
    </row>
    <row r="2394" spans="1:3">
      <c r="A2394" t="s">
        <v>4174</v>
      </c>
      <c r="B2394">
        <v>110155</v>
      </c>
      <c r="C2394">
        <v>1100</v>
      </c>
    </row>
    <row r="2395" spans="1:3">
      <c r="A2395" t="s">
        <v>4175</v>
      </c>
      <c r="B2395">
        <v>110156</v>
      </c>
      <c r="C2395">
        <v>1100</v>
      </c>
    </row>
    <row r="2396" spans="1:3">
      <c r="A2396" t="s">
        <v>4176</v>
      </c>
      <c r="B2396">
        <v>110157</v>
      </c>
      <c r="C2396">
        <v>1100</v>
      </c>
    </row>
    <row r="2397" spans="1:3">
      <c r="A2397" t="s">
        <v>4177</v>
      </c>
      <c r="B2397">
        <v>110158</v>
      </c>
      <c r="C2397">
        <v>1100</v>
      </c>
    </row>
    <row r="2398" spans="1:3">
      <c r="A2398" t="s">
        <v>4178</v>
      </c>
      <c r="B2398">
        <v>110159</v>
      </c>
      <c r="C2398">
        <v>1100</v>
      </c>
    </row>
    <row r="2399" spans="1:3">
      <c r="A2399" t="s">
        <v>4179</v>
      </c>
      <c r="B2399">
        <v>110160</v>
      </c>
      <c r="C2399">
        <v>1100</v>
      </c>
    </row>
    <row r="2400" spans="1:3">
      <c r="A2400" t="s">
        <v>4180</v>
      </c>
      <c r="B2400">
        <v>110161</v>
      </c>
      <c r="C2400">
        <v>1100</v>
      </c>
    </row>
    <row r="2401" spans="1:3">
      <c r="A2401" t="s">
        <v>4181</v>
      </c>
      <c r="B2401">
        <v>110162</v>
      </c>
      <c r="C2401">
        <v>1100</v>
      </c>
    </row>
    <row r="2402" spans="1:3">
      <c r="A2402" t="s">
        <v>4182</v>
      </c>
      <c r="B2402">
        <v>110163</v>
      </c>
      <c r="C2402">
        <v>1100</v>
      </c>
    </row>
    <row r="2403" spans="1:3">
      <c r="A2403" t="s">
        <v>4183</v>
      </c>
      <c r="B2403">
        <v>110164</v>
      </c>
      <c r="C2403">
        <v>1100</v>
      </c>
    </row>
    <row r="2404" spans="1:3">
      <c r="A2404" t="s">
        <v>4184</v>
      </c>
      <c r="B2404">
        <v>110165</v>
      </c>
      <c r="C2404">
        <v>1100</v>
      </c>
    </row>
    <row r="2405" spans="1:3">
      <c r="A2405" t="s">
        <v>4185</v>
      </c>
      <c r="B2405">
        <v>110166</v>
      </c>
      <c r="C2405">
        <v>1100</v>
      </c>
    </row>
    <row r="2406" spans="1:3">
      <c r="A2406" t="s">
        <v>4186</v>
      </c>
      <c r="B2406">
        <v>110167</v>
      </c>
      <c r="C2406">
        <v>1100</v>
      </c>
    </row>
    <row r="2407" spans="1:3">
      <c r="A2407" t="s">
        <v>4187</v>
      </c>
      <c r="B2407">
        <v>110168</v>
      </c>
      <c r="C2407">
        <v>1100</v>
      </c>
    </row>
    <row r="2408" spans="1:3">
      <c r="A2408" t="s">
        <v>4188</v>
      </c>
      <c r="B2408">
        <v>110169</v>
      </c>
      <c r="C2408">
        <v>1100</v>
      </c>
    </row>
    <row r="2409" spans="1:3">
      <c r="A2409" t="s">
        <v>4189</v>
      </c>
      <c r="B2409">
        <v>110170</v>
      </c>
      <c r="C2409">
        <v>1100</v>
      </c>
    </row>
    <row r="2410" spans="1:3">
      <c r="A2410" t="s">
        <v>4190</v>
      </c>
      <c r="B2410">
        <v>110171</v>
      </c>
      <c r="C2410">
        <v>1100</v>
      </c>
    </row>
    <row r="2411" spans="1:3">
      <c r="A2411" t="s">
        <v>4191</v>
      </c>
      <c r="B2411">
        <v>110172</v>
      </c>
      <c r="C2411">
        <v>1100</v>
      </c>
    </row>
    <row r="2412" spans="1:3">
      <c r="A2412" t="s">
        <v>4192</v>
      </c>
      <c r="B2412">
        <v>110173</v>
      </c>
      <c r="C2412">
        <v>1100</v>
      </c>
    </row>
    <row r="2413" spans="1:3">
      <c r="A2413" t="s">
        <v>4193</v>
      </c>
      <c r="B2413">
        <v>110174</v>
      </c>
      <c r="C2413">
        <v>1100</v>
      </c>
    </row>
    <row r="2414" spans="1:3">
      <c r="A2414" t="s">
        <v>4194</v>
      </c>
      <c r="B2414">
        <v>110175</v>
      </c>
      <c r="C2414">
        <v>1100</v>
      </c>
    </row>
    <row r="2415" spans="1:3">
      <c r="A2415" t="s">
        <v>4195</v>
      </c>
      <c r="B2415">
        <v>110176</v>
      </c>
      <c r="C2415">
        <v>1100</v>
      </c>
    </row>
    <row r="2416" spans="1:3">
      <c r="A2416" t="s">
        <v>4196</v>
      </c>
      <c r="B2416">
        <v>110177</v>
      </c>
      <c r="C2416">
        <v>1100</v>
      </c>
    </row>
    <row r="2417" spans="1:3">
      <c r="A2417" t="s">
        <v>4197</v>
      </c>
      <c r="B2417">
        <v>110178</v>
      </c>
      <c r="C2417">
        <v>1100</v>
      </c>
    </row>
    <row r="2418" spans="1:3">
      <c r="A2418" t="s">
        <v>4198</v>
      </c>
      <c r="B2418">
        <v>110179</v>
      </c>
      <c r="C2418">
        <v>1100</v>
      </c>
    </row>
    <row r="2419" spans="1:3">
      <c r="A2419" t="s">
        <v>4199</v>
      </c>
      <c r="B2419">
        <v>110180</v>
      </c>
      <c r="C2419">
        <v>1100</v>
      </c>
    </row>
    <row r="2420" spans="1:3">
      <c r="A2420" t="s">
        <v>4200</v>
      </c>
      <c r="B2420">
        <v>110181</v>
      </c>
      <c r="C2420">
        <v>1100</v>
      </c>
    </row>
    <row r="2421" spans="1:3">
      <c r="A2421" t="s">
        <v>4201</v>
      </c>
      <c r="B2421">
        <v>110182</v>
      </c>
      <c r="C2421">
        <v>1100</v>
      </c>
    </row>
    <row r="2422" spans="1:3">
      <c r="A2422" t="s">
        <v>4202</v>
      </c>
      <c r="B2422">
        <v>110183</v>
      </c>
      <c r="C2422">
        <v>1100</v>
      </c>
    </row>
    <row r="2423" spans="1:3">
      <c r="A2423" t="s">
        <v>4203</v>
      </c>
      <c r="B2423">
        <v>110184</v>
      </c>
      <c r="C2423">
        <v>1100</v>
      </c>
    </row>
    <row r="2424" spans="1:3">
      <c r="A2424" t="s">
        <v>4204</v>
      </c>
      <c r="B2424">
        <v>110185</v>
      </c>
      <c r="C2424">
        <v>1100</v>
      </c>
    </row>
    <row r="2425" spans="1:3">
      <c r="A2425" t="s">
        <v>4205</v>
      </c>
      <c r="B2425">
        <v>110186</v>
      </c>
      <c r="C2425">
        <v>1100</v>
      </c>
    </row>
    <row r="2426" spans="1:3">
      <c r="A2426" t="s">
        <v>4206</v>
      </c>
      <c r="B2426">
        <v>110187</v>
      </c>
      <c r="C2426">
        <v>1100</v>
      </c>
    </row>
    <row r="2427" spans="1:3">
      <c r="A2427" t="s">
        <v>4207</v>
      </c>
      <c r="B2427">
        <v>110188</v>
      </c>
      <c r="C2427">
        <v>1100</v>
      </c>
    </row>
    <row r="2428" spans="1:3">
      <c r="A2428" t="s">
        <v>4208</v>
      </c>
      <c r="B2428">
        <v>110189</v>
      </c>
      <c r="C2428">
        <v>1100</v>
      </c>
    </row>
    <row r="2429" spans="1:3">
      <c r="A2429" t="s">
        <v>4209</v>
      </c>
      <c r="B2429">
        <v>110190</v>
      </c>
      <c r="C2429">
        <v>1100</v>
      </c>
    </row>
    <row r="2430" spans="1:3">
      <c r="A2430" t="s">
        <v>4210</v>
      </c>
      <c r="B2430">
        <v>110191</v>
      </c>
      <c r="C2430">
        <v>1100</v>
      </c>
    </row>
    <row r="2431" spans="1:3">
      <c r="A2431" t="s">
        <v>4211</v>
      </c>
      <c r="B2431">
        <v>110192</v>
      </c>
      <c r="C2431">
        <v>1100</v>
      </c>
    </row>
    <row r="2432" spans="1:3">
      <c r="A2432" t="s">
        <v>4212</v>
      </c>
      <c r="B2432">
        <v>110193</v>
      </c>
      <c r="C2432">
        <v>1100</v>
      </c>
    </row>
    <row r="2433" spans="1:3">
      <c r="A2433" t="s">
        <v>4213</v>
      </c>
      <c r="B2433">
        <v>110194</v>
      </c>
      <c r="C2433">
        <v>1100</v>
      </c>
    </row>
    <row r="2434" spans="1:3">
      <c r="A2434" t="s">
        <v>4214</v>
      </c>
      <c r="B2434">
        <v>110195</v>
      </c>
      <c r="C2434">
        <v>1100</v>
      </c>
    </row>
    <row r="2435" spans="1:3">
      <c r="A2435" t="s">
        <v>4215</v>
      </c>
      <c r="B2435">
        <v>110196</v>
      </c>
      <c r="C2435">
        <v>1100</v>
      </c>
    </row>
    <row r="2436" spans="1:3">
      <c r="A2436" t="s">
        <v>4216</v>
      </c>
      <c r="B2436">
        <v>110197</v>
      </c>
      <c r="C2436">
        <v>1100</v>
      </c>
    </row>
    <row r="2437" spans="1:3">
      <c r="A2437" t="s">
        <v>4217</v>
      </c>
      <c r="B2437">
        <v>110198</v>
      </c>
      <c r="C2437">
        <v>1100</v>
      </c>
    </row>
    <row r="2438" spans="1:3">
      <c r="A2438" t="s">
        <v>4218</v>
      </c>
      <c r="B2438">
        <v>110199</v>
      </c>
      <c r="C2438">
        <v>1100</v>
      </c>
    </row>
    <row r="2439" spans="1:3">
      <c r="A2439" t="s">
        <v>4219</v>
      </c>
      <c r="B2439">
        <v>110200</v>
      </c>
      <c r="C2439">
        <v>1100</v>
      </c>
    </row>
    <row r="2440" spans="1:3">
      <c r="A2440" t="s">
        <v>4220</v>
      </c>
      <c r="B2440">
        <v>110201</v>
      </c>
      <c r="C2440">
        <v>1100</v>
      </c>
    </row>
    <row r="2441" spans="1:3">
      <c r="A2441" t="s">
        <v>606</v>
      </c>
      <c r="B2441">
        <v>110202</v>
      </c>
      <c r="C2441">
        <v>1100</v>
      </c>
    </row>
    <row r="2442" spans="1:3">
      <c r="A2442" t="s">
        <v>4221</v>
      </c>
      <c r="B2442">
        <v>110203</v>
      </c>
      <c r="C2442">
        <v>1100</v>
      </c>
    </row>
    <row r="2443" spans="1:3">
      <c r="A2443" t="s">
        <v>4222</v>
      </c>
      <c r="B2443">
        <v>110204</v>
      </c>
      <c r="C2443">
        <v>1100</v>
      </c>
    </row>
    <row r="2444" spans="1:3">
      <c r="A2444" t="s">
        <v>4223</v>
      </c>
      <c r="B2444">
        <v>110205</v>
      </c>
      <c r="C2444">
        <v>1100</v>
      </c>
    </row>
    <row r="2445" spans="1:3">
      <c r="A2445" t="s">
        <v>4224</v>
      </c>
      <c r="B2445">
        <v>110206</v>
      </c>
      <c r="C2445">
        <v>1100</v>
      </c>
    </row>
    <row r="2446" spans="1:3">
      <c r="A2446" t="s">
        <v>4225</v>
      </c>
      <c r="B2446">
        <v>110207</v>
      </c>
      <c r="C2446">
        <v>1100</v>
      </c>
    </row>
    <row r="2447" spans="1:3">
      <c r="A2447" t="s">
        <v>4226</v>
      </c>
      <c r="B2447">
        <v>110208</v>
      </c>
      <c r="C2447">
        <v>1100</v>
      </c>
    </row>
    <row r="2448" spans="1:3">
      <c r="A2448" t="s">
        <v>4227</v>
      </c>
      <c r="B2448">
        <v>110209</v>
      </c>
      <c r="C2448">
        <v>1100</v>
      </c>
    </row>
    <row r="2449" spans="1:3">
      <c r="A2449" t="s">
        <v>4228</v>
      </c>
      <c r="B2449">
        <v>110210</v>
      </c>
      <c r="C2449">
        <v>1100</v>
      </c>
    </row>
    <row r="2450" spans="1:3">
      <c r="A2450" t="s">
        <v>4229</v>
      </c>
      <c r="B2450">
        <v>110211</v>
      </c>
      <c r="C2450">
        <v>1100</v>
      </c>
    </row>
    <row r="2451" spans="1:3">
      <c r="A2451" t="s">
        <v>4230</v>
      </c>
      <c r="B2451">
        <v>110212</v>
      </c>
      <c r="C2451">
        <v>1100</v>
      </c>
    </row>
    <row r="2452" spans="1:3">
      <c r="A2452" t="s">
        <v>4231</v>
      </c>
      <c r="B2452">
        <v>110213</v>
      </c>
      <c r="C2452">
        <v>1100</v>
      </c>
    </row>
    <row r="2453" spans="1:3">
      <c r="A2453" t="s">
        <v>4232</v>
      </c>
      <c r="B2453">
        <v>110214</v>
      </c>
      <c r="C2453">
        <v>1100</v>
      </c>
    </row>
    <row r="2454" spans="1:3">
      <c r="A2454" t="s">
        <v>4233</v>
      </c>
      <c r="B2454">
        <v>110215</v>
      </c>
      <c r="C2454">
        <v>1100</v>
      </c>
    </row>
    <row r="2455" spans="1:3">
      <c r="A2455" t="s">
        <v>4234</v>
      </c>
      <c r="B2455">
        <v>110216</v>
      </c>
      <c r="C2455">
        <v>1100</v>
      </c>
    </row>
    <row r="2456" spans="1:3">
      <c r="A2456" t="s">
        <v>4235</v>
      </c>
      <c r="B2456">
        <v>120001</v>
      </c>
      <c r="C2456">
        <v>1200</v>
      </c>
    </row>
    <row r="2457" spans="1:3">
      <c r="A2457" t="s">
        <v>4236</v>
      </c>
      <c r="B2457">
        <v>120002</v>
      </c>
      <c r="C2457">
        <v>1200</v>
      </c>
    </row>
    <row r="2458" spans="1:3">
      <c r="A2458" t="s">
        <v>4237</v>
      </c>
      <c r="B2458">
        <v>120003</v>
      </c>
      <c r="C2458">
        <v>1200</v>
      </c>
    </row>
    <row r="2459" spans="1:3">
      <c r="A2459" t="s">
        <v>4238</v>
      </c>
      <c r="B2459">
        <v>120004</v>
      </c>
      <c r="C2459">
        <v>1200</v>
      </c>
    </row>
    <row r="2460" spans="1:3">
      <c r="A2460" t="s">
        <v>4239</v>
      </c>
      <c r="B2460">
        <v>120005</v>
      </c>
      <c r="C2460">
        <v>1200</v>
      </c>
    </row>
    <row r="2461" spans="1:3">
      <c r="A2461" t="s">
        <v>4240</v>
      </c>
      <c r="B2461">
        <v>120006</v>
      </c>
      <c r="C2461">
        <v>1200</v>
      </c>
    </row>
    <row r="2462" spans="1:3">
      <c r="A2462" t="s">
        <v>4241</v>
      </c>
      <c r="B2462">
        <v>120007</v>
      </c>
      <c r="C2462">
        <v>1200</v>
      </c>
    </row>
    <row r="2463" spans="1:3">
      <c r="A2463" t="s">
        <v>4242</v>
      </c>
      <c r="B2463">
        <v>120008</v>
      </c>
      <c r="C2463">
        <v>1200</v>
      </c>
    </row>
    <row r="2464" spans="1:3">
      <c r="A2464" t="s">
        <v>4243</v>
      </c>
      <c r="B2464">
        <v>120009</v>
      </c>
      <c r="C2464">
        <v>1200</v>
      </c>
    </row>
    <row r="2465" spans="1:3">
      <c r="A2465" t="s">
        <v>4244</v>
      </c>
      <c r="B2465">
        <v>120010</v>
      </c>
      <c r="C2465">
        <v>1200</v>
      </c>
    </row>
    <row r="2466" spans="1:3">
      <c r="A2466" t="s">
        <v>4245</v>
      </c>
      <c r="B2466">
        <v>120011</v>
      </c>
      <c r="C2466">
        <v>1200</v>
      </c>
    </row>
    <row r="2467" spans="1:3">
      <c r="A2467" t="s">
        <v>4246</v>
      </c>
      <c r="B2467">
        <v>120012</v>
      </c>
      <c r="C2467">
        <v>1200</v>
      </c>
    </row>
    <row r="2468" spans="1:3">
      <c r="A2468" t="s">
        <v>4247</v>
      </c>
      <c r="B2468">
        <v>120013</v>
      </c>
      <c r="C2468">
        <v>1200</v>
      </c>
    </row>
    <row r="2469" spans="1:3">
      <c r="A2469" t="s">
        <v>4248</v>
      </c>
      <c r="B2469">
        <v>120014</v>
      </c>
      <c r="C2469">
        <v>1200</v>
      </c>
    </row>
    <row r="2470" spans="1:3">
      <c r="A2470" t="s">
        <v>4249</v>
      </c>
      <c r="B2470">
        <v>120015</v>
      </c>
      <c r="C2470">
        <v>1200</v>
      </c>
    </row>
    <row r="2471" spans="1:3">
      <c r="A2471" t="s">
        <v>4250</v>
      </c>
      <c r="B2471">
        <v>120016</v>
      </c>
      <c r="C2471">
        <v>1200</v>
      </c>
    </row>
    <row r="2472" spans="1:3">
      <c r="A2472" t="s">
        <v>4251</v>
      </c>
      <c r="B2472">
        <v>120017</v>
      </c>
      <c r="C2472">
        <v>1200</v>
      </c>
    </row>
    <row r="2473" spans="1:3">
      <c r="A2473" t="s">
        <v>4252</v>
      </c>
      <c r="B2473">
        <v>120018</v>
      </c>
      <c r="C2473">
        <v>1200</v>
      </c>
    </row>
    <row r="2474" spans="1:3">
      <c r="A2474" t="s">
        <v>4253</v>
      </c>
      <c r="B2474">
        <v>120019</v>
      </c>
      <c r="C2474">
        <v>1200</v>
      </c>
    </row>
    <row r="2475" spans="1:3">
      <c r="A2475" t="s">
        <v>4254</v>
      </c>
      <c r="B2475">
        <v>120020</v>
      </c>
      <c r="C2475">
        <v>1200</v>
      </c>
    </row>
    <row r="2476" spans="1:3">
      <c r="A2476" t="s">
        <v>4255</v>
      </c>
      <c r="B2476">
        <v>120021</v>
      </c>
      <c r="C2476">
        <v>1200</v>
      </c>
    </row>
    <row r="2477" spans="1:3">
      <c r="A2477" t="s">
        <v>4256</v>
      </c>
      <c r="B2477">
        <v>120022</v>
      </c>
      <c r="C2477">
        <v>1200</v>
      </c>
    </row>
    <row r="2478" spans="1:3">
      <c r="A2478" t="s">
        <v>4257</v>
      </c>
      <c r="B2478">
        <v>120023</v>
      </c>
      <c r="C2478">
        <v>1200</v>
      </c>
    </row>
    <row r="2479" spans="1:3">
      <c r="A2479" t="s">
        <v>4258</v>
      </c>
      <c r="B2479">
        <v>120024</v>
      </c>
      <c r="C2479">
        <v>1200</v>
      </c>
    </row>
    <row r="2480" spans="1:3">
      <c r="A2480" t="s">
        <v>4259</v>
      </c>
      <c r="B2480">
        <v>120025</v>
      </c>
      <c r="C2480">
        <v>1200</v>
      </c>
    </row>
    <row r="2481" spans="1:3">
      <c r="A2481" t="s">
        <v>4260</v>
      </c>
      <c r="B2481">
        <v>120026</v>
      </c>
      <c r="C2481">
        <v>1200</v>
      </c>
    </row>
    <row r="2482" spans="1:3">
      <c r="A2482" t="s">
        <v>4261</v>
      </c>
      <c r="B2482">
        <v>120027</v>
      </c>
      <c r="C2482">
        <v>1200</v>
      </c>
    </row>
    <row r="2483" spans="1:3">
      <c r="A2483" t="s">
        <v>4262</v>
      </c>
      <c r="B2483">
        <v>120028</v>
      </c>
      <c r="C2483">
        <v>1200</v>
      </c>
    </row>
    <row r="2484" spans="1:3">
      <c r="A2484" t="s">
        <v>4263</v>
      </c>
      <c r="B2484">
        <v>120029</v>
      </c>
      <c r="C2484">
        <v>1200</v>
      </c>
    </row>
    <row r="2485" spans="1:3">
      <c r="A2485" t="s">
        <v>4264</v>
      </c>
      <c r="B2485">
        <v>120030</v>
      </c>
      <c r="C2485">
        <v>1200</v>
      </c>
    </row>
    <row r="2486" spans="1:3">
      <c r="A2486" t="s">
        <v>4265</v>
      </c>
      <c r="B2486">
        <v>120031</v>
      </c>
      <c r="C2486">
        <v>1200</v>
      </c>
    </row>
    <row r="2487" spans="1:3">
      <c r="A2487" t="s">
        <v>4266</v>
      </c>
      <c r="B2487">
        <v>120032</v>
      </c>
      <c r="C2487">
        <v>1200</v>
      </c>
    </row>
    <row r="2488" spans="1:3">
      <c r="A2488" t="s">
        <v>4267</v>
      </c>
      <c r="B2488">
        <v>120033</v>
      </c>
      <c r="C2488">
        <v>1200</v>
      </c>
    </row>
    <row r="2489" spans="1:3">
      <c r="A2489" t="s">
        <v>4268</v>
      </c>
      <c r="B2489">
        <v>120034</v>
      </c>
      <c r="C2489">
        <v>1200</v>
      </c>
    </row>
    <row r="2490" spans="1:3">
      <c r="A2490" t="s">
        <v>4269</v>
      </c>
      <c r="B2490">
        <v>120035</v>
      </c>
      <c r="C2490">
        <v>1200</v>
      </c>
    </row>
    <row r="2491" spans="1:3">
      <c r="A2491" t="s">
        <v>4270</v>
      </c>
      <c r="B2491">
        <v>120036</v>
      </c>
      <c r="C2491">
        <v>1200</v>
      </c>
    </row>
    <row r="2492" spans="1:3">
      <c r="A2492" t="s">
        <v>4271</v>
      </c>
      <c r="B2492">
        <v>120037</v>
      </c>
      <c r="C2492">
        <v>1200</v>
      </c>
    </row>
    <row r="2493" spans="1:3">
      <c r="A2493" t="s">
        <v>4272</v>
      </c>
      <c r="B2493">
        <v>120038</v>
      </c>
      <c r="C2493">
        <v>1200</v>
      </c>
    </row>
    <row r="2494" spans="1:3">
      <c r="A2494" t="s">
        <v>4273</v>
      </c>
      <c r="B2494">
        <v>120039</v>
      </c>
      <c r="C2494">
        <v>1200</v>
      </c>
    </row>
    <row r="2495" spans="1:3">
      <c r="A2495" t="s">
        <v>4274</v>
      </c>
      <c r="B2495">
        <v>120040</v>
      </c>
      <c r="C2495">
        <v>1200</v>
      </c>
    </row>
    <row r="2496" spans="1:3">
      <c r="A2496" t="s">
        <v>4275</v>
      </c>
      <c r="B2496">
        <v>120041</v>
      </c>
      <c r="C2496">
        <v>1200</v>
      </c>
    </row>
    <row r="2497" spans="1:3">
      <c r="A2497" t="s">
        <v>4276</v>
      </c>
      <c r="B2497">
        <v>120042</v>
      </c>
      <c r="C2497">
        <v>1200</v>
      </c>
    </row>
    <row r="2498" spans="1:3">
      <c r="A2498" t="s">
        <v>4277</v>
      </c>
      <c r="B2498">
        <v>120043</v>
      </c>
      <c r="C2498">
        <v>1200</v>
      </c>
    </row>
    <row r="2499" spans="1:3">
      <c r="A2499" t="s">
        <v>4278</v>
      </c>
      <c r="B2499">
        <v>120044</v>
      </c>
      <c r="C2499">
        <v>1200</v>
      </c>
    </row>
    <row r="2500" spans="1:3">
      <c r="A2500" t="s">
        <v>4279</v>
      </c>
      <c r="B2500">
        <v>120045</v>
      </c>
      <c r="C2500">
        <v>1200</v>
      </c>
    </row>
    <row r="2501" spans="1:3">
      <c r="A2501" t="s">
        <v>4280</v>
      </c>
      <c r="B2501">
        <v>120046</v>
      </c>
      <c r="C2501">
        <v>1200</v>
      </c>
    </row>
    <row r="2502" spans="1:3">
      <c r="A2502" t="s">
        <v>4281</v>
      </c>
      <c r="B2502">
        <v>120047</v>
      </c>
      <c r="C2502">
        <v>1200</v>
      </c>
    </row>
    <row r="2503" spans="1:3">
      <c r="A2503" t="s">
        <v>4282</v>
      </c>
      <c r="B2503">
        <v>120048</v>
      </c>
      <c r="C2503">
        <v>1200</v>
      </c>
    </row>
    <row r="2504" spans="1:3">
      <c r="A2504" t="s">
        <v>4283</v>
      </c>
      <c r="B2504">
        <v>120049</v>
      </c>
      <c r="C2504">
        <v>1200</v>
      </c>
    </row>
    <row r="2505" spans="1:3">
      <c r="A2505" t="s">
        <v>4284</v>
      </c>
      <c r="B2505">
        <v>120050</v>
      </c>
      <c r="C2505">
        <v>1200</v>
      </c>
    </row>
    <row r="2506" spans="1:3">
      <c r="A2506" t="s">
        <v>4285</v>
      </c>
      <c r="B2506">
        <v>120051</v>
      </c>
      <c r="C2506">
        <v>1200</v>
      </c>
    </row>
    <row r="2507" spans="1:3">
      <c r="A2507" t="s">
        <v>4286</v>
      </c>
      <c r="B2507">
        <v>120052</v>
      </c>
      <c r="C2507">
        <v>1200</v>
      </c>
    </row>
    <row r="2508" spans="1:3">
      <c r="A2508" t="s">
        <v>4287</v>
      </c>
      <c r="B2508">
        <v>120053</v>
      </c>
      <c r="C2508">
        <v>1200</v>
      </c>
    </row>
    <row r="2509" spans="1:3">
      <c r="A2509" t="s">
        <v>4288</v>
      </c>
      <c r="B2509">
        <v>120054</v>
      </c>
      <c r="C2509">
        <v>1200</v>
      </c>
    </row>
    <row r="2510" spans="1:3">
      <c r="A2510" t="s">
        <v>4289</v>
      </c>
      <c r="B2510">
        <v>120055</v>
      </c>
      <c r="C2510">
        <v>1200</v>
      </c>
    </row>
    <row r="2511" spans="1:3">
      <c r="A2511" t="s">
        <v>4257</v>
      </c>
      <c r="B2511">
        <v>120056</v>
      </c>
      <c r="C2511">
        <v>1200</v>
      </c>
    </row>
    <row r="2512" spans="1:3">
      <c r="A2512" t="s">
        <v>4290</v>
      </c>
      <c r="B2512">
        <v>120057</v>
      </c>
      <c r="C2512">
        <v>1200</v>
      </c>
    </row>
    <row r="2513" spans="1:3">
      <c r="A2513" t="s">
        <v>4291</v>
      </c>
      <c r="B2513">
        <v>120058</v>
      </c>
      <c r="C2513">
        <v>1200</v>
      </c>
    </row>
    <row r="2514" spans="1:3">
      <c r="A2514" t="s">
        <v>4249</v>
      </c>
      <c r="B2514">
        <v>120059</v>
      </c>
      <c r="C2514">
        <v>1200</v>
      </c>
    </row>
    <row r="2515" spans="1:3">
      <c r="A2515" t="s">
        <v>4251</v>
      </c>
      <c r="B2515">
        <v>120060</v>
      </c>
      <c r="C2515">
        <v>1200</v>
      </c>
    </row>
    <row r="2516" spans="1:3">
      <c r="A2516" t="s">
        <v>4292</v>
      </c>
      <c r="B2516">
        <v>120061</v>
      </c>
      <c r="C2516">
        <v>1200</v>
      </c>
    </row>
    <row r="2517" spans="1:3">
      <c r="A2517" t="s">
        <v>4293</v>
      </c>
      <c r="B2517">
        <v>120062</v>
      </c>
      <c r="C2517">
        <v>1200</v>
      </c>
    </row>
    <row r="2518" spans="1:3">
      <c r="A2518" t="s">
        <v>4294</v>
      </c>
      <c r="B2518">
        <v>120063</v>
      </c>
      <c r="C2518">
        <v>1200</v>
      </c>
    </row>
    <row r="2519" spans="1:3">
      <c r="A2519" t="s">
        <v>4295</v>
      </c>
      <c r="B2519">
        <v>120064</v>
      </c>
      <c r="C2519">
        <v>1200</v>
      </c>
    </row>
    <row r="2520" spans="1:3">
      <c r="A2520" t="s">
        <v>4296</v>
      </c>
      <c r="B2520">
        <v>120065</v>
      </c>
      <c r="C2520">
        <v>1200</v>
      </c>
    </row>
    <row r="2521" spans="1:3">
      <c r="A2521" t="s">
        <v>4297</v>
      </c>
      <c r="B2521">
        <v>120066</v>
      </c>
      <c r="C2521">
        <v>1200</v>
      </c>
    </row>
    <row r="2522" spans="1:3">
      <c r="A2522" t="s">
        <v>4298</v>
      </c>
      <c r="B2522">
        <v>120067</v>
      </c>
      <c r="C2522">
        <v>1200</v>
      </c>
    </row>
    <row r="2523" spans="1:3">
      <c r="A2523" t="s">
        <v>4299</v>
      </c>
      <c r="B2523">
        <v>120068</v>
      </c>
      <c r="C2523">
        <v>1200</v>
      </c>
    </row>
    <row r="2524" spans="1:3">
      <c r="A2524" t="s">
        <v>4295</v>
      </c>
      <c r="B2524">
        <v>120069</v>
      </c>
      <c r="C2524">
        <v>1200</v>
      </c>
    </row>
    <row r="2525" spans="1:3">
      <c r="A2525" t="s">
        <v>4300</v>
      </c>
      <c r="B2525">
        <v>120070</v>
      </c>
      <c r="C2525">
        <v>1200</v>
      </c>
    </row>
    <row r="2526" spans="1:3">
      <c r="A2526" t="s">
        <v>4301</v>
      </c>
      <c r="B2526">
        <v>120071</v>
      </c>
      <c r="C2526">
        <v>1200</v>
      </c>
    </row>
    <row r="2527" spans="1:3">
      <c r="A2527" t="s">
        <v>4302</v>
      </c>
      <c r="B2527">
        <v>120072</v>
      </c>
      <c r="C2527">
        <v>1200</v>
      </c>
    </row>
    <row r="2528" spans="1:3">
      <c r="A2528" t="s">
        <v>4303</v>
      </c>
      <c r="B2528">
        <v>120073</v>
      </c>
      <c r="C2528">
        <v>1200</v>
      </c>
    </row>
    <row r="2529" spans="1:3">
      <c r="A2529" t="s">
        <v>4304</v>
      </c>
      <c r="B2529">
        <v>120074</v>
      </c>
      <c r="C2529">
        <v>1200</v>
      </c>
    </row>
    <row r="2530" spans="1:3">
      <c r="A2530" t="s">
        <v>4305</v>
      </c>
      <c r="B2530">
        <v>130001</v>
      </c>
      <c r="C2530">
        <v>1300</v>
      </c>
    </row>
    <row r="2531" spans="1:3">
      <c r="A2531" t="s">
        <v>4306</v>
      </c>
      <c r="B2531">
        <v>130002</v>
      </c>
      <c r="C2531">
        <v>1300</v>
      </c>
    </row>
    <row r="2532" spans="1:3">
      <c r="A2532" t="s">
        <v>4307</v>
      </c>
      <c r="B2532">
        <v>130003</v>
      </c>
      <c r="C2532">
        <v>1300</v>
      </c>
    </row>
    <row r="2533" spans="1:3">
      <c r="A2533" t="s">
        <v>4308</v>
      </c>
      <c r="B2533">
        <v>130004</v>
      </c>
      <c r="C2533">
        <v>1300</v>
      </c>
    </row>
    <row r="2534" spans="1:3">
      <c r="A2534" t="s">
        <v>4309</v>
      </c>
      <c r="B2534">
        <v>130005</v>
      </c>
      <c r="C2534">
        <v>1300</v>
      </c>
    </row>
    <row r="2535" spans="1:3">
      <c r="A2535" t="s">
        <v>4310</v>
      </c>
      <c r="B2535">
        <v>130006</v>
      </c>
      <c r="C2535">
        <v>1300</v>
      </c>
    </row>
    <row r="2536" spans="1:3">
      <c r="A2536" t="s">
        <v>4311</v>
      </c>
      <c r="B2536">
        <v>130007</v>
      </c>
      <c r="C2536">
        <v>1300</v>
      </c>
    </row>
    <row r="2537" spans="1:3">
      <c r="A2537" t="s">
        <v>2074</v>
      </c>
      <c r="B2537">
        <v>130008</v>
      </c>
      <c r="C2537">
        <v>1300</v>
      </c>
    </row>
    <row r="2538" spans="1:3">
      <c r="A2538" t="s">
        <v>4312</v>
      </c>
      <c r="B2538">
        <v>130009</v>
      </c>
      <c r="C2538">
        <v>1300</v>
      </c>
    </row>
    <row r="2539" spans="1:3">
      <c r="A2539" t="s">
        <v>4313</v>
      </c>
      <c r="B2539">
        <v>130010</v>
      </c>
      <c r="C2539">
        <v>1300</v>
      </c>
    </row>
    <row r="2540" spans="1:3">
      <c r="A2540" t="s">
        <v>4314</v>
      </c>
      <c r="B2540">
        <v>130011</v>
      </c>
      <c r="C2540">
        <v>1300</v>
      </c>
    </row>
    <row r="2541" spans="1:3">
      <c r="A2541" t="s">
        <v>4315</v>
      </c>
      <c r="B2541">
        <v>130012</v>
      </c>
      <c r="C2541">
        <v>1300</v>
      </c>
    </row>
    <row r="2542" spans="1:3">
      <c r="A2542" t="s">
        <v>4316</v>
      </c>
      <c r="B2542">
        <v>130013</v>
      </c>
      <c r="C2542">
        <v>1300</v>
      </c>
    </row>
    <row r="2543" spans="1:3">
      <c r="A2543" t="s">
        <v>4317</v>
      </c>
      <c r="B2543">
        <v>130014</v>
      </c>
      <c r="C2543">
        <v>1300</v>
      </c>
    </row>
    <row r="2544" spans="1:3">
      <c r="A2544" t="s">
        <v>4318</v>
      </c>
      <c r="B2544">
        <v>130015</v>
      </c>
      <c r="C2544">
        <v>1300</v>
      </c>
    </row>
    <row r="2545" spans="1:3">
      <c r="A2545" t="s">
        <v>4319</v>
      </c>
      <c r="B2545">
        <v>130016</v>
      </c>
      <c r="C2545">
        <v>1300</v>
      </c>
    </row>
    <row r="2546" spans="1:3">
      <c r="A2546" t="s">
        <v>4320</v>
      </c>
      <c r="B2546">
        <v>130017</v>
      </c>
      <c r="C2546">
        <v>1300</v>
      </c>
    </row>
    <row r="2547" spans="1:3">
      <c r="A2547" t="s">
        <v>4321</v>
      </c>
      <c r="B2547">
        <v>130018</v>
      </c>
      <c r="C2547">
        <v>1300</v>
      </c>
    </row>
    <row r="2548" spans="1:3">
      <c r="A2548" t="s">
        <v>4322</v>
      </c>
      <c r="B2548">
        <v>130019</v>
      </c>
      <c r="C2548">
        <v>1300</v>
      </c>
    </row>
    <row r="2549" spans="1:3">
      <c r="A2549" t="s">
        <v>4323</v>
      </c>
      <c r="B2549">
        <v>130020</v>
      </c>
      <c r="C2549">
        <v>1300</v>
      </c>
    </row>
    <row r="2550" spans="1:3">
      <c r="A2550" t="s">
        <v>4324</v>
      </c>
      <c r="B2550">
        <v>130021</v>
      </c>
      <c r="C2550">
        <v>1300</v>
      </c>
    </row>
    <row r="2551" spans="1:3">
      <c r="A2551" t="s">
        <v>4325</v>
      </c>
      <c r="B2551">
        <v>130022</v>
      </c>
      <c r="C2551">
        <v>1300</v>
      </c>
    </row>
    <row r="2552" spans="1:3">
      <c r="A2552" t="s">
        <v>4326</v>
      </c>
      <c r="B2552">
        <v>130023</v>
      </c>
      <c r="C2552">
        <v>1300</v>
      </c>
    </row>
    <row r="2553" spans="1:3">
      <c r="A2553" t="s">
        <v>4327</v>
      </c>
      <c r="B2553">
        <v>130024</v>
      </c>
      <c r="C2553">
        <v>1300</v>
      </c>
    </row>
    <row r="2554" spans="1:3">
      <c r="A2554" t="s">
        <v>4328</v>
      </c>
      <c r="B2554">
        <v>130025</v>
      </c>
      <c r="C2554">
        <v>1300</v>
      </c>
    </row>
    <row r="2555" spans="1:3">
      <c r="A2555" t="s">
        <v>4329</v>
      </c>
      <c r="B2555">
        <v>130026</v>
      </c>
      <c r="C2555">
        <v>1300</v>
      </c>
    </row>
    <row r="2556" spans="1:3">
      <c r="A2556" t="s">
        <v>4330</v>
      </c>
      <c r="B2556">
        <v>130027</v>
      </c>
      <c r="C2556">
        <v>1300</v>
      </c>
    </row>
    <row r="2557" spans="1:3">
      <c r="A2557" t="s">
        <v>4331</v>
      </c>
      <c r="B2557">
        <v>130028</v>
      </c>
      <c r="C2557">
        <v>1300</v>
      </c>
    </row>
    <row r="2558" spans="1:3">
      <c r="A2558" t="s">
        <v>4332</v>
      </c>
      <c r="B2558">
        <v>130029</v>
      </c>
      <c r="C2558">
        <v>1300</v>
      </c>
    </row>
    <row r="2559" spans="1:3">
      <c r="A2559" t="s">
        <v>4333</v>
      </c>
      <c r="B2559">
        <v>130030</v>
      </c>
      <c r="C2559">
        <v>1300</v>
      </c>
    </row>
    <row r="2560" spans="1:3">
      <c r="A2560" t="s">
        <v>4334</v>
      </c>
      <c r="B2560">
        <v>130031</v>
      </c>
      <c r="C2560">
        <v>1300</v>
      </c>
    </row>
    <row r="2561" spans="1:3">
      <c r="A2561" t="s">
        <v>4335</v>
      </c>
      <c r="B2561">
        <v>130032</v>
      </c>
      <c r="C2561">
        <v>1300</v>
      </c>
    </row>
    <row r="2562" spans="1:3">
      <c r="A2562" t="s">
        <v>4336</v>
      </c>
      <c r="B2562">
        <v>130033</v>
      </c>
      <c r="C2562">
        <v>1300</v>
      </c>
    </row>
    <row r="2563" spans="1:3">
      <c r="A2563" t="s">
        <v>4337</v>
      </c>
      <c r="B2563">
        <v>130034</v>
      </c>
      <c r="C2563">
        <v>1300</v>
      </c>
    </row>
    <row r="2564" spans="1:3">
      <c r="A2564" t="s">
        <v>4338</v>
      </c>
      <c r="B2564">
        <v>130035</v>
      </c>
      <c r="C2564">
        <v>1300</v>
      </c>
    </row>
    <row r="2565" spans="1:3">
      <c r="A2565" t="s">
        <v>4339</v>
      </c>
      <c r="B2565">
        <v>130036</v>
      </c>
      <c r="C2565">
        <v>1300</v>
      </c>
    </row>
    <row r="2566" spans="1:3">
      <c r="A2566" t="s">
        <v>4340</v>
      </c>
      <c r="B2566">
        <v>130037</v>
      </c>
      <c r="C2566">
        <v>1300</v>
      </c>
    </row>
    <row r="2567" spans="1:3">
      <c r="A2567" t="s">
        <v>4341</v>
      </c>
      <c r="B2567">
        <v>130038</v>
      </c>
      <c r="C2567">
        <v>1300</v>
      </c>
    </row>
    <row r="2568" spans="1:3">
      <c r="A2568" t="s">
        <v>4342</v>
      </c>
      <c r="B2568">
        <v>130039</v>
      </c>
      <c r="C2568">
        <v>1300</v>
      </c>
    </row>
    <row r="2569" spans="1:3">
      <c r="A2569" t="s">
        <v>4343</v>
      </c>
      <c r="B2569">
        <v>130040</v>
      </c>
      <c r="C2569">
        <v>1300</v>
      </c>
    </row>
    <row r="2570" spans="1:3">
      <c r="A2570" t="s">
        <v>4344</v>
      </c>
      <c r="B2570">
        <v>130041</v>
      </c>
      <c r="C2570">
        <v>1300</v>
      </c>
    </row>
    <row r="2571" spans="1:3">
      <c r="A2571" t="s">
        <v>4345</v>
      </c>
      <c r="B2571">
        <v>130042</v>
      </c>
      <c r="C2571">
        <v>1300</v>
      </c>
    </row>
    <row r="2572" spans="1:3">
      <c r="A2572" t="s">
        <v>4346</v>
      </c>
      <c r="B2572">
        <v>130043</v>
      </c>
      <c r="C2572">
        <v>1300</v>
      </c>
    </row>
    <row r="2573" spans="1:3">
      <c r="A2573" t="s">
        <v>4347</v>
      </c>
      <c r="B2573">
        <v>130044</v>
      </c>
      <c r="C2573">
        <v>1300</v>
      </c>
    </row>
    <row r="2574" spans="1:3">
      <c r="A2574" t="s">
        <v>4348</v>
      </c>
      <c r="B2574">
        <v>130045</v>
      </c>
      <c r="C2574">
        <v>1300</v>
      </c>
    </row>
    <row r="2575" spans="1:3">
      <c r="A2575" t="s">
        <v>4349</v>
      </c>
      <c r="B2575">
        <v>130046</v>
      </c>
      <c r="C2575">
        <v>1300</v>
      </c>
    </row>
    <row r="2576" spans="1:3">
      <c r="A2576" t="s">
        <v>2457</v>
      </c>
      <c r="B2576">
        <v>130047</v>
      </c>
      <c r="C2576">
        <v>1300</v>
      </c>
    </row>
    <row r="2577" spans="1:3">
      <c r="A2577" t="s">
        <v>4350</v>
      </c>
      <c r="B2577">
        <v>130048</v>
      </c>
      <c r="C2577">
        <v>1300</v>
      </c>
    </row>
    <row r="2578" spans="1:3">
      <c r="A2578" t="s">
        <v>4351</v>
      </c>
      <c r="B2578">
        <v>130049</v>
      </c>
      <c r="C2578">
        <v>1300</v>
      </c>
    </row>
    <row r="2579" spans="1:3">
      <c r="A2579" t="s">
        <v>4352</v>
      </c>
      <c r="B2579">
        <v>130050</v>
      </c>
      <c r="C2579">
        <v>1300</v>
      </c>
    </row>
    <row r="2580" spans="1:3">
      <c r="A2580" t="s">
        <v>2465</v>
      </c>
      <c r="B2580">
        <v>130051</v>
      </c>
      <c r="C2580">
        <v>1300</v>
      </c>
    </row>
    <row r="2581" spans="1:3">
      <c r="A2581" t="s">
        <v>4353</v>
      </c>
      <c r="B2581">
        <v>130052</v>
      </c>
      <c r="C2581">
        <v>1300</v>
      </c>
    </row>
    <row r="2582" spans="1:3">
      <c r="A2582" t="s">
        <v>4354</v>
      </c>
      <c r="B2582">
        <v>130053</v>
      </c>
      <c r="C2582">
        <v>1300</v>
      </c>
    </row>
    <row r="2583" spans="1:3">
      <c r="A2583" t="s">
        <v>4355</v>
      </c>
      <c r="B2583">
        <v>130054</v>
      </c>
      <c r="C2583">
        <v>1300</v>
      </c>
    </row>
    <row r="2584" spans="1:3">
      <c r="A2584" t="s">
        <v>4356</v>
      </c>
      <c r="B2584">
        <v>130055</v>
      </c>
      <c r="C2584">
        <v>1300</v>
      </c>
    </row>
    <row r="2585" spans="1:3">
      <c r="A2585" t="s">
        <v>4357</v>
      </c>
      <c r="B2585">
        <v>130056</v>
      </c>
      <c r="C2585">
        <v>1300</v>
      </c>
    </row>
    <row r="2586" spans="1:3">
      <c r="A2586" t="s">
        <v>4358</v>
      </c>
      <c r="B2586">
        <v>130057</v>
      </c>
      <c r="C2586">
        <v>1300</v>
      </c>
    </row>
    <row r="2587" spans="1:3">
      <c r="A2587" t="s">
        <v>4359</v>
      </c>
      <c r="B2587">
        <v>130058</v>
      </c>
      <c r="C2587">
        <v>1300</v>
      </c>
    </row>
    <row r="2588" spans="1:3">
      <c r="A2588" t="s">
        <v>4360</v>
      </c>
      <c r="B2588">
        <v>130059</v>
      </c>
      <c r="C2588">
        <v>1300</v>
      </c>
    </row>
    <row r="2589" spans="1:3">
      <c r="A2589" t="s">
        <v>4361</v>
      </c>
      <c r="B2589">
        <v>130060</v>
      </c>
      <c r="C2589">
        <v>1300</v>
      </c>
    </row>
    <row r="2590" spans="1:3">
      <c r="A2590" t="s">
        <v>4362</v>
      </c>
      <c r="B2590">
        <v>130061</v>
      </c>
      <c r="C2590">
        <v>1300</v>
      </c>
    </row>
    <row r="2591" spans="1:3">
      <c r="A2591" t="s">
        <v>4363</v>
      </c>
      <c r="B2591">
        <v>130062</v>
      </c>
      <c r="C2591">
        <v>1300</v>
      </c>
    </row>
    <row r="2592" spans="1:3">
      <c r="A2592" t="s">
        <v>4364</v>
      </c>
      <c r="B2592">
        <v>130063</v>
      </c>
      <c r="C2592">
        <v>1300</v>
      </c>
    </row>
    <row r="2593" spans="1:3">
      <c r="A2593" t="s">
        <v>2530</v>
      </c>
      <c r="B2593">
        <v>130064</v>
      </c>
      <c r="C2593">
        <v>1300</v>
      </c>
    </row>
    <row r="2594" spans="1:3">
      <c r="A2594" t="s">
        <v>2515</v>
      </c>
      <c r="B2594">
        <v>130065</v>
      </c>
      <c r="C2594">
        <v>1300</v>
      </c>
    </row>
    <row r="2595" spans="1:3">
      <c r="A2595" t="s">
        <v>4365</v>
      </c>
      <c r="B2595">
        <v>130066</v>
      </c>
      <c r="C2595">
        <v>1300</v>
      </c>
    </row>
    <row r="2596" spans="1:3">
      <c r="A2596" t="s">
        <v>4366</v>
      </c>
      <c r="B2596">
        <v>130067</v>
      </c>
      <c r="C2596">
        <v>1300</v>
      </c>
    </row>
    <row r="2597" spans="1:3">
      <c r="A2597" t="s">
        <v>2588</v>
      </c>
      <c r="B2597">
        <v>130068</v>
      </c>
      <c r="C2597">
        <v>1300</v>
      </c>
    </row>
    <row r="2598" spans="1:3">
      <c r="A2598" t="s">
        <v>4367</v>
      </c>
      <c r="B2598">
        <v>130069</v>
      </c>
      <c r="C2598">
        <v>1300</v>
      </c>
    </row>
    <row r="2599" spans="1:3">
      <c r="A2599" t="s">
        <v>4368</v>
      </c>
      <c r="B2599">
        <v>130070</v>
      </c>
      <c r="C2599">
        <v>1300</v>
      </c>
    </row>
    <row r="2600" spans="1:3">
      <c r="A2600" t="s">
        <v>4369</v>
      </c>
      <c r="B2600">
        <v>130071</v>
      </c>
      <c r="C2600">
        <v>1300</v>
      </c>
    </row>
    <row r="2601" spans="1:3">
      <c r="A2601" t="s">
        <v>4370</v>
      </c>
      <c r="B2601">
        <v>130072</v>
      </c>
      <c r="C2601">
        <v>1300</v>
      </c>
    </row>
    <row r="2602" spans="1:3">
      <c r="A2602" t="s">
        <v>4371</v>
      </c>
      <c r="B2602">
        <v>130073</v>
      </c>
      <c r="C2602">
        <v>1300</v>
      </c>
    </row>
    <row r="2603" spans="1:3">
      <c r="A2603" t="s">
        <v>4372</v>
      </c>
      <c r="B2603">
        <v>130074</v>
      </c>
      <c r="C2603">
        <v>1300</v>
      </c>
    </row>
    <row r="2604" spans="1:3">
      <c r="A2604" t="s">
        <v>4373</v>
      </c>
      <c r="B2604">
        <v>130075</v>
      </c>
      <c r="C2604">
        <v>1300</v>
      </c>
    </row>
    <row r="2605" spans="1:3">
      <c r="A2605" t="s">
        <v>4374</v>
      </c>
      <c r="B2605">
        <v>130076</v>
      </c>
      <c r="C2605">
        <v>1300</v>
      </c>
    </row>
    <row r="2606" spans="1:3">
      <c r="A2606" t="s">
        <v>4375</v>
      </c>
      <c r="B2606">
        <v>130077</v>
      </c>
      <c r="C2606">
        <v>1300</v>
      </c>
    </row>
    <row r="2607" spans="1:3">
      <c r="A2607" t="s">
        <v>4376</v>
      </c>
      <c r="B2607">
        <v>130078</v>
      </c>
      <c r="C2607">
        <v>1300</v>
      </c>
    </row>
    <row r="2608" spans="1:3">
      <c r="A2608" t="s">
        <v>4377</v>
      </c>
      <c r="B2608">
        <v>130079</v>
      </c>
      <c r="C2608">
        <v>1300</v>
      </c>
    </row>
    <row r="2609" spans="1:3">
      <c r="A2609" t="s">
        <v>4378</v>
      </c>
      <c r="B2609">
        <v>130080</v>
      </c>
      <c r="C2609">
        <v>1300</v>
      </c>
    </row>
    <row r="2610" spans="1:3">
      <c r="A2610" t="s">
        <v>4379</v>
      </c>
      <c r="B2610">
        <v>130081</v>
      </c>
      <c r="C2610">
        <v>1300</v>
      </c>
    </row>
    <row r="2611" spans="1:3">
      <c r="A2611" t="s">
        <v>4380</v>
      </c>
      <c r="B2611">
        <v>130082</v>
      </c>
      <c r="C2611">
        <v>1300</v>
      </c>
    </row>
    <row r="2612" spans="1:3">
      <c r="A2612" t="s">
        <v>4381</v>
      </c>
      <c r="B2612">
        <v>130083</v>
      </c>
      <c r="C2612">
        <v>1300</v>
      </c>
    </row>
    <row r="2613" spans="1:3">
      <c r="A2613" t="s">
        <v>4382</v>
      </c>
      <c r="B2613">
        <v>130084</v>
      </c>
      <c r="C2613">
        <v>1300</v>
      </c>
    </row>
    <row r="2614" spans="1:3">
      <c r="A2614" t="s">
        <v>4383</v>
      </c>
      <c r="B2614">
        <v>130085</v>
      </c>
      <c r="C2614">
        <v>1300</v>
      </c>
    </row>
    <row r="2615" spans="1:3">
      <c r="A2615" t="s">
        <v>4384</v>
      </c>
      <c r="B2615">
        <v>130086</v>
      </c>
      <c r="C2615">
        <v>1300</v>
      </c>
    </row>
    <row r="2616" spans="1:3">
      <c r="A2616" t="s">
        <v>4385</v>
      </c>
      <c r="B2616">
        <v>130087</v>
      </c>
      <c r="C2616">
        <v>1300</v>
      </c>
    </row>
    <row r="2617" spans="1:3">
      <c r="A2617" t="s">
        <v>4386</v>
      </c>
      <c r="B2617">
        <v>130088</v>
      </c>
      <c r="C2617">
        <v>1300</v>
      </c>
    </row>
    <row r="2618" spans="1:3">
      <c r="A2618" t="s">
        <v>4387</v>
      </c>
      <c r="B2618">
        <v>130089</v>
      </c>
      <c r="C2618">
        <v>1300</v>
      </c>
    </row>
    <row r="2619" spans="1:3">
      <c r="A2619" t="s">
        <v>4388</v>
      </c>
      <c r="B2619">
        <v>130090</v>
      </c>
      <c r="C2619">
        <v>1300</v>
      </c>
    </row>
    <row r="2620" spans="1:3">
      <c r="A2620" t="s">
        <v>4389</v>
      </c>
      <c r="B2620">
        <v>130091</v>
      </c>
      <c r="C2620">
        <v>1300</v>
      </c>
    </row>
    <row r="2621" spans="1:3">
      <c r="A2621" t="s">
        <v>4390</v>
      </c>
      <c r="B2621">
        <v>130092</v>
      </c>
      <c r="C2621">
        <v>1300</v>
      </c>
    </row>
    <row r="2622" spans="1:3">
      <c r="A2622" t="s">
        <v>4391</v>
      </c>
      <c r="B2622">
        <v>130093</v>
      </c>
      <c r="C2622">
        <v>1300</v>
      </c>
    </row>
    <row r="2623" spans="1:3">
      <c r="A2623" t="s">
        <v>4392</v>
      </c>
      <c r="B2623">
        <v>130094</v>
      </c>
      <c r="C2623">
        <v>1300</v>
      </c>
    </row>
    <row r="2624" spans="1:3">
      <c r="A2624" t="s">
        <v>4393</v>
      </c>
      <c r="B2624">
        <v>130095</v>
      </c>
      <c r="C2624">
        <v>1300</v>
      </c>
    </row>
    <row r="2625" spans="1:3">
      <c r="A2625" t="s">
        <v>4394</v>
      </c>
      <c r="B2625">
        <v>130999</v>
      </c>
      <c r="C2625">
        <v>1300</v>
      </c>
    </row>
    <row r="2626" spans="1:3">
      <c r="A2626" t="s">
        <v>4395</v>
      </c>
      <c r="B2626">
        <v>131000</v>
      </c>
      <c r="C2626">
        <v>1300</v>
      </c>
    </row>
    <row r="2627" spans="1:3">
      <c r="A2627" t="s">
        <v>4396</v>
      </c>
      <c r="B2627">
        <v>131001</v>
      </c>
      <c r="C2627">
        <v>1300</v>
      </c>
    </row>
    <row r="2628" spans="1:3">
      <c r="A2628" t="s">
        <v>4397</v>
      </c>
      <c r="B2628">
        <v>131002</v>
      </c>
      <c r="C2628">
        <v>1300</v>
      </c>
    </row>
    <row r="2629" spans="1:3">
      <c r="A2629" t="s">
        <v>4398</v>
      </c>
      <c r="B2629">
        <v>131003</v>
      </c>
      <c r="C2629">
        <v>1300</v>
      </c>
    </row>
    <row r="2630" spans="1:3">
      <c r="A2630" t="s">
        <v>4399</v>
      </c>
      <c r="B2630">
        <v>131004</v>
      </c>
      <c r="C2630">
        <v>1300</v>
      </c>
    </row>
    <row r="2631" spans="1:3">
      <c r="A2631" t="s">
        <v>4400</v>
      </c>
      <c r="B2631">
        <v>131005</v>
      </c>
      <c r="C2631">
        <v>1300</v>
      </c>
    </row>
    <row r="2632" spans="1:3">
      <c r="A2632" t="s">
        <v>2962</v>
      </c>
      <c r="B2632">
        <v>131006</v>
      </c>
      <c r="C2632">
        <v>1300</v>
      </c>
    </row>
    <row r="2633" spans="1:3">
      <c r="A2633" t="s">
        <v>4401</v>
      </c>
      <c r="B2633">
        <v>131007</v>
      </c>
      <c r="C2633">
        <v>1300</v>
      </c>
    </row>
    <row r="2634" spans="1:3">
      <c r="A2634" t="s">
        <v>4402</v>
      </c>
      <c r="B2634">
        <v>131008</v>
      </c>
      <c r="C2634">
        <v>1300</v>
      </c>
    </row>
    <row r="2635" spans="1:3">
      <c r="A2635" t="s">
        <v>4403</v>
      </c>
      <c r="B2635">
        <v>131009</v>
      </c>
      <c r="C2635">
        <v>1300</v>
      </c>
    </row>
    <row r="2636" spans="1:3">
      <c r="A2636" t="s">
        <v>4404</v>
      </c>
      <c r="B2636">
        <v>131010</v>
      </c>
      <c r="C2636">
        <v>1300</v>
      </c>
    </row>
    <row r="2637" spans="1:3">
      <c r="A2637" t="s">
        <v>4405</v>
      </c>
      <c r="B2637">
        <v>131011</v>
      </c>
      <c r="C2637">
        <v>1300</v>
      </c>
    </row>
    <row r="2638" spans="1:3">
      <c r="A2638" t="s">
        <v>4406</v>
      </c>
      <c r="B2638">
        <v>131012</v>
      </c>
      <c r="C2638">
        <v>1300</v>
      </c>
    </row>
    <row r="2639" spans="1:3">
      <c r="A2639" t="s">
        <v>4407</v>
      </c>
      <c r="B2639">
        <v>131013</v>
      </c>
      <c r="C2639">
        <v>1300</v>
      </c>
    </row>
    <row r="2640" spans="1:3">
      <c r="A2640" t="s">
        <v>2464</v>
      </c>
      <c r="B2640">
        <v>131014</v>
      </c>
      <c r="C2640">
        <v>1300</v>
      </c>
    </row>
    <row r="2641" spans="1:3">
      <c r="A2641" t="s">
        <v>4408</v>
      </c>
      <c r="B2641">
        <v>131015</v>
      </c>
      <c r="C2641">
        <v>1300</v>
      </c>
    </row>
    <row r="2642" spans="1:3">
      <c r="A2642" t="s">
        <v>4409</v>
      </c>
      <c r="B2642">
        <v>131016</v>
      </c>
      <c r="C2642">
        <v>1300</v>
      </c>
    </row>
    <row r="2643" spans="1:3">
      <c r="A2643" t="s">
        <v>4410</v>
      </c>
      <c r="B2643">
        <v>131017</v>
      </c>
      <c r="C2643">
        <v>1300</v>
      </c>
    </row>
    <row r="2644" spans="1:3">
      <c r="A2644" t="s">
        <v>4411</v>
      </c>
      <c r="B2644">
        <v>131018</v>
      </c>
      <c r="C2644">
        <v>1300</v>
      </c>
    </row>
    <row r="2645" spans="1:3">
      <c r="A2645" t="s">
        <v>4412</v>
      </c>
      <c r="B2645">
        <v>131019</v>
      </c>
      <c r="C2645">
        <v>1300</v>
      </c>
    </row>
    <row r="2646" spans="1:3">
      <c r="A2646" t="s">
        <v>4413</v>
      </c>
      <c r="B2646">
        <v>131020</v>
      </c>
      <c r="C2646">
        <v>1300</v>
      </c>
    </row>
    <row r="2647" spans="1:3">
      <c r="A2647" t="s">
        <v>4414</v>
      </c>
      <c r="B2647">
        <v>131021</v>
      </c>
      <c r="C2647">
        <v>1300</v>
      </c>
    </row>
    <row r="2648" spans="1:3">
      <c r="A2648" t="s">
        <v>4415</v>
      </c>
      <c r="B2648">
        <v>131022</v>
      </c>
      <c r="C2648">
        <v>1300</v>
      </c>
    </row>
    <row r="2649" spans="1:3">
      <c r="A2649" t="s">
        <v>4416</v>
      </c>
      <c r="B2649">
        <v>131023</v>
      </c>
      <c r="C2649">
        <v>1300</v>
      </c>
    </row>
    <row r="2650" spans="1:3">
      <c r="A2650" t="s">
        <v>3035</v>
      </c>
      <c r="B2650">
        <v>131024</v>
      </c>
      <c r="C2650">
        <v>1300</v>
      </c>
    </row>
    <row r="2651" spans="1:3">
      <c r="A2651" t="s">
        <v>4417</v>
      </c>
      <c r="B2651">
        <v>131025</v>
      </c>
      <c r="C2651">
        <v>1300</v>
      </c>
    </row>
    <row r="2652" spans="1:3">
      <c r="A2652" t="s">
        <v>4418</v>
      </c>
      <c r="B2652">
        <v>131026</v>
      </c>
      <c r="C2652">
        <v>1300</v>
      </c>
    </row>
    <row r="2653" spans="1:3">
      <c r="A2653" t="s">
        <v>4419</v>
      </c>
      <c r="B2653">
        <v>131027</v>
      </c>
      <c r="C2653">
        <v>1300</v>
      </c>
    </row>
    <row r="2654" spans="1:3">
      <c r="A2654" t="s">
        <v>4420</v>
      </c>
      <c r="B2654">
        <v>131028</v>
      </c>
      <c r="C2654">
        <v>1300</v>
      </c>
    </row>
    <row r="2655" spans="1:3">
      <c r="A2655" t="s">
        <v>4421</v>
      </c>
      <c r="B2655">
        <v>131029</v>
      </c>
      <c r="C2655">
        <v>1300</v>
      </c>
    </row>
    <row r="2656" spans="1:3">
      <c r="A2656" t="s">
        <v>4422</v>
      </c>
      <c r="B2656">
        <v>131030</v>
      </c>
      <c r="C2656">
        <v>1300</v>
      </c>
    </row>
    <row r="2657" spans="1:3">
      <c r="A2657" t="s">
        <v>4423</v>
      </c>
      <c r="B2657">
        <v>131031</v>
      </c>
      <c r="C2657">
        <v>1300</v>
      </c>
    </row>
    <row r="2658" spans="1:3">
      <c r="A2658" t="s">
        <v>4424</v>
      </c>
      <c r="B2658">
        <v>131032</v>
      </c>
      <c r="C2658">
        <v>1300</v>
      </c>
    </row>
    <row r="2659" spans="1:3">
      <c r="A2659" t="s">
        <v>4425</v>
      </c>
      <c r="B2659">
        <v>131033</v>
      </c>
      <c r="C2659">
        <v>1300</v>
      </c>
    </row>
    <row r="2660" spans="1:3">
      <c r="A2660" t="s">
        <v>4426</v>
      </c>
      <c r="B2660">
        <v>131034</v>
      </c>
      <c r="C2660">
        <v>1300</v>
      </c>
    </row>
    <row r="2661" spans="1:3">
      <c r="A2661" t="s">
        <v>608</v>
      </c>
      <c r="B2661">
        <v>131035</v>
      </c>
      <c r="C2661">
        <v>1300</v>
      </c>
    </row>
    <row r="2662" spans="1:3">
      <c r="A2662" t="s">
        <v>4427</v>
      </c>
      <c r="B2662">
        <v>131036</v>
      </c>
      <c r="C2662">
        <v>1300</v>
      </c>
    </row>
    <row r="2663" spans="1:3">
      <c r="A2663" t="s">
        <v>4428</v>
      </c>
      <c r="B2663">
        <v>131037</v>
      </c>
      <c r="C2663">
        <v>1300</v>
      </c>
    </row>
    <row r="2664" spans="1:3">
      <c r="A2664" t="s">
        <v>4429</v>
      </c>
      <c r="B2664">
        <v>131038</v>
      </c>
      <c r="C2664">
        <v>1300</v>
      </c>
    </row>
    <row r="2665" spans="1:3">
      <c r="A2665" t="s">
        <v>4430</v>
      </c>
      <c r="B2665">
        <v>131039</v>
      </c>
      <c r="C2665">
        <v>1300</v>
      </c>
    </row>
    <row r="2666" spans="1:3">
      <c r="A2666" t="s">
        <v>4431</v>
      </c>
      <c r="B2666">
        <v>131040</v>
      </c>
      <c r="C2666">
        <v>1300</v>
      </c>
    </row>
    <row r="2667" spans="1:3">
      <c r="A2667" t="s">
        <v>4432</v>
      </c>
      <c r="B2667">
        <v>131041</v>
      </c>
      <c r="C2667">
        <v>1300</v>
      </c>
    </row>
    <row r="2668" spans="1:3">
      <c r="A2668" t="s">
        <v>4433</v>
      </c>
      <c r="B2668">
        <v>131042</v>
      </c>
      <c r="C2668">
        <v>1300</v>
      </c>
    </row>
    <row r="2669" spans="1:3">
      <c r="A2669" t="s">
        <v>4434</v>
      </c>
      <c r="B2669">
        <v>131043</v>
      </c>
      <c r="C2669">
        <v>1300</v>
      </c>
    </row>
    <row r="2670" spans="1:3">
      <c r="A2670" t="s">
        <v>4435</v>
      </c>
      <c r="B2670">
        <v>131044</v>
      </c>
      <c r="C2670">
        <v>1300</v>
      </c>
    </row>
    <row r="2671" spans="1:3">
      <c r="A2671" t="s">
        <v>4436</v>
      </c>
      <c r="B2671">
        <v>131045</v>
      </c>
      <c r="C2671">
        <v>1300</v>
      </c>
    </row>
    <row r="2672" spans="1:3">
      <c r="A2672" t="s">
        <v>4437</v>
      </c>
      <c r="B2672">
        <v>131046</v>
      </c>
      <c r="C2672">
        <v>1300</v>
      </c>
    </row>
    <row r="2673" spans="1:3">
      <c r="A2673" t="s">
        <v>4438</v>
      </c>
      <c r="B2673">
        <v>131047</v>
      </c>
      <c r="C2673">
        <v>1300</v>
      </c>
    </row>
    <row r="2674" spans="1:3">
      <c r="A2674" t="s">
        <v>4439</v>
      </c>
      <c r="B2674">
        <v>131048</v>
      </c>
      <c r="C2674">
        <v>1300</v>
      </c>
    </row>
    <row r="2675" spans="1:3">
      <c r="A2675" t="s">
        <v>4440</v>
      </c>
      <c r="B2675">
        <v>131049</v>
      </c>
      <c r="C2675">
        <v>1300</v>
      </c>
    </row>
    <row r="2676" spans="1:3">
      <c r="A2676" t="s">
        <v>4441</v>
      </c>
      <c r="B2676">
        <v>131050</v>
      </c>
      <c r="C2676">
        <v>1300</v>
      </c>
    </row>
    <row r="2677" spans="1:3">
      <c r="A2677" t="s">
        <v>4442</v>
      </c>
      <c r="B2677">
        <v>131051</v>
      </c>
      <c r="C2677">
        <v>1300</v>
      </c>
    </row>
    <row r="2678" spans="1:3">
      <c r="A2678" t="s">
        <v>4443</v>
      </c>
      <c r="B2678">
        <v>131052</v>
      </c>
      <c r="C2678">
        <v>1300</v>
      </c>
    </row>
    <row r="2679" spans="1:3">
      <c r="A2679" t="s">
        <v>3264</v>
      </c>
      <c r="B2679">
        <v>131053</v>
      </c>
      <c r="C2679">
        <v>1300</v>
      </c>
    </row>
    <row r="2680" spans="1:3">
      <c r="A2680" t="s">
        <v>2899</v>
      </c>
      <c r="B2680">
        <v>131054</v>
      </c>
      <c r="C2680">
        <v>1300</v>
      </c>
    </row>
    <row r="2681" spans="1:3">
      <c r="A2681" t="s">
        <v>2899</v>
      </c>
      <c r="B2681">
        <v>131055</v>
      </c>
      <c r="C2681">
        <v>1300</v>
      </c>
    </row>
    <row r="2682" spans="1:3">
      <c r="A2682" t="s">
        <v>4444</v>
      </c>
      <c r="B2682">
        <v>131056</v>
      </c>
      <c r="C2682">
        <v>1300</v>
      </c>
    </row>
    <row r="2683" spans="1:3">
      <c r="A2683" t="s">
        <v>4363</v>
      </c>
      <c r="B2683">
        <v>131057</v>
      </c>
      <c r="C2683">
        <v>1300</v>
      </c>
    </row>
    <row r="2684" spans="1:3">
      <c r="A2684" t="s">
        <v>4445</v>
      </c>
      <c r="B2684">
        <v>131058</v>
      </c>
      <c r="C2684">
        <v>1300</v>
      </c>
    </row>
    <row r="2685" spans="1:3">
      <c r="A2685" t="s">
        <v>4446</v>
      </c>
      <c r="B2685">
        <v>131059</v>
      </c>
      <c r="C2685">
        <v>1300</v>
      </c>
    </row>
    <row r="2686" spans="1:3">
      <c r="A2686" t="s">
        <v>4447</v>
      </c>
      <c r="B2686">
        <v>131060</v>
      </c>
      <c r="C2686">
        <v>1300</v>
      </c>
    </row>
    <row r="2687" spans="1:3">
      <c r="A2687" t="s">
        <v>4448</v>
      </c>
      <c r="B2687">
        <v>131061</v>
      </c>
      <c r="C2687">
        <v>1300</v>
      </c>
    </row>
    <row r="2688" spans="1:3">
      <c r="A2688" t="s">
        <v>4449</v>
      </c>
      <c r="B2688">
        <v>131062</v>
      </c>
      <c r="C2688">
        <v>1300</v>
      </c>
    </row>
    <row r="2689" spans="1:3">
      <c r="A2689" t="s">
        <v>4450</v>
      </c>
      <c r="B2689">
        <v>131063</v>
      </c>
      <c r="C2689">
        <v>1300</v>
      </c>
    </row>
    <row r="2690" spans="1:3">
      <c r="A2690" t="s">
        <v>4451</v>
      </c>
      <c r="B2690">
        <v>131064</v>
      </c>
      <c r="C2690">
        <v>1300</v>
      </c>
    </row>
    <row r="2691" spans="1:3">
      <c r="A2691" t="s">
        <v>4452</v>
      </c>
      <c r="B2691">
        <v>131065</v>
      </c>
      <c r="C2691">
        <v>1300</v>
      </c>
    </row>
    <row r="2692" spans="1:3">
      <c r="A2692" t="s">
        <v>4453</v>
      </c>
      <c r="B2692">
        <v>131066</v>
      </c>
      <c r="C2692">
        <v>1300</v>
      </c>
    </row>
    <row r="2693" spans="1:3">
      <c r="A2693" t="s">
        <v>4454</v>
      </c>
      <c r="B2693">
        <v>131067</v>
      </c>
      <c r="C2693">
        <v>1300</v>
      </c>
    </row>
    <row r="2694" spans="1:3">
      <c r="A2694" t="s">
        <v>4455</v>
      </c>
      <c r="B2694">
        <v>131068</v>
      </c>
      <c r="C2694">
        <v>1300</v>
      </c>
    </row>
    <row r="2695" spans="1:3">
      <c r="A2695" t="s">
        <v>3267</v>
      </c>
      <c r="B2695">
        <v>131069</v>
      </c>
      <c r="C2695">
        <v>1300</v>
      </c>
    </row>
    <row r="2696" spans="1:3">
      <c r="A2696" t="s">
        <v>4456</v>
      </c>
      <c r="B2696">
        <v>131070</v>
      </c>
      <c r="C2696">
        <v>1300</v>
      </c>
    </row>
    <row r="2697" spans="1:3">
      <c r="A2697" t="s">
        <v>4457</v>
      </c>
      <c r="B2697">
        <v>131071</v>
      </c>
      <c r="C2697">
        <v>1300</v>
      </c>
    </row>
    <row r="2698" spans="1:3">
      <c r="A2698" t="s">
        <v>4458</v>
      </c>
      <c r="B2698">
        <v>131072</v>
      </c>
      <c r="C2698">
        <v>1300</v>
      </c>
    </row>
    <row r="2699" spans="1:3">
      <c r="A2699" t="s">
        <v>4459</v>
      </c>
      <c r="B2699">
        <v>131073</v>
      </c>
      <c r="C2699">
        <v>1300</v>
      </c>
    </row>
    <row r="2700" spans="1:3">
      <c r="A2700" t="s">
        <v>4460</v>
      </c>
      <c r="B2700">
        <v>131074</v>
      </c>
      <c r="C2700">
        <v>1300</v>
      </c>
    </row>
    <row r="2701" spans="1:3">
      <c r="A2701" t="s">
        <v>4461</v>
      </c>
      <c r="B2701">
        <v>131075</v>
      </c>
      <c r="C2701">
        <v>1300</v>
      </c>
    </row>
    <row r="2702" spans="1:3">
      <c r="A2702" t="s">
        <v>4462</v>
      </c>
      <c r="B2702">
        <v>131076</v>
      </c>
      <c r="C2702">
        <v>1300</v>
      </c>
    </row>
    <row r="2703" spans="1:3">
      <c r="A2703" t="s">
        <v>4463</v>
      </c>
      <c r="B2703">
        <v>131077</v>
      </c>
      <c r="C2703">
        <v>1300</v>
      </c>
    </row>
    <row r="2704" spans="1:3">
      <c r="A2704" t="s">
        <v>4464</v>
      </c>
      <c r="B2704">
        <v>131078</v>
      </c>
      <c r="C2704">
        <v>1300</v>
      </c>
    </row>
    <row r="2705" spans="1:3">
      <c r="A2705" t="s">
        <v>4465</v>
      </c>
      <c r="B2705">
        <v>131079</v>
      </c>
      <c r="C2705">
        <v>1300</v>
      </c>
    </row>
    <row r="2706" spans="1:3">
      <c r="A2706" t="s">
        <v>4466</v>
      </c>
      <c r="B2706">
        <v>131080</v>
      </c>
      <c r="C2706">
        <v>1300</v>
      </c>
    </row>
    <row r="2707" spans="1:3">
      <c r="A2707" t="s">
        <v>4467</v>
      </c>
      <c r="B2707">
        <v>131081</v>
      </c>
      <c r="C2707">
        <v>1300</v>
      </c>
    </row>
    <row r="2708" spans="1:3">
      <c r="A2708" t="s">
        <v>4468</v>
      </c>
      <c r="B2708">
        <v>131082</v>
      </c>
      <c r="C2708">
        <v>1300</v>
      </c>
    </row>
    <row r="2709" spans="1:3">
      <c r="A2709" t="s">
        <v>4469</v>
      </c>
      <c r="B2709">
        <v>131083</v>
      </c>
      <c r="C2709">
        <v>1300</v>
      </c>
    </row>
    <row r="2710" spans="1:3">
      <c r="A2710" t="s">
        <v>4470</v>
      </c>
      <c r="B2710">
        <v>131084</v>
      </c>
      <c r="C2710">
        <v>1300</v>
      </c>
    </row>
    <row r="2711" spans="1:3">
      <c r="A2711" t="s">
        <v>4471</v>
      </c>
      <c r="B2711">
        <v>131085</v>
      </c>
      <c r="C2711">
        <v>1300</v>
      </c>
    </row>
    <row r="2712" spans="1:3">
      <c r="A2712" t="s">
        <v>4472</v>
      </c>
      <c r="B2712">
        <v>131086</v>
      </c>
      <c r="C2712">
        <v>1300</v>
      </c>
    </row>
    <row r="2713" spans="1:3">
      <c r="A2713" t="s">
        <v>4473</v>
      </c>
      <c r="B2713">
        <v>131087</v>
      </c>
      <c r="C2713">
        <v>1300</v>
      </c>
    </row>
    <row r="2714" spans="1:3">
      <c r="A2714" t="s">
        <v>4474</v>
      </c>
      <c r="B2714">
        <v>131088</v>
      </c>
      <c r="C2714">
        <v>1300</v>
      </c>
    </row>
    <row r="2715" spans="1:3">
      <c r="A2715" t="s">
        <v>4475</v>
      </c>
      <c r="B2715">
        <v>131089</v>
      </c>
      <c r="C2715">
        <v>1300</v>
      </c>
    </row>
    <row r="2716" spans="1:3">
      <c r="A2716" t="s">
        <v>4476</v>
      </c>
      <c r="B2716">
        <v>131090</v>
      </c>
      <c r="C2716">
        <v>1300</v>
      </c>
    </row>
    <row r="2717" spans="1:3">
      <c r="A2717" t="s">
        <v>4477</v>
      </c>
      <c r="B2717">
        <v>131091</v>
      </c>
      <c r="C2717">
        <v>1300</v>
      </c>
    </row>
    <row r="2718" spans="1:3">
      <c r="A2718" t="s">
        <v>4478</v>
      </c>
      <c r="B2718">
        <v>131092</v>
      </c>
      <c r="C2718">
        <v>1300</v>
      </c>
    </row>
    <row r="2719" spans="1:3">
      <c r="A2719" t="s">
        <v>4479</v>
      </c>
      <c r="B2719">
        <v>131093</v>
      </c>
      <c r="C2719">
        <v>1300</v>
      </c>
    </row>
    <row r="2720" spans="1:3">
      <c r="A2720" t="s">
        <v>4480</v>
      </c>
      <c r="B2720">
        <v>131094</v>
      </c>
      <c r="C2720">
        <v>1300</v>
      </c>
    </row>
    <row r="2721" spans="1:3">
      <c r="A2721" t="s">
        <v>4481</v>
      </c>
      <c r="B2721">
        <v>131095</v>
      </c>
      <c r="C2721">
        <v>1300</v>
      </c>
    </row>
    <row r="2722" spans="1:3">
      <c r="A2722" t="s">
        <v>4482</v>
      </c>
      <c r="B2722">
        <v>131096</v>
      </c>
      <c r="C2722">
        <v>3700</v>
      </c>
    </row>
    <row r="2723" spans="1:3">
      <c r="A2723" t="s">
        <v>3446</v>
      </c>
      <c r="B2723">
        <v>131097</v>
      </c>
      <c r="C2723">
        <v>1300</v>
      </c>
    </row>
    <row r="2724" spans="1:3">
      <c r="A2724" t="s">
        <v>4483</v>
      </c>
      <c r="B2724">
        <v>131098</v>
      </c>
      <c r="C2724">
        <v>1300</v>
      </c>
    </row>
    <row r="2725" spans="1:3">
      <c r="A2725" t="s">
        <v>4484</v>
      </c>
      <c r="B2725">
        <v>131099</v>
      </c>
      <c r="C2725">
        <v>1300</v>
      </c>
    </row>
    <row r="2726" spans="1:3">
      <c r="A2726" t="s">
        <v>4485</v>
      </c>
      <c r="B2726">
        <v>131100</v>
      </c>
      <c r="C2726">
        <v>1300</v>
      </c>
    </row>
    <row r="2727" spans="1:3">
      <c r="A2727" t="s">
        <v>4486</v>
      </c>
      <c r="B2727">
        <v>131101</v>
      </c>
      <c r="C2727">
        <v>1300</v>
      </c>
    </row>
    <row r="2728" spans="1:3">
      <c r="A2728" t="s">
        <v>4487</v>
      </c>
      <c r="B2728">
        <v>131102</v>
      </c>
      <c r="C2728">
        <v>1300</v>
      </c>
    </row>
    <row r="2729" spans="1:3">
      <c r="A2729" t="s">
        <v>4488</v>
      </c>
      <c r="B2729">
        <v>131103</v>
      </c>
      <c r="C2729">
        <v>1300</v>
      </c>
    </row>
    <row r="2730" spans="1:3">
      <c r="A2730" t="s">
        <v>4489</v>
      </c>
      <c r="B2730">
        <v>131104</v>
      </c>
      <c r="C2730">
        <v>1300</v>
      </c>
    </row>
    <row r="2731" spans="1:3">
      <c r="A2731" t="s">
        <v>4490</v>
      </c>
      <c r="B2731">
        <v>131105</v>
      </c>
      <c r="C2731">
        <v>1300</v>
      </c>
    </row>
    <row r="2732" spans="1:3">
      <c r="A2732" t="s">
        <v>4491</v>
      </c>
      <c r="B2732">
        <v>131106</v>
      </c>
      <c r="C2732">
        <v>1300</v>
      </c>
    </row>
    <row r="2733" spans="1:3">
      <c r="A2733" t="s">
        <v>4492</v>
      </c>
      <c r="B2733">
        <v>131107</v>
      </c>
      <c r="C2733">
        <v>1300</v>
      </c>
    </row>
    <row r="2734" spans="1:3">
      <c r="A2734" t="s">
        <v>4493</v>
      </c>
      <c r="B2734">
        <v>131108</v>
      </c>
      <c r="C2734">
        <v>1300</v>
      </c>
    </row>
    <row r="2735" spans="1:3">
      <c r="A2735" t="s">
        <v>4494</v>
      </c>
      <c r="B2735">
        <v>131109</v>
      </c>
      <c r="C2735">
        <v>1300</v>
      </c>
    </row>
    <row r="2736" spans="1:3">
      <c r="A2736" t="s">
        <v>4495</v>
      </c>
      <c r="B2736">
        <v>131110</v>
      </c>
      <c r="C2736">
        <v>1300</v>
      </c>
    </row>
    <row r="2737" spans="1:3">
      <c r="A2737" t="s">
        <v>4496</v>
      </c>
      <c r="B2737">
        <v>131111</v>
      </c>
      <c r="C2737">
        <v>1300</v>
      </c>
    </row>
    <row r="2738" spans="1:3">
      <c r="A2738" t="s">
        <v>4497</v>
      </c>
      <c r="B2738">
        <v>131112</v>
      </c>
      <c r="C2738">
        <v>1300</v>
      </c>
    </row>
    <row r="2739" spans="1:3">
      <c r="A2739" t="s">
        <v>4498</v>
      </c>
      <c r="B2739">
        <v>131113</v>
      </c>
      <c r="C2739">
        <v>1300</v>
      </c>
    </row>
    <row r="2740" spans="1:3">
      <c r="A2740" t="s">
        <v>4499</v>
      </c>
      <c r="B2740">
        <v>131114</v>
      </c>
      <c r="C2740">
        <v>1300</v>
      </c>
    </row>
    <row r="2741" spans="1:3">
      <c r="A2741" t="s">
        <v>4500</v>
      </c>
      <c r="B2741">
        <v>131115</v>
      </c>
      <c r="C2741">
        <v>1300</v>
      </c>
    </row>
    <row r="2742" spans="1:3">
      <c r="A2742" t="s">
        <v>4501</v>
      </c>
      <c r="B2742">
        <v>131116</v>
      </c>
      <c r="C2742">
        <v>1300</v>
      </c>
    </row>
    <row r="2743" spans="1:3">
      <c r="A2743" t="s">
        <v>4502</v>
      </c>
      <c r="B2743">
        <v>131117</v>
      </c>
      <c r="C2743">
        <v>1300</v>
      </c>
    </row>
    <row r="2744" spans="1:3">
      <c r="A2744" t="s">
        <v>4503</v>
      </c>
      <c r="B2744">
        <v>131118</v>
      </c>
      <c r="C2744">
        <v>1300</v>
      </c>
    </row>
    <row r="2745" spans="1:3">
      <c r="A2745" t="s">
        <v>4504</v>
      </c>
      <c r="B2745">
        <v>131119</v>
      </c>
      <c r="C2745">
        <v>1300</v>
      </c>
    </row>
    <row r="2746" spans="1:3">
      <c r="A2746" t="s">
        <v>4505</v>
      </c>
      <c r="B2746">
        <v>131120</v>
      </c>
      <c r="C2746">
        <v>1300</v>
      </c>
    </row>
    <row r="2747" spans="1:3">
      <c r="A2747" t="s">
        <v>4506</v>
      </c>
      <c r="B2747">
        <v>131121</v>
      </c>
      <c r="C2747">
        <v>1300</v>
      </c>
    </row>
    <row r="2748" spans="1:3">
      <c r="A2748" t="s">
        <v>4507</v>
      </c>
      <c r="B2748">
        <v>131122</v>
      </c>
      <c r="C2748">
        <v>1300</v>
      </c>
    </row>
    <row r="2749" spans="1:3">
      <c r="A2749" t="s">
        <v>4508</v>
      </c>
      <c r="B2749">
        <v>131123</v>
      </c>
      <c r="C2749">
        <v>1300</v>
      </c>
    </row>
    <row r="2750" spans="1:3">
      <c r="A2750" t="s">
        <v>4509</v>
      </c>
      <c r="B2750">
        <v>131124</v>
      </c>
      <c r="C2750">
        <v>1300</v>
      </c>
    </row>
    <row r="2751" spans="1:3">
      <c r="A2751" t="s">
        <v>4510</v>
      </c>
      <c r="B2751">
        <v>131125</v>
      </c>
      <c r="C2751">
        <v>1300</v>
      </c>
    </row>
    <row r="2752" spans="1:3">
      <c r="A2752" t="s">
        <v>4511</v>
      </c>
      <c r="B2752">
        <v>131126</v>
      </c>
      <c r="C2752">
        <v>1300</v>
      </c>
    </row>
    <row r="2753" spans="1:3">
      <c r="A2753" t="s">
        <v>4512</v>
      </c>
      <c r="B2753">
        <v>131127</v>
      </c>
      <c r="C2753">
        <v>1300</v>
      </c>
    </row>
    <row r="2754" spans="1:3">
      <c r="A2754" t="s">
        <v>4513</v>
      </c>
      <c r="B2754">
        <v>131128</v>
      </c>
      <c r="C2754">
        <v>1300</v>
      </c>
    </row>
    <row r="2755" spans="1:3">
      <c r="A2755" t="s">
        <v>4514</v>
      </c>
      <c r="B2755">
        <v>131129</v>
      </c>
      <c r="C2755">
        <v>1300</v>
      </c>
    </row>
    <row r="2756" spans="1:3">
      <c r="A2756" t="s">
        <v>4515</v>
      </c>
      <c r="B2756">
        <v>131130</v>
      </c>
      <c r="C2756">
        <v>1300</v>
      </c>
    </row>
    <row r="2757" spans="1:3">
      <c r="A2757" t="s">
        <v>4516</v>
      </c>
      <c r="B2757">
        <v>131131</v>
      </c>
      <c r="C2757">
        <v>1300</v>
      </c>
    </row>
    <row r="2758" spans="1:3">
      <c r="A2758" t="s">
        <v>4517</v>
      </c>
      <c r="B2758">
        <v>131132</v>
      </c>
      <c r="C2758">
        <v>1300</v>
      </c>
    </row>
    <row r="2759" spans="1:3">
      <c r="A2759" t="s">
        <v>4518</v>
      </c>
      <c r="B2759">
        <v>131133</v>
      </c>
      <c r="C2759">
        <v>1300</v>
      </c>
    </row>
    <row r="2760" spans="1:3">
      <c r="A2760" t="s">
        <v>4519</v>
      </c>
      <c r="B2760">
        <v>131134</v>
      </c>
      <c r="C2760">
        <v>1300</v>
      </c>
    </row>
    <row r="2761" spans="1:3">
      <c r="A2761" t="s">
        <v>4520</v>
      </c>
      <c r="B2761">
        <v>131135</v>
      </c>
      <c r="C2761">
        <v>1300</v>
      </c>
    </row>
    <row r="2762" spans="1:3">
      <c r="A2762" t="s">
        <v>4521</v>
      </c>
      <c r="B2762">
        <v>131136</v>
      </c>
      <c r="C2762">
        <v>1300</v>
      </c>
    </row>
    <row r="2763" spans="1:3">
      <c r="A2763" t="s">
        <v>4522</v>
      </c>
      <c r="B2763">
        <v>131137</v>
      </c>
      <c r="C2763">
        <v>1300</v>
      </c>
    </row>
    <row r="2764" spans="1:3">
      <c r="A2764" t="s">
        <v>4523</v>
      </c>
      <c r="B2764">
        <v>131138</v>
      </c>
      <c r="C2764">
        <v>1300</v>
      </c>
    </row>
    <row r="2765" spans="1:3">
      <c r="A2765" t="s">
        <v>4524</v>
      </c>
      <c r="B2765">
        <v>131139</v>
      </c>
      <c r="C2765">
        <v>1300</v>
      </c>
    </row>
    <row r="2766" spans="1:3">
      <c r="A2766" t="s">
        <v>4525</v>
      </c>
      <c r="B2766">
        <v>131140</v>
      </c>
      <c r="C2766">
        <v>1300</v>
      </c>
    </row>
    <row r="2767" spans="1:3">
      <c r="A2767" t="s">
        <v>4526</v>
      </c>
      <c r="B2767">
        <v>131141</v>
      </c>
      <c r="C2767">
        <v>1300</v>
      </c>
    </row>
    <row r="2768" spans="1:3">
      <c r="A2768" t="s">
        <v>4527</v>
      </c>
      <c r="B2768">
        <v>131142</v>
      </c>
      <c r="C2768">
        <v>1300</v>
      </c>
    </row>
    <row r="2769" spans="1:3">
      <c r="A2769" t="s">
        <v>4528</v>
      </c>
      <c r="B2769">
        <v>131143</v>
      </c>
      <c r="C2769">
        <v>1300</v>
      </c>
    </row>
    <row r="2770" spans="1:3">
      <c r="A2770" t="s">
        <v>4529</v>
      </c>
      <c r="B2770">
        <v>131144</v>
      </c>
      <c r="C2770">
        <v>1300</v>
      </c>
    </row>
    <row r="2771" spans="1:3">
      <c r="A2771" t="s">
        <v>4530</v>
      </c>
      <c r="B2771">
        <v>131145</v>
      </c>
      <c r="C2771">
        <v>1300</v>
      </c>
    </row>
    <row r="2772" spans="1:3">
      <c r="A2772" t="s">
        <v>4531</v>
      </c>
      <c r="B2772">
        <v>131146</v>
      </c>
      <c r="C2772">
        <v>1300</v>
      </c>
    </row>
    <row r="2773" spans="1:3">
      <c r="A2773" t="s">
        <v>4532</v>
      </c>
      <c r="B2773">
        <v>131147</v>
      </c>
      <c r="C2773">
        <v>1300</v>
      </c>
    </row>
    <row r="2774" spans="1:3">
      <c r="A2774" t="s">
        <v>4533</v>
      </c>
      <c r="B2774">
        <v>131148</v>
      </c>
      <c r="C2774">
        <v>1300</v>
      </c>
    </row>
    <row r="2775" spans="1:3">
      <c r="A2775" t="s">
        <v>4534</v>
      </c>
      <c r="B2775">
        <v>131149</v>
      </c>
      <c r="C2775">
        <v>1300</v>
      </c>
    </row>
    <row r="2776" spans="1:3">
      <c r="A2776" t="s">
        <v>4535</v>
      </c>
      <c r="B2776">
        <v>131150</v>
      </c>
      <c r="C2776">
        <v>1300</v>
      </c>
    </row>
    <row r="2777" spans="1:3">
      <c r="A2777" t="s">
        <v>4536</v>
      </c>
      <c r="B2777">
        <v>131151</v>
      </c>
      <c r="C2777">
        <v>1300</v>
      </c>
    </row>
    <row r="2778" spans="1:3">
      <c r="A2778" t="s">
        <v>4537</v>
      </c>
      <c r="B2778">
        <v>131152</v>
      </c>
      <c r="C2778">
        <v>1300</v>
      </c>
    </row>
    <row r="2779" spans="1:3">
      <c r="A2779" t="s">
        <v>4538</v>
      </c>
      <c r="B2779">
        <v>131153</v>
      </c>
      <c r="C2779">
        <v>1300</v>
      </c>
    </row>
    <row r="2780" spans="1:3">
      <c r="A2780" t="s">
        <v>4539</v>
      </c>
      <c r="B2780">
        <v>131154</v>
      </c>
      <c r="C2780">
        <v>1300</v>
      </c>
    </row>
    <row r="2781" spans="1:3">
      <c r="A2781" t="s">
        <v>4540</v>
      </c>
      <c r="B2781">
        <v>131155</v>
      </c>
      <c r="C2781">
        <v>1300</v>
      </c>
    </row>
    <row r="2782" spans="1:3">
      <c r="A2782" t="s">
        <v>4541</v>
      </c>
      <c r="B2782">
        <v>131156</v>
      </c>
      <c r="C2782">
        <v>1300</v>
      </c>
    </row>
    <row r="2783" spans="1:3">
      <c r="A2783" t="s">
        <v>4542</v>
      </c>
      <c r="B2783">
        <v>131157</v>
      </c>
      <c r="C2783">
        <v>1300</v>
      </c>
    </row>
    <row r="2784" spans="1:3">
      <c r="A2784" t="s">
        <v>4543</v>
      </c>
      <c r="B2784">
        <v>131158</v>
      </c>
      <c r="C2784">
        <v>1300</v>
      </c>
    </row>
    <row r="2785" spans="1:3">
      <c r="A2785" t="s">
        <v>4544</v>
      </c>
      <c r="B2785">
        <v>131159</v>
      </c>
      <c r="C2785">
        <v>1300</v>
      </c>
    </row>
    <row r="2786" spans="1:3">
      <c r="A2786" t="s">
        <v>4545</v>
      </c>
      <c r="B2786">
        <v>131160</v>
      </c>
      <c r="C2786">
        <v>1300</v>
      </c>
    </row>
    <row r="2787" spans="1:3">
      <c r="A2787" t="s">
        <v>4546</v>
      </c>
      <c r="B2787">
        <v>131161</v>
      </c>
      <c r="C2787">
        <v>1300</v>
      </c>
    </row>
    <row r="2788" spans="1:3">
      <c r="A2788" t="s">
        <v>4547</v>
      </c>
      <c r="B2788">
        <v>131162</v>
      </c>
      <c r="C2788">
        <v>1300</v>
      </c>
    </row>
    <row r="2789" spans="1:3">
      <c r="A2789" t="s">
        <v>4548</v>
      </c>
      <c r="B2789">
        <v>131163</v>
      </c>
      <c r="C2789">
        <v>1300</v>
      </c>
    </row>
    <row r="2790" spans="1:3">
      <c r="A2790" t="s">
        <v>4549</v>
      </c>
      <c r="B2790">
        <v>131164</v>
      </c>
      <c r="C2790">
        <v>1300</v>
      </c>
    </row>
    <row r="2791" spans="1:3">
      <c r="A2791" t="s">
        <v>4550</v>
      </c>
      <c r="B2791">
        <v>131165</v>
      </c>
      <c r="C2791">
        <v>1300</v>
      </c>
    </row>
    <row r="2792" spans="1:3">
      <c r="A2792" t="s">
        <v>4551</v>
      </c>
      <c r="B2792">
        <v>131166</v>
      </c>
      <c r="C2792">
        <v>1300</v>
      </c>
    </row>
    <row r="2793" spans="1:3">
      <c r="A2793" t="s">
        <v>4552</v>
      </c>
      <c r="B2793">
        <v>131167</v>
      </c>
      <c r="C2793">
        <v>1300</v>
      </c>
    </row>
    <row r="2794" spans="1:3">
      <c r="A2794" t="s">
        <v>4553</v>
      </c>
      <c r="B2794">
        <v>131168</v>
      </c>
      <c r="C2794">
        <v>1300</v>
      </c>
    </row>
    <row r="2795" spans="1:3">
      <c r="A2795" t="s">
        <v>4554</v>
      </c>
      <c r="B2795">
        <v>131169</v>
      </c>
      <c r="C2795">
        <v>1300</v>
      </c>
    </row>
    <row r="2796" spans="1:3">
      <c r="A2796" t="s">
        <v>4555</v>
      </c>
      <c r="B2796">
        <v>131170</v>
      </c>
      <c r="C2796">
        <v>1300</v>
      </c>
    </row>
    <row r="2797" spans="1:3">
      <c r="A2797" t="s">
        <v>4556</v>
      </c>
      <c r="B2797">
        <v>131171</v>
      </c>
      <c r="C2797">
        <v>1300</v>
      </c>
    </row>
    <row r="2798" spans="1:3">
      <c r="A2798" t="s">
        <v>4557</v>
      </c>
      <c r="B2798">
        <v>131172</v>
      </c>
      <c r="C2798">
        <v>1300</v>
      </c>
    </row>
    <row r="2799" spans="1:3">
      <c r="A2799" t="s">
        <v>4558</v>
      </c>
      <c r="B2799">
        <v>131173</v>
      </c>
      <c r="C2799">
        <v>1300</v>
      </c>
    </row>
    <row r="2800" spans="1:3">
      <c r="A2800" t="s">
        <v>4559</v>
      </c>
      <c r="B2800">
        <v>131174</v>
      </c>
      <c r="C2800">
        <v>1300</v>
      </c>
    </row>
    <row r="2801" spans="1:3">
      <c r="A2801" t="s">
        <v>4560</v>
      </c>
      <c r="B2801">
        <v>131175</v>
      </c>
      <c r="C2801">
        <v>1300</v>
      </c>
    </row>
    <row r="2802" spans="1:3">
      <c r="A2802" t="s">
        <v>4561</v>
      </c>
      <c r="B2802">
        <v>131176</v>
      </c>
      <c r="C2802">
        <v>1300</v>
      </c>
    </row>
    <row r="2803" spans="1:3">
      <c r="A2803" t="s">
        <v>4562</v>
      </c>
      <c r="B2803">
        <v>131177</v>
      </c>
      <c r="C2803">
        <v>1300</v>
      </c>
    </row>
    <row r="2804" spans="1:3">
      <c r="A2804" t="s">
        <v>4563</v>
      </c>
      <c r="B2804">
        <v>131178</v>
      </c>
      <c r="C2804">
        <v>1300</v>
      </c>
    </row>
    <row r="2805" spans="1:3">
      <c r="A2805" t="s">
        <v>4564</v>
      </c>
      <c r="B2805">
        <v>131179</v>
      </c>
      <c r="C2805">
        <v>1300</v>
      </c>
    </row>
    <row r="2806" spans="1:3">
      <c r="A2806" t="s">
        <v>4565</v>
      </c>
      <c r="B2806">
        <v>131180</v>
      </c>
      <c r="C2806">
        <v>1300</v>
      </c>
    </row>
    <row r="2807" spans="1:3">
      <c r="A2807" t="s">
        <v>3764</v>
      </c>
      <c r="B2807">
        <v>131181</v>
      </c>
      <c r="C2807">
        <v>1300</v>
      </c>
    </row>
    <row r="2808" spans="1:3">
      <c r="A2808" t="s">
        <v>4566</v>
      </c>
      <c r="B2808">
        <v>131182</v>
      </c>
      <c r="C2808">
        <v>1300</v>
      </c>
    </row>
    <row r="2809" spans="1:3">
      <c r="A2809" t="s">
        <v>4567</v>
      </c>
      <c r="B2809">
        <v>131183</v>
      </c>
      <c r="C2809">
        <v>1300</v>
      </c>
    </row>
    <row r="2810" spans="1:3">
      <c r="A2810" t="s">
        <v>4568</v>
      </c>
      <c r="B2810">
        <v>131184</v>
      </c>
      <c r="C2810">
        <v>1300</v>
      </c>
    </row>
    <row r="2811" spans="1:3">
      <c r="A2811" t="s">
        <v>4569</v>
      </c>
      <c r="B2811">
        <v>131185</v>
      </c>
      <c r="C2811">
        <v>1300</v>
      </c>
    </row>
    <row r="2812" spans="1:3">
      <c r="A2812" t="s">
        <v>4570</v>
      </c>
      <c r="B2812">
        <v>131186</v>
      </c>
      <c r="C2812">
        <v>1300</v>
      </c>
    </row>
    <row r="2813" spans="1:3">
      <c r="A2813" t="s">
        <v>4571</v>
      </c>
      <c r="B2813">
        <v>131187</v>
      </c>
      <c r="C2813">
        <v>1300</v>
      </c>
    </row>
    <row r="2814" spans="1:3">
      <c r="A2814" t="s">
        <v>4572</v>
      </c>
      <c r="B2814">
        <v>135001</v>
      </c>
      <c r="C2814">
        <v>1300</v>
      </c>
    </row>
    <row r="2815" spans="1:3">
      <c r="A2815" t="s">
        <v>4573</v>
      </c>
      <c r="B2815">
        <v>135002</v>
      </c>
      <c r="C2815">
        <v>1300</v>
      </c>
    </row>
    <row r="2816" spans="1:3">
      <c r="A2816" t="s">
        <v>4574</v>
      </c>
      <c r="B2816">
        <v>135003</v>
      </c>
      <c r="C2816">
        <v>1300</v>
      </c>
    </row>
    <row r="2817" spans="1:3">
      <c r="A2817" t="s">
        <v>4575</v>
      </c>
      <c r="B2817">
        <v>135004</v>
      </c>
      <c r="C2817">
        <v>1300</v>
      </c>
    </row>
    <row r="2818" spans="1:3">
      <c r="A2818" t="s">
        <v>572</v>
      </c>
      <c r="B2818">
        <v>140001</v>
      </c>
      <c r="C2818">
        <v>1400</v>
      </c>
    </row>
    <row r="2819" spans="1:3">
      <c r="A2819" t="s">
        <v>4576</v>
      </c>
      <c r="B2819">
        <v>140002</v>
      </c>
      <c r="C2819">
        <v>1400</v>
      </c>
    </row>
    <row r="2820" spans="1:3">
      <c r="A2820" t="s">
        <v>4577</v>
      </c>
      <c r="B2820">
        <v>140003</v>
      </c>
      <c r="C2820">
        <v>1400</v>
      </c>
    </row>
    <row r="2821" spans="1:3">
      <c r="A2821" t="s">
        <v>4578</v>
      </c>
      <c r="B2821">
        <v>140004</v>
      </c>
      <c r="C2821">
        <v>1400</v>
      </c>
    </row>
    <row r="2822" spans="1:3">
      <c r="A2822" t="s">
        <v>4579</v>
      </c>
      <c r="B2822">
        <v>140005</v>
      </c>
      <c r="C2822">
        <v>1400</v>
      </c>
    </row>
    <row r="2823" spans="1:3">
      <c r="A2823" t="s">
        <v>4580</v>
      </c>
      <c r="B2823">
        <v>140006</v>
      </c>
      <c r="C2823">
        <v>1400</v>
      </c>
    </row>
    <row r="2824" spans="1:3">
      <c r="A2824" t="s">
        <v>4581</v>
      </c>
      <c r="B2824">
        <v>140007</v>
      </c>
      <c r="C2824">
        <v>1400</v>
      </c>
    </row>
    <row r="2825" spans="1:3">
      <c r="A2825" t="s">
        <v>4582</v>
      </c>
      <c r="B2825">
        <v>140008</v>
      </c>
      <c r="C2825">
        <v>1400</v>
      </c>
    </row>
    <row r="2826" spans="1:3">
      <c r="A2826" t="s">
        <v>4583</v>
      </c>
      <c r="B2826">
        <v>140009</v>
      </c>
      <c r="C2826">
        <v>1400</v>
      </c>
    </row>
    <row r="2827" spans="1:3">
      <c r="A2827" t="s">
        <v>4584</v>
      </c>
      <c r="B2827">
        <v>140010</v>
      </c>
      <c r="C2827">
        <v>1400</v>
      </c>
    </row>
    <row r="2828" spans="1:3">
      <c r="A2828" t="s">
        <v>4585</v>
      </c>
      <c r="B2828">
        <v>140011</v>
      </c>
      <c r="C2828">
        <v>1400</v>
      </c>
    </row>
    <row r="2829" spans="1:3">
      <c r="A2829" t="s">
        <v>4586</v>
      </c>
      <c r="B2829">
        <v>140012</v>
      </c>
      <c r="C2829">
        <v>1400</v>
      </c>
    </row>
    <row r="2830" spans="1:3">
      <c r="A2830" t="s">
        <v>4587</v>
      </c>
      <c r="B2830">
        <v>140013</v>
      </c>
      <c r="C2830">
        <v>1400</v>
      </c>
    </row>
    <row r="2831" spans="1:3">
      <c r="A2831" t="s">
        <v>4588</v>
      </c>
      <c r="B2831">
        <v>140014</v>
      </c>
      <c r="C2831">
        <v>1400</v>
      </c>
    </row>
    <row r="2832" spans="1:3">
      <c r="A2832" t="s">
        <v>4589</v>
      </c>
      <c r="B2832">
        <v>140015</v>
      </c>
      <c r="C2832">
        <v>1400</v>
      </c>
    </row>
    <row r="2833" spans="1:3">
      <c r="A2833" t="s">
        <v>4590</v>
      </c>
      <c r="B2833">
        <v>140016</v>
      </c>
      <c r="C2833">
        <v>1400</v>
      </c>
    </row>
    <row r="2834" spans="1:3">
      <c r="A2834" t="s">
        <v>4591</v>
      </c>
      <c r="B2834">
        <v>140017</v>
      </c>
      <c r="C2834">
        <v>1400</v>
      </c>
    </row>
    <row r="2835" spans="1:3">
      <c r="A2835" t="s">
        <v>4592</v>
      </c>
      <c r="B2835">
        <v>140018</v>
      </c>
      <c r="C2835">
        <v>1400</v>
      </c>
    </row>
    <row r="2836" spans="1:3">
      <c r="A2836" t="s">
        <v>4593</v>
      </c>
      <c r="B2836">
        <v>140019</v>
      </c>
      <c r="C2836">
        <v>1400</v>
      </c>
    </row>
    <row r="2837" spans="1:3">
      <c r="A2837" t="s">
        <v>4594</v>
      </c>
      <c r="B2837">
        <v>140020</v>
      </c>
      <c r="C2837">
        <v>1400</v>
      </c>
    </row>
    <row r="2838" spans="1:3">
      <c r="A2838" t="s">
        <v>4595</v>
      </c>
      <c r="B2838">
        <v>140021</v>
      </c>
      <c r="C2838">
        <v>1400</v>
      </c>
    </row>
    <row r="2839" spans="1:3">
      <c r="A2839" t="s">
        <v>4596</v>
      </c>
      <c r="B2839">
        <v>140022</v>
      </c>
      <c r="C2839">
        <v>1400</v>
      </c>
    </row>
    <row r="2840" spans="1:3">
      <c r="A2840" t="s">
        <v>4597</v>
      </c>
      <c r="B2840">
        <v>140023</v>
      </c>
      <c r="C2840">
        <v>1400</v>
      </c>
    </row>
    <row r="2841" spans="1:3">
      <c r="A2841" t="s">
        <v>4598</v>
      </c>
      <c r="B2841">
        <v>140024</v>
      </c>
      <c r="C2841">
        <v>1400</v>
      </c>
    </row>
    <row r="2842" spans="1:3">
      <c r="A2842" t="s">
        <v>4599</v>
      </c>
      <c r="B2842">
        <v>140025</v>
      </c>
      <c r="C2842">
        <v>1400</v>
      </c>
    </row>
    <row r="2843" spans="1:3">
      <c r="A2843" t="s">
        <v>4600</v>
      </c>
      <c r="B2843">
        <v>140026</v>
      </c>
      <c r="C2843">
        <v>1400</v>
      </c>
    </row>
    <row r="2844" spans="1:3">
      <c r="A2844" t="s">
        <v>4601</v>
      </c>
      <c r="B2844">
        <v>140027</v>
      </c>
      <c r="C2844">
        <v>1400</v>
      </c>
    </row>
    <row r="2845" spans="1:3">
      <c r="A2845" t="s">
        <v>4602</v>
      </c>
      <c r="B2845">
        <v>140028</v>
      </c>
      <c r="C2845">
        <v>1400</v>
      </c>
    </row>
    <row r="2846" spans="1:3">
      <c r="A2846" t="s">
        <v>4603</v>
      </c>
      <c r="B2846">
        <v>140029</v>
      </c>
      <c r="C2846">
        <v>1400</v>
      </c>
    </row>
    <row r="2847" spans="1:3">
      <c r="A2847" t="s">
        <v>4604</v>
      </c>
      <c r="B2847">
        <v>140030</v>
      </c>
      <c r="C2847">
        <v>1400</v>
      </c>
    </row>
    <row r="2848" spans="1:3">
      <c r="A2848" t="s">
        <v>4605</v>
      </c>
      <c r="B2848">
        <v>140031</v>
      </c>
      <c r="C2848">
        <v>1400</v>
      </c>
    </row>
    <row r="2849" spans="1:3">
      <c r="A2849" t="s">
        <v>4606</v>
      </c>
      <c r="B2849">
        <v>140032</v>
      </c>
      <c r="C2849">
        <v>1400</v>
      </c>
    </row>
    <row r="2850" spans="1:3">
      <c r="A2850" t="s">
        <v>4607</v>
      </c>
      <c r="B2850">
        <v>140033</v>
      </c>
      <c r="C2850">
        <v>1400</v>
      </c>
    </row>
    <row r="2851" spans="1:3">
      <c r="A2851" t="s">
        <v>4608</v>
      </c>
      <c r="B2851">
        <v>140034</v>
      </c>
      <c r="C2851">
        <v>1400</v>
      </c>
    </row>
    <row r="2852" spans="1:3">
      <c r="A2852" t="s">
        <v>4609</v>
      </c>
      <c r="B2852">
        <v>140035</v>
      </c>
      <c r="C2852">
        <v>1400</v>
      </c>
    </row>
    <row r="2853" spans="1:3">
      <c r="A2853" t="s">
        <v>4610</v>
      </c>
      <c r="B2853">
        <v>140036</v>
      </c>
      <c r="C2853">
        <v>1400</v>
      </c>
    </row>
    <row r="2854" spans="1:3">
      <c r="A2854" t="s">
        <v>4611</v>
      </c>
      <c r="B2854">
        <v>140037</v>
      </c>
      <c r="C2854">
        <v>1400</v>
      </c>
    </row>
    <row r="2855" spans="1:3">
      <c r="A2855" t="s">
        <v>4612</v>
      </c>
      <c r="B2855">
        <v>140038</v>
      </c>
      <c r="C2855">
        <v>1400</v>
      </c>
    </row>
    <row r="2856" spans="1:3">
      <c r="A2856" t="s">
        <v>4613</v>
      </c>
      <c r="B2856">
        <v>140039</v>
      </c>
      <c r="C2856">
        <v>1400</v>
      </c>
    </row>
    <row r="2857" spans="1:3">
      <c r="A2857" t="s">
        <v>4614</v>
      </c>
      <c r="B2857">
        <v>140040</v>
      </c>
      <c r="C2857">
        <v>1400</v>
      </c>
    </row>
    <row r="2858" spans="1:3">
      <c r="A2858" t="s">
        <v>2225</v>
      </c>
      <c r="B2858">
        <v>140041</v>
      </c>
      <c r="C2858">
        <v>1400</v>
      </c>
    </row>
    <row r="2859" spans="1:3">
      <c r="A2859" t="s">
        <v>4615</v>
      </c>
      <c r="B2859">
        <v>140042</v>
      </c>
      <c r="C2859">
        <v>1400</v>
      </c>
    </row>
    <row r="2860" spans="1:3">
      <c r="A2860" t="s">
        <v>4616</v>
      </c>
      <c r="B2860">
        <v>140043</v>
      </c>
      <c r="C2860">
        <v>1400</v>
      </c>
    </row>
    <row r="2861" spans="1:3">
      <c r="A2861" t="s">
        <v>4617</v>
      </c>
      <c r="B2861">
        <v>140044</v>
      </c>
      <c r="C2861">
        <v>1400</v>
      </c>
    </row>
    <row r="2862" spans="1:3">
      <c r="A2862" t="s">
        <v>4618</v>
      </c>
      <c r="B2862">
        <v>140045</v>
      </c>
      <c r="C2862">
        <v>1400</v>
      </c>
    </row>
    <row r="2863" spans="1:3">
      <c r="A2863" t="s">
        <v>4619</v>
      </c>
      <c r="B2863">
        <v>140046</v>
      </c>
      <c r="C2863">
        <v>1400</v>
      </c>
    </row>
    <row r="2864" spans="1:3">
      <c r="A2864" t="s">
        <v>4620</v>
      </c>
      <c r="B2864">
        <v>140047</v>
      </c>
      <c r="C2864">
        <v>1400</v>
      </c>
    </row>
    <row r="2865" spans="1:3">
      <c r="A2865" t="s">
        <v>4621</v>
      </c>
      <c r="B2865">
        <v>140048</v>
      </c>
      <c r="C2865">
        <v>1400</v>
      </c>
    </row>
    <row r="2866" spans="1:3">
      <c r="A2866" t="s">
        <v>4622</v>
      </c>
      <c r="B2866">
        <v>140049</v>
      </c>
      <c r="C2866">
        <v>1400</v>
      </c>
    </row>
    <row r="2867" spans="1:3">
      <c r="A2867" t="s">
        <v>4623</v>
      </c>
      <c r="B2867">
        <v>140050</v>
      </c>
      <c r="C2867">
        <v>1400</v>
      </c>
    </row>
    <row r="2868" spans="1:3">
      <c r="A2868" t="s">
        <v>4624</v>
      </c>
      <c r="B2868">
        <v>140051</v>
      </c>
      <c r="C2868">
        <v>1400</v>
      </c>
    </row>
    <row r="2869" spans="1:3">
      <c r="A2869" t="s">
        <v>4625</v>
      </c>
      <c r="B2869">
        <v>140052</v>
      </c>
      <c r="C2869">
        <v>1400</v>
      </c>
    </row>
    <row r="2870" spans="1:3">
      <c r="A2870" t="s">
        <v>4626</v>
      </c>
      <c r="B2870">
        <v>140053</v>
      </c>
      <c r="C2870">
        <v>1400</v>
      </c>
    </row>
    <row r="2871" spans="1:3">
      <c r="A2871" t="s">
        <v>4627</v>
      </c>
      <c r="B2871">
        <v>140054</v>
      </c>
      <c r="C2871">
        <v>1400</v>
      </c>
    </row>
    <row r="2872" spans="1:3">
      <c r="A2872" t="s">
        <v>4628</v>
      </c>
      <c r="B2872">
        <v>140055</v>
      </c>
      <c r="C2872">
        <v>1400</v>
      </c>
    </row>
    <row r="2873" spans="1:3">
      <c r="A2873" t="s">
        <v>4629</v>
      </c>
      <c r="B2873">
        <v>140056</v>
      </c>
      <c r="C2873">
        <v>1400</v>
      </c>
    </row>
    <row r="2874" spans="1:3">
      <c r="A2874" t="s">
        <v>4630</v>
      </c>
      <c r="B2874">
        <v>140057</v>
      </c>
      <c r="C2874">
        <v>1400</v>
      </c>
    </row>
    <row r="2875" spans="1:3">
      <c r="A2875" t="s">
        <v>4631</v>
      </c>
      <c r="B2875">
        <v>140058</v>
      </c>
      <c r="C2875">
        <v>1400</v>
      </c>
    </row>
    <row r="2876" spans="1:3">
      <c r="A2876" t="s">
        <v>4632</v>
      </c>
      <c r="B2876">
        <v>140059</v>
      </c>
      <c r="C2876">
        <v>1400</v>
      </c>
    </row>
    <row r="2877" spans="1:3">
      <c r="A2877" t="s">
        <v>4633</v>
      </c>
      <c r="B2877">
        <v>140060</v>
      </c>
      <c r="C2877">
        <v>1400</v>
      </c>
    </row>
    <row r="2878" spans="1:3">
      <c r="A2878" t="s">
        <v>4634</v>
      </c>
      <c r="B2878">
        <v>140061</v>
      </c>
      <c r="C2878">
        <v>1400</v>
      </c>
    </row>
    <row r="2879" spans="1:3">
      <c r="A2879" t="s">
        <v>2457</v>
      </c>
      <c r="B2879">
        <v>140062</v>
      </c>
      <c r="C2879">
        <v>1400</v>
      </c>
    </row>
    <row r="2880" spans="1:3">
      <c r="A2880" t="s">
        <v>4635</v>
      </c>
      <c r="B2880">
        <v>140063</v>
      </c>
      <c r="C2880">
        <v>1400</v>
      </c>
    </row>
    <row r="2881" spans="1:3">
      <c r="A2881" t="s">
        <v>4636</v>
      </c>
      <c r="B2881">
        <v>140064</v>
      </c>
      <c r="C2881">
        <v>1400</v>
      </c>
    </row>
    <row r="2882" spans="1:3">
      <c r="A2882" t="s">
        <v>4637</v>
      </c>
      <c r="B2882">
        <v>140065</v>
      </c>
      <c r="C2882">
        <v>1400</v>
      </c>
    </row>
    <row r="2883" spans="1:3">
      <c r="A2883" t="s">
        <v>4638</v>
      </c>
      <c r="B2883">
        <v>140066</v>
      </c>
      <c r="C2883">
        <v>1400</v>
      </c>
    </row>
    <row r="2884" spans="1:3">
      <c r="A2884" t="s">
        <v>4639</v>
      </c>
      <c r="B2884">
        <v>140067</v>
      </c>
      <c r="C2884">
        <v>1400</v>
      </c>
    </row>
    <row r="2885" spans="1:3">
      <c r="A2885" t="s">
        <v>4640</v>
      </c>
      <c r="B2885">
        <v>140068</v>
      </c>
      <c r="C2885">
        <v>1400</v>
      </c>
    </row>
    <row r="2886" spans="1:3">
      <c r="A2886" t="s">
        <v>4641</v>
      </c>
      <c r="B2886">
        <v>140069</v>
      </c>
      <c r="C2886">
        <v>1400</v>
      </c>
    </row>
    <row r="2887" spans="1:3">
      <c r="A2887" t="s">
        <v>4642</v>
      </c>
      <c r="B2887">
        <v>140070</v>
      </c>
      <c r="C2887">
        <v>1400</v>
      </c>
    </row>
    <row r="2888" spans="1:3">
      <c r="A2888" t="s">
        <v>4643</v>
      </c>
      <c r="B2888">
        <v>140071</v>
      </c>
      <c r="C2888">
        <v>1400</v>
      </c>
    </row>
    <row r="2889" spans="1:3">
      <c r="A2889" t="s">
        <v>3193</v>
      </c>
      <c r="B2889">
        <v>140072</v>
      </c>
      <c r="C2889">
        <v>1400</v>
      </c>
    </row>
    <row r="2890" spans="1:3">
      <c r="A2890" t="s">
        <v>3206</v>
      </c>
      <c r="B2890">
        <v>140073</v>
      </c>
      <c r="C2890">
        <v>1400</v>
      </c>
    </row>
    <row r="2891" spans="1:3">
      <c r="A2891" t="s">
        <v>3829</v>
      </c>
      <c r="B2891">
        <v>140074</v>
      </c>
      <c r="C2891">
        <v>1400</v>
      </c>
    </row>
    <row r="2892" spans="1:3">
      <c r="A2892" t="s">
        <v>4644</v>
      </c>
      <c r="B2892">
        <v>140075</v>
      </c>
      <c r="C2892">
        <v>1400</v>
      </c>
    </row>
    <row r="2893" spans="1:3">
      <c r="A2893" t="s">
        <v>2805</v>
      </c>
      <c r="B2893">
        <v>140076</v>
      </c>
      <c r="C2893">
        <v>1400</v>
      </c>
    </row>
    <row r="2894" spans="1:3">
      <c r="A2894" t="s">
        <v>4645</v>
      </c>
      <c r="B2894">
        <v>140077</v>
      </c>
      <c r="C2894">
        <v>1400</v>
      </c>
    </row>
    <row r="2895" spans="1:3">
      <c r="A2895" t="s">
        <v>4646</v>
      </c>
      <c r="B2895">
        <v>140078</v>
      </c>
      <c r="C2895">
        <v>1400</v>
      </c>
    </row>
    <row r="2896" spans="1:3">
      <c r="A2896" t="s">
        <v>3203</v>
      </c>
      <c r="B2896">
        <v>140079</v>
      </c>
      <c r="C2896">
        <v>1400</v>
      </c>
    </row>
    <row r="2897" spans="1:3">
      <c r="A2897" t="s">
        <v>4647</v>
      </c>
      <c r="B2897">
        <v>140080</v>
      </c>
      <c r="C2897">
        <v>1400</v>
      </c>
    </row>
    <row r="2898" spans="1:3">
      <c r="A2898" t="s">
        <v>3205</v>
      </c>
      <c r="B2898">
        <v>140081</v>
      </c>
      <c r="C2898">
        <v>1400</v>
      </c>
    </row>
    <row r="2899" spans="1:3">
      <c r="A2899" t="s">
        <v>3194</v>
      </c>
      <c r="B2899">
        <v>140082</v>
      </c>
      <c r="C2899">
        <v>1400</v>
      </c>
    </row>
    <row r="2900" spans="1:3">
      <c r="A2900" t="s">
        <v>3214</v>
      </c>
      <c r="B2900">
        <v>140083</v>
      </c>
      <c r="C2900">
        <v>1400</v>
      </c>
    </row>
    <row r="2901" spans="1:3">
      <c r="A2901" t="s">
        <v>3215</v>
      </c>
      <c r="B2901">
        <v>140084</v>
      </c>
      <c r="C2901">
        <v>1400</v>
      </c>
    </row>
    <row r="2902" spans="1:3">
      <c r="A2902" t="s">
        <v>3197</v>
      </c>
      <c r="B2902">
        <v>140085</v>
      </c>
      <c r="C2902">
        <v>1400</v>
      </c>
    </row>
    <row r="2903" spans="1:3">
      <c r="A2903" t="s">
        <v>4648</v>
      </c>
      <c r="B2903">
        <v>140086</v>
      </c>
      <c r="C2903">
        <v>1400</v>
      </c>
    </row>
    <row r="2904" spans="1:3">
      <c r="A2904" t="s">
        <v>3223</v>
      </c>
      <c r="B2904">
        <v>140087</v>
      </c>
      <c r="C2904">
        <v>1400</v>
      </c>
    </row>
    <row r="2905" spans="1:3">
      <c r="A2905" t="s">
        <v>4649</v>
      </c>
      <c r="B2905">
        <v>140088</v>
      </c>
      <c r="C2905">
        <v>1400</v>
      </c>
    </row>
    <row r="2906" spans="1:3">
      <c r="A2906" t="s">
        <v>3375</v>
      </c>
      <c r="B2906">
        <v>140089</v>
      </c>
      <c r="C2906">
        <v>1400</v>
      </c>
    </row>
    <row r="2907" spans="1:3">
      <c r="A2907" t="s">
        <v>4650</v>
      </c>
      <c r="B2907">
        <v>140090</v>
      </c>
      <c r="C2907">
        <v>1400</v>
      </c>
    </row>
    <row r="2908" spans="1:3">
      <c r="A2908" t="s">
        <v>4651</v>
      </c>
      <c r="B2908">
        <v>140091</v>
      </c>
      <c r="C2908">
        <v>1400</v>
      </c>
    </row>
    <row r="2909" spans="1:3">
      <c r="A2909" t="s">
        <v>4652</v>
      </c>
      <c r="B2909">
        <v>140092</v>
      </c>
      <c r="C2909">
        <v>1400</v>
      </c>
    </row>
    <row r="2910" spans="1:3">
      <c r="A2910" t="s">
        <v>4653</v>
      </c>
      <c r="B2910">
        <v>140093</v>
      </c>
      <c r="C2910">
        <v>1400</v>
      </c>
    </row>
    <row r="2911" spans="1:3">
      <c r="A2911" t="s">
        <v>4654</v>
      </c>
      <c r="B2911">
        <v>140094</v>
      </c>
      <c r="C2911">
        <v>1400</v>
      </c>
    </row>
    <row r="2912" spans="1:3">
      <c r="A2912" t="s">
        <v>4655</v>
      </c>
      <c r="B2912">
        <v>140095</v>
      </c>
      <c r="C2912">
        <v>1400</v>
      </c>
    </row>
    <row r="2913" spans="1:3">
      <c r="A2913" t="s">
        <v>4656</v>
      </c>
      <c r="B2913">
        <v>140096</v>
      </c>
      <c r="C2913">
        <v>1400</v>
      </c>
    </row>
    <row r="2914" spans="1:3">
      <c r="A2914" t="s">
        <v>4657</v>
      </c>
      <c r="B2914">
        <v>140097</v>
      </c>
      <c r="C2914">
        <v>1400</v>
      </c>
    </row>
    <row r="2915" spans="1:3">
      <c r="A2915" t="s">
        <v>4658</v>
      </c>
      <c r="B2915">
        <v>140098</v>
      </c>
      <c r="C2915">
        <v>1400</v>
      </c>
    </row>
    <row r="2916" spans="1:3">
      <c r="A2916" t="s">
        <v>4659</v>
      </c>
      <c r="B2916">
        <v>140099</v>
      </c>
      <c r="C2916">
        <v>1400</v>
      </c>
    </row>
    <row r="2917" spans="1:3">
      <c r="A2917" t="s">
        <v>4660</v>
      </c>
      <c r="B2917">
        <v>140100</v>
      </c>
      <c r="C2917">
        <v>1400</v>
      </c>
    </row>
    <row r="2918" spans="1:3">
      <c r="A2918" t="s">
        <v>4661</v>
      </c>
      <c r="B2918">
        <v>140101</v>
      </c>
      <c r="C2918">
        <v>1400</v>
      </c>
    </row>
    <row r="2919" spans="1:3">
      <c r="A2919" t="s">
        <v>4662</v>
      </c>
      <c r="B2919">
        <v>140102</v>
      </c>
      <c r="C2919">
        <v>1400</v>
      </c>
    </row>
    <row r="2920" spans="1:3">
      <c r="A2920" t="s">
        <v>4663</v>
      </c>
      <c r="B2920">
        <v>140103</v>
      </c>
      <c r="C2920">
        <v>1400</v>
      </c>
    </row>
    <row r="2921" spans="1:3">
      <c r="A2921" t="s">
        <v>4664</v>
      </c>
      <c r="B2921">
        <v>140104</v>
      </c>
      <c r="C2921">
        <v>1400</v>
      </c>
    </row>
    <row r="2922" spans="1:3">
      <c r="A2922" t="s">
        <v>4665</v>
      </c>
      <c r="B2922">
        <v>140105</v>
      </c>
      <c r="C2922">
        <v>1400</v>
      </c>
    </row>
    <row r="2923" spans="1:3">
      <c r="A2923" t="s">
        <v>4666</v>
      </c>
      <c r="B2923">
        <v>140106</v>
      </c>
      <c r="C2923">
        <v>1400</v>
      </c>
    </row>
    <row r="2924" spans="1:3">
      <c r="A2924" t="s">
        <v>4667</v>
      </c>
      <c r="B2924">
        <v>140107</v>
      </c>
      <c r="C2924">
        <v>1400</v>
      </c>
    </row>
    <row r="2925" spans="1:3">
      <c r="A2925" t="s">
        <v>4668</v>
      </c>
      <c r="B2925">
        <v>140108</v>
      </c>
      <c r="C2925">
        <v>1400</v>
      </c>
    </row>
    <row r="2926" spans="1:3">
      <c r="A2926" t="s">
        <v>4669</v>
      </c>
      <c r="B2926">
        <v>140109</v>
      </c>
      <c r="C2926">
        <v>1400</v>
      </c>
    </row>
    <row r="2927" spans="1:3">
      <c r="A2927" t="s">
        <v>4670</v>
      </c>
      <c r="B2927">
        <v>140110</v>
      </c>
      <c r="C2927">
        <v>1000</v>
      </c>
    </row>
    <row r="2928" spans="1:3">
      <c r="A2928" t="s">
        <v>4671</v>
      </c>
      <c r="B2928">
        <v>140111</v>
      </c>
      <c r="C2928">
        <v>1000</v>
      </c>
    </row>
    <row r="2929" spans="1:3">
      <c r="A2929" t="s">
        <v>4672</v>
      </c>
      <c r="B2929">
        <v>140112</v>
      </c>
      <c r="C2929">
        <v>1000</v>
      </c>
    </row>
    <row r="2930" spans="1:3">
      <c r="A2930" t="s">
        <v>4673</v>
      </c>
      <c r="B2930">
        <v>140113</v>
      </c>
      <c r="C2930">
        <v>1000</v>
      </c>
    </row>
    <row r="2931" spans="1:3">
      <c r="A2931" t="s">
        <v>4674</v>
      </c>
      <c r="B2931">
        <v>140114</v>
      </c>
      <c r="C2931">
        <v>1000</v>
      </c>
    </row>
    <row r="2932" spans="1:3">
      <c r="A2932" t="s">
        <v>4675</v>
      </c>
      <c r="B2932">
        <v>140115</v>
      </c>
      <c r="C2932">
        <v>1000</v>
      </c>
    </row>
    <row r="2933" spans="1:3">
      <c r="A2933" t="s">
        <v>4676</v>
      </c>
      <c r="B2933">
        <v>140116</v>
      </c>
      <c r="C2933">
        <v>1000</v>
      </c>
    </row>
    <row r="2934" spans="1:3">
      <c r="A2934" t="s">
        <v>4677</v>
      </c>
      <c r="B2934">
        <v>140117</v>
      </c>
      <c r="C2934">
        <v>1000</v>
      </c>
    </row>
    <row r="2935" spans="1:3">
      <c r="A2935" t="s">
        <v>4678</v>
      </c>
      <c r="B2935">
        <v>140118</v>
      </c>
      <c r="C2935">
        <v>1000</v>
      </c>
    </row>
    <row r="2936" spans="1:3">
      <c r="A2936" t="s">
        <v>4679</v>
      </c>
      <c r="B2936">
        <v>140119</v>
      </c>
      <c r="C2936">
        <v>1000</v>
      </c>
    </row>
    <row r="2937" spans="1:3">
      <c r="A2937" t="s">
        <v>4680</v>
      </c>
      <c r="B2937">
        <v>140120</v>
      </c>
      <c r="C2937">
        <v>1000</v>
      </c>
    </row>
    <row r="2938" spans="1:3">
      <c r="A2938" t="s">
        <v>4681</v>
      </c>
      <c r="B2938">
        <v>140121</v>
      </c>
      <c r="C2938">
        <v>1000</v>
      </c>
    </row>
    <row r="2939" spans="1:3">
      <c r="A2939" t="s">
        <v>4682</v>
      </c>
      <c r="B2939">
        <v>140122</v>
      </c>
      <c r="C2939">
        <v>1000</v>
      </c>
    </row>
    <row r="2940" spans="1:3">
      <c r="A2940" t="s">
        <v>4683</v>
      </c>
      <c r="B2940">
        <v>140123</v>
      </c>
      <c r="C2940">
        <v>1000</v>
      </c>
    </row>
    <row r="2941" spans="1:3">
      <c r="A2941" t="s">
        <v>4684</v>
      </c>
      <c r="B2941">
        <v>140124</v>
      </c>
      <c r="C2941">
        <v>1000</v>
      </c>
    </row>
    <row r="2942" spans="1:3">
      <c r="A2942" t="s">
        <v>4685</v>
      </c>
      <c r="B2942">
        <v>140125</v>
      </c>
      <c r="C2942">
        <v>1000</v>
      </c>
    </row>
    <row r="2943" spans="1:3">
      <c r="A2943" t="s">
        <v>4686</v>
      </c>
      <c r="B2943">
        <v>140126</v>
      </c>
      <c r="C2943">
        <v>1000</v>
      </c>
    </row>
    <row r="2944" spans="1:3">
      <c r="A2944" t="s">
        <v>4687</v>
      </c>
      <c r="B2944">
        <v>140127</v>
      </c>
      <c r="C2944">
        <v>1000</v>
      </c>
    </row>
    <row r="2945" spans="1:3">
      <c r="A2945" t="s">
        <v>4688</v>
      </c>
      <c r="B2945">
        <v>140128</v>
      </c>
      <c r="C2945">
        <v>1000</v>
      </c>
    </row>
    <row r="2946" spans="1:3">
      <c r="A2946" t="s">
        <v>4689</v>
      </c>
      <c r="B2946">
        <v>140129</v>
      </c>
      <c r="C2946">
        <v>1000</v>
      </c>
    </row>
    <row r="2947" spans="1:3">
      <c r="A2947" t="s">
        <v>4690</v>
      </c>
      <c r="B2947">
        <v>140130</v>
      </c>
      <c r="C2947">
        <v>1000</v>
      </c>
    </row>
    <row r="2948" spans="1:3">
      <c r="A2948" t="s">
        <v>4691</v>
      </c>
      <c r="B2948">
        <v>140131</v>
      </c>
      <c r="C2948">
        <v>1000</v>
      </c>
    </row>
    <row r="2949" spans="1:3">
      <c r="A2949" t="s">
        <v>4692</v>
      </c>
      <c r="B2949">
        <v>140132</v>
      </c>
      <c r="C2949">
        <v>1000</v>
      </c>
    </row>
    <row r="2950" spans="1:3">
      <c r="A2950" t="s">
        <v>4693</v>
      </c>
      <c r="B2950">
        <v>140133</v>
      </c>
      <c r="C2950">
        <v>1000</v>
      </c>
    </row>
    <row r="2951" spans="1:3">
      <c r="A2951" t="s">
        <v>4694</v>
      </c>
      <c r="B2951">
        <v>140134</v>
      </c>
      <c r="C2951">
        <v>1000</v>
      </c>
    </row>
    <row r="2952" spans="1:3">
      <c r="A2952" t="s">
        <v>4695</v>
      </c>
      <c r="B2952">
        <v>140135</v>
      </c>
      <c r="C2952">
        <v>1000</v>
      </c>
    </row>
    <row r="2953" spans="1:3">
      <c r="A2953" t="s">
        <v>4696</v>
      </c>
      <c r="B2953">
        <v>140136</v>
      </c>
      <c r="C2953">
        <v>1000</v>
      </c>
    </row>
    <row r="2954" spans="1:3">
      <c r="A2954" t="s">
        <v>4697</v>
      </c>
      <c r="B2954">
        <v>140137</v>
      </c>
      <c r="C2954">
        <v>1000</v>
      </c>
    </row>
    <row r="2955" spans="1:3">
      <c r="A2955" t="s">
        <v>4698</v>
      </c>
      <c r="B2955">
        <v>140138</v>
      </c>
      <c r="C2955">
        <v>1000</v>
      </c>
    </row>
    <row r="2956" spans="1:3">
      <c r="A2956" t="s">
        <v>4699</v>
      </c>
      <c r="B2956">
        <v>140139</v>
      </c>
      <c r="C2956">
        <v>1000</v>
      </c>
    </row>
    <row r="2957" spans="1:3">
      <c r="A2957" t="s">
        <v>4700</v>
      </c>
      <c r="B2957">
        <v>140140</v>
      </c>
      <c r="C2957">
        <v>1000</v>
      </c>
    </row>
    <row r="2958" spans="1:3">
      <c r="A2958" t="s">
        <v>4701</v>
      </c>
      <c r="B2958">
        <v>140141</v>
      </c>
      <c r="C2958">
        <v>1000</v>
      </c>
    </row>
    <row r="2959" spans="1:3">
      <c r="A2959" t="s">
        <v>4702</v>
      </c>
      <c r="B2959">
        <v>140142</v>
      </c>
      <c r="C2959">
        <v>1000</v>
      </c>
    </row>
    <row r="2960" spans="1:3">
      <c r="A2960" t="s">
        <v>4703</v>
      </c>
      <c r="B2960">
        <v>140143</v>
      </c>
      <c r="C2960">
        <v>1000</v>
      </c>
    </row>
    <row r="2961" spans="1:3">
      <c r="A2961" t="s">
        <v>4704</v>
      </c>
      <c r="B2961">
        <v>140144</v>
      </c>
      <c r="C2961">
        <v>1000</v>
      </c>
    </row>
    <row r="2962" spans="1:3">
      <c r="A2962" t="s">
        <v>4705</v>
      </c>
      <c r="B2962">
        <v>140145</v>
      </c>
      <c r="C2962">
        <v>1000</v>
      </c>
    </row>
    <row r="2963" spans="1:3">
      <c r="A2963" t="s">
        <v>4706</v>
      </c>
      <c r="B2963">
        <v>140146</v>
      </c>
      <c r="C2963">
        <v>1000</v>
      </c>
    </row>
    <row r="2964" spans="1:3">
      <c r="A2964" t="s">
        <v>4707</v>
      </c>
      <c r="B2964">
        <v>140147</v>
      </c>
      <c r="C2964">
        <v>1400</v>
      </c>
    </row>
    <row r="2965" spans="1:3">
      <c r="A2965" t="s">
        <v>4708</v>
      </c>
      <c r="B2965">
        <v>140148</v>
      </c>
      <c r="C2965">
        <v>1400</v>
      </c>
    </row>
    <row r="2966" spans="1:3">
      <c r="A2966" t="s">
        <v>4709</v>
      </c>
      <c r="B2966">
        <v>140149</v>
      </c>
      <c r="C2966">
        <v>1400</v>
      </c>
    </row>
    <row r="2967" spans="1:3">
      <c r="A2967" t="s">
        <v>4710</v>
      </c>
      <c r="B2967">
        <v>140150</v>
      </c>
      <c r="C2967">
        <v>1400</v>
      </c>
    </row>
    <row r="2968" spans="1:3">
      <c r="A2968" t="s">
        <v>4711</v>
      </c>
      <c r="B2968">
        <v>140151</v>
      </c>
      <c r="C2968">
        <v>1400</v>
      </c>
    </row>
    <row r="2969" spans="1:3">
      <c r="A2969" t="s">
        <v>4712</v>
      </c>
      <c r="B2969">
        <v>140152</v>
      </c>
      <c r="C2969">
        <v>1400</v>
      </c>
    </row>
    <row r="2970" spans="1:3">
      <c r="A2970" t="s">
        <v>4713</v>
      </c>
      <c r="B2970">
        <v>140153</v>
      </c>
      <c r="C2970">
        <v>1400</v>
      </c>
    </row>
    <row r="2971" spans="1:3">
      <c r="A2971" t="s">
        <v>4714</v>
      </c>
      <c r="B2971">
        <v>140154</v>
      </c>
      <c r="C2971">
        <v>1400</v>
      </c>
    </row>
    <row r="2972" spans="1:3">
      <c r="A2972" t="s">
        <v>4677</v>
      </c>
      <c r="B2972">
        <v>140155</v>
      </c>
      <c r="C2972">
        <v>1400</v>
      </c>
    </row>
    <row r="2973" spans="1:3">
      <c r="A2973" t="s">
        <v>4715</v>
      </c>
      <c r="B2973">
        <v>140156</v>
      </c>
      <c r="C2973">
        <v>1400</v>
      </c>
    </row>
    <row r="2974" spans="1:3">
      <c r="A2974" t="s">
        <v>4716</v>
      </c>
      <c r="B2974">
        <v>140157</v>
      </c>
      <c r="C2974">
        <v>1400</v>
      </c>
    </row>
    <row r="2975" spans="1:3">
      <c r="A2975" t="s">
        <v>4717</v>
      </c>
      <c r="B2975">
        <v>140158</v>
      </c>
      <c r="C2975">
        <v>1400</v>
      </c>
    </row>
    <row r="2976" spans="1:3">
      <c r="A2976" t="s">
        <v>4718</v>
      </c>
      <c r="B2976">
        <v>140159</v>
      </c>
      <c r="C2976">
        <v>1400</v>
      </c>
    </row>
    <row r="2977" spans="1:3">
      <c r="A2977" t="s">
        <v>4682</v>
      </c>
      <c r="B2977">
        <v>140160</v>
      </c>
      <c r="C2977">
        <v>1400</v>
      </c>
    </row>
    <row r="2978" spans="1:3">
      <c r="A2978" t="s">
        <v>4683</v>
      </c>
      <c r="B2978">
        <v>140161</v>
      </c>
      <c r="C2978">
        <v>1400</v>
      </c>
    </row>
    <row r="2979" spans="1:3">
      <c r="A2979" t="s">
        <v>4719</v>
      </c>
      <c r="B2979">
        <v>140162</v>
      </c>
      <c r="C2979">
        <v>1400</v>
      </c>
    </row>
    <row r="2980" spans="1:3">
      <c r="A2980" t="s">
        <v>4720</v>
      </c>
      <c r="B2980">
        <v>140163</v>
      </c>
      <c r="C2980">
        <v>1400</v>
      </c>
    </row>
    <row r="2981" spans="1:3">
      <c r="A2981" t="s">
        <v>4721</v>
      </c>
      <c r="B2981">
        <v>140164</v>
      </c>
      <c r="C2981">
        <v>1400</v>
      </c>
    </row>
    <row r="2982" spans="1:3">
      <c r="A2982" t="s">
        <v>4722</v>
      </c>
      <c r="B2982">
        <v>140165</v>
      </c>
      <c r="C2982">
        <v>1400</v>
      </c>
    </row>
    <row r="2983" spans="1:3">
      <c r="A2983" t="s">
        <v>4723</v>
      </c>
      <c r="B2983">
        <v>140166</v>
      </c>
      <c r="C2983">
        <v>1400</v>
      </c>
    </row>
    <row r="2984" spans="1:3">
      <c r="A2984" t="s">
        <v>3828</v>
      </c>
      <c r="B2984">
        <v>140167</v>
      </c>
      <c r="C2984">
        <v>1400</v>
      </c>
    </row>
    <row r="2985" spans="1:3">
      <c r="A2985" t="s">
        <v>4724</v>
      </c>
      <c r="B2985">
        <v>140168</v>
      </c>
      <c r="C2985">
        <v>1400</v>
      </c>
    </row>
    <row r="2986" spans="1:3">
      <c r="A2986" t="s">
        <v>4725</v>
      </c>
      <c r="B2986">
        <v>140169</v>
      </c>
      <c r="C2986">
        <v>1400</v>
      </c>
    </row>
    <row r="2987" spans="1:3">
      <c r="A2987" t="s">
        <v>4726</v>
      </c>
      <c r="B2987">
        <v>140170</v>
      </c>
      <c r="C2987">
        <v>1400</v>
      </c>
    </row>
    <row r="2988" spans="1:3">
      <c r="A2988" t="s">
        <v>4727</v>
      </c>
      <c r="B2988">
        <v>140171</v>
      </c>
      <c r="C2988">
        <v>1400</v>
      </c>
    </row>
    <row r="2989" spans="1:3">
      <c r="A2989" t="s">
        <v>4728</v>
      </c>
      <c r="B2989">
        <v>140172</v>
      </c>
      <c r="C2989">
        <v>1400</v>
      </c>
    </row>
    <row r="2990" spans="1:3">
      <c r="A2990" t="s">
        <v>4695</v>
      </c>
      <c r="B2990">
        <v>140173</v>
      </c>
      <c r="C2990">
        <v>1400</v>
      </c>
    </row>
    <row r="2991" spans="1:3">
      <c r="A2991" t="s">
        <v>4696</v>
      </c>
      <c r="B2991">
        <v>140174</v>
      </c>
      <c r="C2991">
        <v>1400</v>
      </c>
    </row>
    <row r="2992" spans="1:3">
      <c r="A2992" t="s">
        <v>4729</v>
      </c>
      <c r="B2992">
        <v>140175</v>
      </c>
      <c r="C2992">
        <v>1400</v>
      </c>
    </row>
    <row r="2993" spans="1:3">
      <c r="A2993" t="s">
        <v>4730</v>
      </c>
      <c r="B2993">
        <v>140176</v>
      </c>
      <c r="C2993">
        <v>1400</v>
      </c>
    </row>
    <row r="2994" spans="1:3">
      <c r="A2994" t="s">
        <v>4699</v>
      </c>
      <c r="B2994">
        <v>140177</v>
      </c>
      <c r="C2994">
        <v>1400</v>
      </c>
    </row>
    <row r="2995" spans="1:3">
      <c r="A2995" t="s">
        <v>4731</v>
      </c>
      <c r="B2995">
        <v>140178</v>
      </c>
      <c r="C2995">
        <v>1400</v>
      </c>
    </row>
    <row r="2996" spans="1:3">
      <c r="A2996" t="s">
        <v>4732</v>
      </c>
      <c r="B2996">
        <v>140179</v>
      </c>
      <c r="C2996">
        <v>1400</v>
      </c>
    </row>
    <row r="2997" spans="1:3">
      <c r="A2997" t="s">
        <v>4733</v>
      </c>
      <c r="B2997">
        <v>140180</v>
      </c>
      <c r="C2997">
        <v>1400</v>
      </c>
    </row>
    <row r="2998" spans="1:3">
      <c r="A2998" t="s">
        <v>4703</v>
      </c>
      <c r="B2998">
        <v>140181</v>
      </c>
      <c r="C2998">
        <v>1400</v>
      </c>
    </row>
    <row r="2999" spans="1:3">
      <c r="A2999" t="s">
        <v>4734</v>
      </c>
      <c r="B2999">
        <v>140182</v>
      </c>
      <c r="C2999">
        <v>1400</v>
      </c>
    </row>
    <row r="3000" spans="1:3">
      <c r="A3000" t="s">
        <v>4735</v>
      </c>
      <c r="B3000">
        <v>140183</v>
      </c>
      <c r="C3000">
        <v>1400</v>
      </c>
    </row>
    <row r="3001" spans="1:3">
      <c r="A3001" t="s">
        <v>4736</v>
      </c>
      <c r="B3001">
        <v>140184</v>
      </c>
      <c r="C3001">
        <v>1400</v>
      </c>
    </row>
    <row r="3002" spans="1:3">
      <c r="A3002" t="s">
        <v>3212</v>
      </c>
      <c r="B3002">
        <v>140185</v>
      </c>
      <c r="C3002">
        <v>1400</v>
      </c>
    </row>
    <row r="3003" spans="1:3">
      <c r="A3003" t="s">
        <v>4737</v>
      </c>
      <c r="B3003">
        <v>140186</v>
      </c>
      <c r="C3003">
        <v>1400</v>
      </c>
    </row>
    <row r="3004" spans="1:3">
      <c r="A3004" t="s">
        <v>3183</v>
      </c>
      <c r="B3004">
        <v>140187</v>
      </c>
      <c r="C3004">
        <v>1400</v>
      </c>
    </row>
    <row r="3005" spans="1:3">
      <c r="A3005" t="s">
        <v>4738</v>
      </c>
      <c r="B3005">
        <v>140188</v>
      </c>
      <c r="C3005">
        <v>1400</v>
      </c>
    </row>
    <row r="3006" spans="1:3">
      <c r="A3006" t="s">
        <v>4739</v>
      </c>
      <c r="B3006">
        <v>140189</v>
      </c>
      <c r="C3006">
        <v>1400</v>
      </c>
    </row>
    <row r="3007" spans="1:3">
      <c r="A3007" t="s">
        <v>4740</v>
      </c>
      <c r="B3007">
        <v>140190</v>
      </c>
      <c r="C3007">
        <v>1400</v>
      </c>
    </row>
    <row r="3008" spans="1:3">
      <c r="A3008" t="s">
        <v>4741</v>
      </c>
      <c r="B3008">
        <v>140191</v>
      </c>
      <c r="C3008">
        <v>1400</v>
      </c>
    </row>
    <row r="3009" spans="1:3">
      <c r="A3009" t="s">
        <v>4742</v>
      </c>
      <c r="B3009">
        <v>140192</v>
      </c>
      <c r="C3009">
        <v>1400</v>
      </c>
    </row>
    <row r="3010" spans="1:3">
      <c r="A3010" t="s">
        <v>3216</v>
      </c>
      <c r="B3010">
        <v>140193</v>
      </c>
      <c r="C3010">
        <v>1400</v>
      </c>
    </row>
    <row r="3011" spans="1:3">
      <c r="A3011" t="s">
        <v>3224</v>
      </c>
      <c r="B3011">
        <v>140194</v>
      </c>
      <c r="C3011">
        <v>1400</v>
      </c>
    </row>
    <row r="3012" spans="1:3">
      <c r="A3012" t="s">
        <v>4743</v>
      </c>
      <c r="B3012">
        <v>140195</v>
      </c>
      <c r="C3012">
        <v>1400</v>
      </c>
    </row>
    <row r="3013" spans="1:3">
      <c r="A3013" t="s">
        <v>2659</v>
      </c>
      <c r="B3013">
        <v>140196</v>
      </c>
      <c r="C3013">
        <v>1400</v>
      </c>
    </row>
    <row r="3014" spans="1:3">
      <c r="A3014" t="s">
        <v>2681</v>
      </c>
      <c r="B3014">
        <v>140197</v>
      </c>
      <c r="C3014">
        <v>1400</v>
      </c>
    </row>
    <row r="3015" spans="1:3">
      <c r="A3015" t="s">
        <v>2899</v>
      </c>
      <c r="B3015">
        <v>140198</v>
      </c>
      <c r="C3015">
        <v>1400</v>
      </c>
    </row>
    <row r="3016" spans="1:3">
      <c r="A3016" t="s">
        <v>4744</v>
      </c>
      <c r="B3016">
        <v>140199</v>
      </c>
      <c r="C3016">
        <v>1400</v>
      </c>
    </row>
    <row r="3017" spans="1:3">
      <c r="A3017" t="s">
        <v>4745</v>
      </c>
      <c r="B3017">
        <v>140200</v>
      </c>
      <c r="C3017">
        <v>1400</v>
      </c>
    </row>
    <row r="3018" spans="1:3">
      <c r="A3018" t="s">
        <v>3264</v>
      </c>
      <c r="B3018">
        <v>140201</v>
      </c>
      <c r="C3018">
        <v>1400</v>
      </c>
    </row>
    <row r="3019" spans="1:3">
      <c r="A3019" t="s">
        <v>4746</v>
      </c>
      <c r="B3019">
        <v>140202</v>
      </c>
      <c r="C3019">
        <v>1400</v>
      </c>
    </row>
    <row r="3020" spans="1:3">
      <c r="A3020" t="s">
        <v>4747</v>
      </c>
      <c r="B3020">
        <v>140203</v>
      </c>
      <c r="C3020">
        <v>1400</v>
      </c>
    </row>
    <row r="3021" spans="1:3">
      <c r="A3021" t="s">
        <v>4748</v>
      </c>
      <c r="B3021">
        <v>140204</v>
      </c>
      <c r="C3021">
        <v>1400</v>
      </c>
    </row>
    <row r="3022" spans="1:3">
      <c r="A3022" t="s">
        <v>4749</v>
      </c>
      <c r="B3022">
        <v>140205</v>
      </c>
      <c r="C3022">
        <v>1400</v>
      </c>
    </row>
    <row r="3023" spans="1:3">
      <c r="A3023" t="s">
        <v>4750</v>
      </c>
      <c r="B3023">
        <v>140206</v>
      </c>
      <c r="C3023">
        <v>1400</v>
      </c>
    </row>
    <row r="3024" spans="1:3">
      <c r="A3024" t="s">
        <v>4751</v>
      </c>
      <c r="B3024">
        <v>140207</v>
      </c>
      <c r="C3024">
        <v>1400</v>
      </c>
    </row>
    <row r="3025" spans="1:3">
      <c r="A3025" t="s">
        <v>4752</v>
      </c>
      <c r="B3025">
        <v>140208</v>
      </c>
      <c r="C3025">
        <v>1400</v>
      </c>
    </row>
    <row r="3026" spans="1:3">
      <c r="A3026" t="s">
        <v>4753</v>
      </c>
      <c r="B3026">
        <v>140209</v>
      </c>
      <c r="C3026">
        <v>1400</v>
      </c>
    </row>
    <row r="3027" spans="1:3">
      <c r="A3027" t="s">
        <v>4754</v>
      </c>
      <c r="B3027">
        <v>140210</v>
      </c>
      <c r="C3027">
        <v>1400</v>
      </c>
    </row>
    <row r="3028" spans="1:3">
      <c r="A3028" t="s">
        <v>4755</v>
      </c>
      <c r="B3028">
        <v>140211</v>
      </c>
      <c r="C3028">
        <v>1400</v>
      </c>
    </row>
    <row r="3029" spans="1:3">
      <c r="A3029" t="s">
        <v>4756</v>
      </c>
      <c r="B3029">
        <v>140212</v>
      </c>
      <c r="C3029">
        <v>1400</v>
      </c>
    </row>
    <row r="3030" spans="1:3">
      <c r="A3030" t="s">
        <v>4757</v>
      </c>
      <c r="B3030">
        <v>140213</v>
      </c>
      <c r="C3030">
        <v>1400</v>
      </c>
    </row>
    <row r="3031" spans="1:3">
      <c r="A3031" t="s">
        <v>4758</v>
      </c>
      <c r="B3031">
        <v>140214</v>
      </c>
      <c r="C3031">
        <v>1400</v>
      </c>
    </row>
    <row r="3032" spans="1:3">
      <c r="A3032" t="s">
        <v>4759</v>
      </c>
      <c r="B3032">
        <v>140215</v>
      </c>
      <c r="C3032">
        <v>1400</v>
      </c>
    </row>
    <row r="3033" spans="1:3">
      <c r="A3033" t="s">
        <v>4760</v>
      </c>
      <c r="B3033">
        <v>140216</v>
      </c>
      <c r="C3033">
        <v>1400</v>
      </c>
    </row>
    <row r="3034" spans="1:3">
      <c r="A3034" t="s">
        <v>4761</v>
      </c>
      <c r="B3034">
        <v>140217</v>
      </c>
      <c r="C3034">
        <v>1400</v>
      </c>
    </row>
    <row r="3035" spans="1:3">
      <c r="A3035" t="s">
        <v>4484</v>
      </c>
      <c r="B3035">
        <v>140218</v>
      </c>
      <c r="C3035">
        <v>1400</v>
      </c>
    </row>
    <row r="3036" spans="1:3">
      <c r="A3036" t="s">
        <v>4485</v>
      </c>
      <c r="B3036">
        <v>140219</v>
      </c>
      <c r="C3036">
        <v>1400</v>
      </c>
    </row>
    <row r="3037" spans="1:3">
      <c r="A3037" t="s">
        <v>4762</v>
      </c>
      <c r="B3037">
        <v>140220</v>
      </c>
      <c r="C3037">
        <v>1400</v>
      </c>
    </row>
    <row r="3038" spans="1:3">
      <c r="A3038" t="s">
        <v>4763</v>
      </c>
      <c r="B3038">
        <v>140221</v>
      </c>
      <c r="C3038">
        <v>1400</v>
      </c>
    </row>
    <row r="3039" spans="1:3">
      <c r="A3039" t="s">
        <v>4764</v>
      </c>
      <c r="B3039">
        <v>140222</v>
      </c>
      <c r="C3039">
        <v>1400</v>
      </c>
    </row>
    <row r="3040" spans="1:3">
      <c r="A3040" t="s">
        <v>3676</v>
      </c>
      <c r="B3040">
        <v>140223</v>
      </c>
      <c r="C3040">
        <v>1400</v>
      </c>
    </row>
    <row r="3041" spans="1:3">
      <c r="A3041" t="s">
        <v>4765</v>
      </c>
      <c r="B3041">
        <v>140224</v>
      </c>
      <c r="C3041">
        <v>1400</v>
      </c>
    </row>
    <row r="3042" spans="1:3">
      <c r="A3042" t="s">
        <v>4766</v>
      </c>
      <c r="B3042">
        <v>140225</v>
      </c>
      <c r="C3042">
        <v>1400</v>
      </c>
    </row>
    <row r="3043" spans="1:3">
      <c r="A3043" t="s">
        <v>4767</v>
      </c>
      <c r="B3043">
        <v>140226</v>
      </c>
      <c r="C3043">
        <v>1400</v>
      </c>
    </row>
    <row r="3044" spans="1:3">
      <c r="A3044" t="s">
        <v>4768</v>
      </c>
      <c r="B3044">
        <v>140227</v>
      </c>
      <c r="C3044">
        <v>1400</v>
      </c>
    </row>
    <row r="3045" spans="1:3">
      <c r="A3045" t="s">
        <v>4769</v>
      </c>
      <c r="B3045">
        <v>140228</v>
      </c>
      <c r="C3045">
        <v>1400</v>
      </c>
    </row>
    <row r="3046" spans="1:3">
      <c r="A3046" t="s">
        <v>4770</v>
      </c>
      <c r="B3046">
        <v>140229</v>
      </c>
      <c r="C3046">
        <v>1400</v>
      </c>
    </row>
    <row r="3047" spans="1:3">
      <c r="A3047" t="s">
        <v>4771</v>
      </c>
      <c r="B3047">
        <v>140230</v>
      </c>
      <c r="C3047">
        <v>1400</v>
      </c>
    </row>
    <row r="3048" spans="1:3">
      <c r="A3048" t="s">
        <v>4772</v>
      </c>
      <c r="B3048">
        <v>140231</v>
      </c>
      <c r="C3048">
        <v>1400</v>
      </c>
    </row>
    <row r="3049" spans="1:3">
      <c r="A3049" t="s">
        <v>4773</v>
      </c>
      <c r="B3049">
        <v>140232</v>
      </c>
      <c r="C3049">
        <v>1400</v>
      </c>
    </row>
    <row r="3050" spans="1:3">
      <c r="A3050" t="s">
        <v>4774</v>
      </c>
      <c r="B3050">
        <v>140233</v>
      </c>
      <c r="C3050">
        <v>1400</v>
      </c>
    </row>
    <row r="3051" spans="1:3">
      <c r="A3051" t="s">
        <v>3460</v>
      </c>
      <c r="B3051">
        <v>140234</v>
      </c>
      <c r="C3051">
        <v>1400</v>
      </c>
    </row>
    <row r="3052" spans="1:3">
      <c r="A3052" t="s">
        <v>3461</v>
      </c>
      <c r="B3052">
        <v>140235</v>
      </c>
      <c r="C3052">
        <v>1400</v>
      </c>
    </row>
    <row r="3053" spans="1:3">
      <c r="A3053" t="s">
        <v>4775</v>
      </c>
      <c r="B3053">
        <v>140236</v>
      </c>
      <c r="C3053">
        <v>1400</v>
      </c>
    </row>
    <row r="3054" spans="1:3">
      <c r="A3054" t="s">
        <v>3462</v>
      </c>
      <c r="B3054">
        <v>140237</v>
      </c>
      <c r="C3054">
        <v>1400</v>
      </c>
    </row>
    <row r="3055" spans="1:3">
      <c r="A3055" t="s">
        <v>4776</v>
      </c>
      <c r="B3055">
        <v>140238</v>
      </c>
      <c r="C3055">
        <v>1400</v>
      </c>
    </row>
    <row r="3056" spans="1:3">
      <c r="A3056" t="s">
        <v>2169</v>
      </c>
      <c r="B3056">
        <v>140239</v>
      </c>
      <c r="C3056">
        <v>1400</v>
      </c>
    </row>
    <row r="3057" spans="1:3">
      <c r="A3057" t="s">
        <v>4777</v>
      </c>
      <c r="B3057">
        <v>140240</v>
      </c>
      <c r="C3057">
        <v>1400</v>
      </c>
    </row>
    <row r="3058" spans="1:3">
      <c r="A3058" t="s">
        <v>3080</v>
      </c>
      <c r="B3058">
        <v>140241</v>
      </c>
      <c r="C3058">
        <v>1400</v>
      </c>
    </row>
    <row r="3059" spans="1:3">
      <c r="A3059" t="s">
        <v>4778</v>
      </c>
      <c r="B3059">
        <v>140242</v>
      </c>
      <c r="C3059">
        <v>1400</v>
      </c>
    </row>
    <row r="3060" spans="1:3">
      <c r="A3060" t="s">
        <v>2932</v>
      </c>
      <c r="B3060">
        <v>140243</v>
      </c>
      <c r="C3060">
        <v>1400</v>
      </c>
    </row>
    <row r="3061" spans="1:3">
      <c r="A3061" t="s">
        <v>4779</v>
      </c>
      <c r="B3061">
        <v>140244</v>
      </c>
      <c r="C3061">
        <v>1400</v>
      </c>
    </row>
    <row r="3062" spans="1:3">
      <c r="A3062" t="s">
        <v>4780</v>
      </c>
      <c r="B3062">
        <v>140245</v>
      </c>
      <c r="C3062">
        <v>1400</v>
      </c>
    </row>
    <row r="3063" spans="1:3">
      <c r="A3063" t="s">
        <v>4781</v>
      </c>
      <c r="B3063">
        <v>140246</v>
      </c>
      <c r="C3063">
        <v>1400</v>
      </c>
    </row>
    <row r="3064" spans="1:3">
      <c r="A3064" t="s">
        <v>4782</v>
      </c>
      <c r="B3064">
        <v>140247</v>
      </c>
      <c r="C3064">
        <v>1400</v>
      </c>
    </row>
    <row r="3065" spans="1:3">
      <c r="A3065" t="s">
        <v>4783</v>
      </c>
      <c r="B3065">
        <v>140248</v>
      </c>
      <c r="C3065">
        <v>1400</v>
      </c>
    </row>
    <row r="3066" spans="1:3">
      <c r="A3066" t="s">
        <v>4784</v>
      </c>
      <c r="B3066">
        <v>140249</v>
      </c>
      <c r="C3066">
        <v>1400</v>
      </c>
    </row>
    <row r="3067" spans="1:3">
      <c r="A3067" t="s">
        <v>4785</v>
      </c>
      <c r="B3067">
        <v>140250</v>
      </c>
      <c r="C3067">
        <v>1400</v>
      </c>
    </row>
    <row r="3068" spans="1:3">
      <c r="A3068" t="s">
        <v>4786</v>
      </c>
      <c r="B3068">
        <v>140251</v>
      </c>
      <c r="C3068">
        <v>1400</v>
      </c>
    </row>
    <row r="3069" spans="1:3">
      <c r="A3069" t="s">
        <v>4787</v>
      </c>
      <c r="B3069">
        <v>140252</v>
      </c>
      <c r="C3069">
        <v>1400</v>
      </c>
    </row>
    <row r="3070" spans="1:3">
      <c r="A3070" t="s">
        <v>4788</v>
      </c>
      <c r="B3070">
        <v>140253</v>
      </c>
      <c r="C3070">
        <v>1400</v>
      </c>
    </row>
    <row r="3071" spans="1:3">
      <c r="A3071" t="s">
        <v>4789</v>
      </c>
      <c r="B3071">
        <v>140254</v>
      </c>
      <c r="C3071">
        <v>1400</v>
      </c>
    </row>
    <row r="3072" spans="1:3">
      <c r="A3072" t="s">
        <v>4790</v>
      </c>
      <c r="B3072">
        <v>140255</v>
      </c>
      <c r="C3072">
        <v>1400</v>
      </c>
    </row>
    <row r="3073" spans="1:3">
      <c r="A3073" t="s">
        <v>4791</v>
      </c>
      <c r="B3073">
        <v>140256</v>
      </c>
      <c r="C3073">
        <v>1400</v>
      </c>
    </row>
    <row r="3074" spans="1:3">
      <c r="A3074" t="s">
        <v>4792</v>
      </c>
      <c r="B3074">
        <v>140257</v>
      </c>
      <c r="C3074">
        <v>1400</v>
      </c>
    </row>
    <row r="3075" spans="1:3">
      <c r="A3075" t="s">
        <v>4793</v>
      </c>
      <c r="B3075">
        <v>140258</v>
      </c>
      <c r="C3075">
        <v>1400</v>
      </c>
    </row>
    <row r="3076" spans="1:3">
      <c r="A3076" t="s">
        <v>4794</v>
      </c>
      <c r="B3076">
        <v>140259</v>
      </c>
      <c r="C3076">
        <v>1400</v>
      </c>
    </row>
    <row r="3077" spans="1:3">
      <c r="A3077" t="s">
        <v>4795</v>
      </c>
      <c r="B3077">
        <v>140260</v>
      </c>
      <c r="C3077">
        <v>1400</v>
      </c>
    </row>
    <row r="3078" spans="1:3">
      <c r="A3078" t="s">
        <v>4796</v>
      </c>
      <c r="B3078">
        <v>140261</v>
      </c>
      <c r="C3078">
        <v>1400</v>
      </c>
    </row>
    <row r="3079" spans="1:3">
      <c r="A3079" t="s">
        <v>4797</v>
      </c>
      <c r="B3079">
        <v>140262</v>
      </c>
      <c r="C3079">
        <v>1400</v>
      </c>
    </row>
    <row r="3080" spans="1:3">
      <c r="A3080" t="s">
        <v>4798</v>
      </c>
      <c r="B3080">
        <v>140263</v>
      </c>
      <c r="C3080">
        <v>1400</v>
      </c>
    </row>
    <row r="3081" spans="1:3">
      <c r="A3081" t="s">
        <v>4799</v>
      </c>
      <c r="B3081">
        <v>140264</v>
      </c>
      <c r="C3081">
        <v>1400</v>
      </c>
    </row>
    <row r="3082" spans="1:3">
      <c r="A3082" t="s">
        <v>4800</v>
      </c>
      <c r="B3082">
        <v>140265</v>
      </c>
      <c r="C3082">
        <v>1400</v>
      </c>
    </row>
    <row r="3083" spans="1:3">
      <c r="A3083" t="s">
        <v>4801</v>
      </c>
      <c r="B3083">
        <v>140266</v>
      </c>
      <c r="C3083">
        <v>1400</v>
      </c>
    </row>
    <row r="3084" spans="1:3">
      <c r="A3084" t="s">
        <v>4802</v>
      </c>
      <c r="B3084">
        <v>140267</v>
      </c>
      <c r="C3084">
        <v>1400</v>
      </c>
    </row>
    <row r="3085" spans="1:3">
      <c r="A3085" t="s">
        <v>4803</v>
      </c>
      <c r="B3085">
        <v>140268</v>
      </c>
      <c r="C3085">
        <v>1400</v>
      </c>
    </row>
    <row r="3086" spans="1:3">
      <c r="A3086" t="s">
        <v>4804</v>
      </c>
      <c r="B3086">
        <v>140269</v>
      </c>
      <c r="C3086">
        <v>1400</v>
      </c>
    </row>
    <row r="3087" spans="1:3">
      <c r="A3087" t="s">
        <v>4805</v>
      </c>
      <c r="B3087">
        <v>142265</v>
      </c>
      <c r="C3087">
        <v>1400</v>
      </c>
    </row>
    <row r="3088" spans="1:3">
      <c r="A3088" t="s">
        <v>4806</v>
      </c>
      <c r="B3088">
        <v>145001</v>
      </c>
      <c r="C3088">
        <v>1400</v>
      </c>
    </row>
    <row r="3089" spans="1:3">
      <c r="A3089" t="s">
        <v>4807</v>
      </c>
      <c r="B3089">
        <v>150001</v>
      </c>
      <c r="C3089">
        <v>1500</v>
      </c>
    </row>
    <row r="3090" spans="1:3">
      <c r="A3090" t="s">
        <v>4808</v>
      </c>
      <c r="B3090">
        <v>150002</v>
      </c>
      <c r="C3090">
        <v>1500</v>
      </c>
    </row>
    <row r="3091" spans="1:3">
      <c r="A3091" t="s">
        <v>2301</v>
      </c>
      <c r="B3091">
        <v>150003</v>
      </c>
      <c r="C3091">
        <v>1500</v>
      </c>
    </row>
    <row r="3092" spans="1:3">
      <c r="A3092" t="s">
        <v>4809</v>
      </c>
      <c r="B3092">
        <v>150004</v>
      </c>
      <c r="C3092">
        <v>1500</v>
      </c>
    </row>
    <row r="3093" spans="1:3">
      <c r="A3093" t="s">
        <v>4810</v>
      </c>
      <c r="B3093">
        <v>150006</v>
      </c>
      <c r="C3093">
        <v>1500</v>
      </c>
    </row>
    <row r="3094" spans="1:3">
      <c r="A3094" t="s">
        <v>4811</v>
      </c>
      <c r="B3094">
        <v>150007</v>
      </c>
      <c r="C3094">
        <v>1500</v>
      </c>
    </row>
    <row r="3095" spans="1:3">
      <c r="A3095" t="s">
        <v>4812</v>
      </c>
      <c r="B3095">
        <v>150008</v>
      </c>
      <c r="C3095">
        <v>1500</v>
      </c>
    </row>
    <row r="3096" spans="1:3">
      <c r="A3096" t="s">
        <v>4813</v>
      </c>
      <c r="B3096">
        <v>150009</v>
      </c>
      <c r="C3096">
        <v>1500</v>
      </c>
    </row>
    <row r="3097" spans="1:3">
      <c r="A3097" t="s">
        <v>4814</v>
      </c>
      <c r="B3097">
        <v>150010</v>
      </c>
      <c r="C3097">
        <v>1500</v>
      </c>
    </row>
    <row r="3098" spans="1:3">
      <c r="A3098" t="s">
        <v>4815</v>
      </c>
      <c r="B3098">
        <v>150011</v>
      </c>
      <c r="C3098">
        <v>1500</v>
      </c>
    </row>
    <row r="3099" spans="1:3">
      <c r="A3099" t="s">
        <v>699</v>
      </c>
      <c r="B3099">
        <v>150012</v>
      </c>
      <c r="C3099">
        <v>1500</v>
      </c>
    </row>
    <row r="3100" spans="1:3">
      <c r="A3100" t="s">
        <v>2457</v>
      </c>
      <c r="B3100">
        <v>150013</v>
      </c>
      <c r="C3100">
        <v>1500</v>
      </c>
    </row>
    <row r="3101" spans="1:3">
      <c r="A3101" t="s">
        <v>4816</v>
      </c>
      <c r="B3101">
        <v>150014</v>
      </c>
      <c r="C3101">
        <v>1500</v>
      </c>
    </row>
    <row r="3102" spans="1:3">
      <c r="A3102" t="s">
        <v>4817</v>
      </c>
      <c r="B3102">
        <v>150015</v>
      </c>
      <c r="C3102">
        <v>1500</v>
      </c>
    </row>
    <row r="3103" spans="1:3">
      <c r="A3103" t="s">
        <v>4818</v>
      </c>
      <c r="B3103">
        <v>150016</v>
      </c>
      <c r="C3103">
        <v>1500</v>
      </c>
    </row>
    <row r="3104" spans="1:3">
      <c r="A3104" t="s">
        <v>4819</v>
      </c>
      <c r="B3104">
        <v>150017</v>
      </c>
      <c r="C3104">
        <v>1500</v>
      </c>
    </row>
    <row r="3105" spans="1:3">
      <c r="A3105" t="s">
        <v>4820</v>
      </c>
      <c r="B3105">
        <v>150018</v>
      </c>
      <c r="C3105">
        <v>1500</v>
      </c>
    </row>
    <row r="3106" spans="1:3">
      <c r="A3106" t="s">
        <v>4821</v>
      </c>
      <c r="B3106">
        <v>150019</v>
      </c>
      <c r="C3106">
        <v>1500</v>
      </c>
    </row>
    <row r="3107" spans="1:3">
      <c r="A3107" t="s">
        <v>4822</v>
      </c>
      <c r="B3107">
        <v>150020</v>
      </c>
      <c r="C3107">
        <v>1500</v>
      </c>
    </row>
    <row r="3108" spans="1:3">
      <c r="A3108" t="s">
        <v>4823</v>
      </c>
      <c r="B3108">
        <v>150021</v>
      </c>
      <c r="C3108">
        <v>1500</v>
      </c>
    </row>
    <row r="3109" spans="1:3">
      <c r="A3109" t="s">
        <v>2398</v>
      </c>
      <c r="B3109">
        <v>150022</v>
      </c>
      <c r="C3109">
        <v>1500</v>
      </c>
    </row>
    <row r="3110" spans="1:3">
      <c r="A3110" t="s">
        <v>2399</v>
      </c>
      <c r="B3110">
        <v>150023</v>
      </c>
      <c r="C3110">
        <v>1500</v>
      </c>
    </row>
    <row r="3111" spans="1:3">
      <c r="A3111" t="s">
        <v>4824</v>
      </c>
      <c r="B3111">
        <v>150024</v>
      </c>
      <c r="C3111">
        <v>1500</v>
      </c>
    </row>
    <row r="3112" spans="1:3">
      <c r="A3112" t="s">
        <v>4825</v>
      </c>
      <c r="B3112">
        <v>150025</v>
      </c>
      <c r="C3112">
        <v>1500</v>
      </c>
    </row>
    <row r="3113" spans="1:3">
      <c r="A3113" t="s">
        <v>4826</v>
      </c>
      <c r="B3113">
        <v>150026</v>
      </c>
      <c r="C3113">
        <v>1500</v>
      </c>
    </row>
    <row r="3114" spans="1:3">
      <c r="A3114" t="s">
        <v>2403</v>
      </c>
      <c r="B3114">
        <v>150027</v>
      </c>
      <c r="C3114">
        <v>1500</v>
      </c>
    </row>
    <row r="3115" spans="1:3">
      <c r="A3115" t="s">
        <v>4827</v>
      </c>
      <c r="B3115">
        <v>150028</v>
      </c>
      <c r="C3115">
        <v>1500</v>
      </c>
    </row>
    <row r="3116" spans="1:3">
      <c r="A3116" t="s">
        <v>4828</v>
      </c>
      <c r="B3116">
        <v>150029</v>
      </c>
      <c r="C3116">
        <v>1500</v>
      </c>
    </row>
    <row r="3117" spans="1:3">
      <c r="A3117" t="s">
        <v>4829</v>
      </c>
      <c r="B3117">
        <v>150030</v>
      </c>
      <c r="C3117">
        <v>1500</v>
      </c>
    </row>
    <row r="3118" spans="1:3">
      <c r="A3118" t="s">
        <v>4830</v>
      </c>
      <c r="B3118">
        <v>150031</v>
      </c>
      <c r="C3118">
        <v>1500</v>
      </c>
    </row>
    <row r="3119" spans="1:3">
      <c r="A3119" t="s">
        <v>4831</v>
      </c>
      <c r="B3119">
        <v>150032</v>
      </c>
      <c r="C3119">
        <v>1500</v>
      </c>
    </row>
    <row r="3120" spans="1:3">
      <c r="A3120" t="s">
        <v>4832</v>
      </c>
      <c r="B3120">
        <v>150033</v>
      </c>
      <c r="C3120">
        <v>1500</v>
      </c>
    </row>
    <row r="3121" spans="1:3">
      <c r="A3121" t="s">
        <v>4833</v>
      </c>
      <c r="B3121">
        <v>150034</v>
      </c>
      <c r="C3121">
        <v>1500</v>
      </c>
    </row>
    <row r="3122" spans="1:3">
      <c r="A3122" t="s">
        <v>4834</v>
      </c>
      <c r="B3122">
        <v>150035</v>
      </c>
      <c r="C3122">
        <v>1500</v>
      </c>
    </row>
    <row r="3123" spans="1:3">
      <c r="A3123" t="s">
        <v>4835</v>
      </c>
      <c r="B3123">
        <v>150036</v>
      </c>
      <c r="C3123">
        <v>1500</v>
      </c>
    </row>
    <row r="3124" spans="1:3">
      <c r="A3124" t="s">
        <v>659</v>
      </c>
      <c r="B3124">
        <v>150037</v>
      </c>
      <c r="C3124">
        <v>1500</v>
      </c>
    </row>
    <row r="3125" spans="1:3">
      <c r="A3125" t="s">
        <v>2618</v>
      </c>
      <c r="B3125">
        <v>150038</v>
      </c>
      <c r="C3125">
        <v>1500</v>
      </c>
    </row>
    <row r="3126" spans="1:3">
      <c r="A3126" t="s">
        <v>4836</v>
      </c>
      <c r="B3126">
        <v>150039</v>
      </c>
      <c r="C3126">
        <v>1500</v>
      </c>
    </row>
    <row r="3127" spans="1:3">
      <c r="A3127" t="s">
        <v>4837</v>
      </c>
      <c r="B3127">
        <v>150040</v>
      </c>
      <c r="C3127">
        <v>1500</v>
      </c>
    </row>
    <row r="3128" spans="1:3">
      <c r="A3128" t="s">
        <v>4838</v>
      </c>
      <c r="B3128">
        <v>150041</v>
      </c>
      <c r="C3128">
        <v>1500</v>
      </c>
    </row>
    <row r="3129" spans="1:3">
      <c r="A3129" t="s">
        <v>4839</v>
      </c>
      <c r="B3129">
        <v>150042</v>
      </c>
      <c r="C3129">
        <v>1500</v>
      </c>
    </row>
    <row r="3130" spans="1:3">
      <c r="A3130" t="s">
        <v>4840</v>
      </c>
      <c r="B3130">
        <v>150043</v>
      </c>
      <c r="C3130">
        <v>1500</v>
      </c>
    </row>
    <row r="3131" spans="1:3">
      <c r="A3131" t="s">
        <v>4841</v>
      </c>
      <c r="B3131">
        <v>150044</v>
      </c>
      <c r="C3131">
        <v>1500</v>
      </c>
    </row>
    <row r="3132" spans="1:3">
      <c r="A3132" t="s">
        <v>4842</v>
      </c>
      <c r="B3132">
        <v>150045</v>
      </c>
      <c r="C3132">
        <v>1500</v>
      </c>
    </row>
    <row r="3133" spans="1:3">
      <c r="A3133" t="s">
        <v>4843</v>
      </c>
      <c r="B3133">
        <v>150046</v>
      </c>
      <c r="C3133">
        <v>1500</v>
      </c>
    </row>
    <row r="3134" spans="1:3">
      <c r="A3134" t="s">
        <v>4844</v>
      </c>
      <c r="B3134">
        <v>150047</v>
      </c>
      <c r="C3134">
        <v>1500</v>
      </c>
    </row>
    <row r="3135" spans="1:3">
      <c r="A3135" t="s">
        <v>4845</v>
      </c>
      <c r="B3135">
        <v>150048</v>
      </c>
      <c r="C3135">
        <v>1500</v>
      </c>
    </row>
    <row r="3136" spans="1:3">
      <c r="A3136" t="s">
        <v>4846</v>
      </c>
      <c r="B3136">
        <v>150049</v>
      </c>
      <c r="C3136">
        <v>1500</v>
      </c>
    </row>
    <row r="3137" spans="1:3">
      <c r="A3137" t="s">
        <v>4847</v>
      </c>
      <c r="B3137">
        <v>150050</v>
      </c>
      <c r="C3137">
        <v>1500</v>
      </c>
    </row>
    <row r="3138" spans="1:3">
      <c r="A3138" t="s">
        <v>4848</v>
      </c>
      <c r="B3138">
        <v>150051</v>
      </c>
      <c r="C3138">
        <v>1500</v>
      </c>
    </row>
    <row r="3139" spans="1:3">
      <c r="A3139" t="s">
        <v>4849</v>
      </c>
      <c r="B3139">
        <v>150052</v>
      </c>
      <c r="C3139">
        <v>1500</v>
      </c>
    </row>
    <row r="3140" spans="1:3">
      <c r="A3140" t="s">
        <v>4850</v>
      </c>
      <c r="B3140">
        <v>150053</v>
      </c>
      <c r="C3140">
        <v>1500</v>
      </c>
    </row>
    <row r="3141" spans="1:3">
      <c r="A3141" t="s">
        <v>4851</v>
      </c>
      <c r="B3141">
        <v>150054</v>
      </c>
      <c r="C3141">
        <v>1500</v>
      </c>
    </row>
    <row r="3142" spans="1:3">
      <c r="A3142" t="s">
        <v>4852</v>
      </c>
      <c r="B3142">
        <v>150055</v>
      </c>
      <c r="C3142">
        <v>1500</v>
      </c>
    </row>
    <row r="3143" spans="1:3">
      <c r="A3143" t="s">
        <v>4853</v>
      </c>
      <c r="B3143">
        <v>150056</v>
      </c>
      <c r="C3143">
        <v>1500</v>
      </c>
    </row>
    <row r="3144" spans="1:3">
      <c r="A3144" t="s">
        <v>4854</v>
      </c>
      <c r="B3144">
        <v>150057</v>
      </c>
      <c r="C3144">
        <v>1500</v>
      </c>
    </row>
    <row r="3145" spans="1:3">
      <c r="A3145" t="s">
        <v>2766</v>
      </c>
      <c r="B3145">
        <v>150058</v>
      </c>
      <c r="C3145">
        <v>1500</v>
      </c>
    </row>
    <row r="3146" spans="1:3">
      <c r="A3146" t="s">
        <v>4855</v>
      </c>
      <c r="B3146">
        <v>150059</v>
      </c>
      <c r="C3146">
        <v>1500</v>
      </c>
    </row>
    <row r="3147" spans="1:3">
      <c r="A3147" t="s">
        <v>4856</v>
      </c>
      <c r="B3147">
        <v>150060</v>
      </c>
      <c r="C3147">
        <v>1500</v>
      </c>
    </row>
    <row r="3148" spans="1:3">
      <c r="A3148" t="s">
        <v>4857</v>
      </c>
      <c r="B3148">
        <v>150061</v>
      </c>
      <c r="C3148">
        <v>1500</v>
      </c>
    </row>
    <row r="3149" spans="1:3">
      <c r="A3149" t="s">
        <v>4858</v>
      </c>
      <c r="B3149">
        <v>150062</v>
      </c>
      <c r="C3149">
        <v>1500</v>
      </c>
    </row>
    <row r="3150" spans="1:3">
      <c r="A3150" t="s">
        <v>4859</v>
      </c>
      <c r="B3150">
        <v>150063</v>
      </c>
      <c r="C3150">
        <v>1500</v>
      </c>
    </row>
    <row r="3151" spans="1:3">
      <c r="A3151" t="s">
        <v>4860</v>
      </c>
      <c r="B3151">
        <v>150064</v>
      </c>
      <c r="C3151">
        <v>1500</v>
      </c>
    </row>
    <row r="3152" spans="1:3">
      <c r="A3152" t="s">
        <v>4861</v>
      </c>
      <c r="B3152">
        <v>150065</v>
      </c>
      <c r="C3152">
        <v>1500</v>
      </c>
    </row>
    <row r="3153" spans="1:3">
      <c r="A3153" t="s">
        <v>4862</v>
      </c>
      <c r="B3153">
        <v>150066</v>
      </c>
      <c r="C3153">
        <v>1500</v>
      </c>
    </row>
    <row r="3154" spans="1:3">
      <c r="A3154" t="s">
        <v>4863</v>
      </c>
      <c r="B3154">
        <v>150067</v>
      </c>
      <c r="C3154">
        <v>1500</v>
      </c>
    </row>
    <row r="3155" spans="1:3">
      <c r="A3155" t="s">
        <v>4864</v>
      </c>
      <c r="B3155">
        <v>150068</v>
      </c>
      <c r="C3155">
        <v>1500</v>
      </c>
    </row>
    <row r="3156" spans="1:3">
      <c r="A3156" t="s">
        <v>2961</v>
      </c>
      <c r="B3156">
        <v>150069</v>
      </c>
      <c r="C3156">
        <v>1500</v>
      </c>
    </row>
    <row r="3157" spans="1:3">
      <c r="A3157" t="s">
        <v>2962</v>
      </c>
      <c r="B3157">
        <v>150070</v>
      </c>
      <c r="C3157">
        <v>1500</v>
      </c>
    </row>
    <row r="3158" spans="1:3">
      <c r="A3158" t="s">
        <v>4865</v>
      </c>
      <c r="B3158">
        <v>150071</v>
      </c>
      <c r="C3158">
        <v>1500</v>
      </c>
    </row>
    <row r="3159" spans="1:3">
      <c r="A3159" t="s">
        <v>4866</v>
      </c>
      <c r="B3159">
        <v>150072</v>
      </c>
      <c r="C3159">
        <v>1500</v>
      </c>
    </row>
    <row r="3160" spans="1:3">
      <c r="A3160" t="s">
        <v>4867</v>
      </c>
      <c r="B3160">
        <v>150073</v>
      </c>
      <c r="C3160">
        <v>1500</v>
      </c>
    </row>
    <row r="3161" spans="1:3">
      <c r="A3161" t="s">
        <v>4868</v>
      </c>
      <c r="B3161">
        <v>150074</v>
      </c>
      <c r="C3161">
        <v>1500</v>
      </c>
    </row>
    <row r="3162" spans="1:3">
      <c r="A3162" t="s">
        <v>4869</v>
      </c>
      <c r="B3162">
        <v>150075</v>
      </c>
      <c r="C3162">
        <v>1500</v>
      </c>
    </row>
    <row r="3163" spans="1:3">
      <c r="A3163" t="s">
        <v>4870</v>
      </c>
      <c r="B3163">
        <v>150076</v>
      </c>
      <c r="C3163">
        <v>1500</v>
      </c>
    </row>
    <row r="3164" spans="1:3">
      <c r="A3164" t="s">
        <v>3035</v>
      </c>
      <c r="B3164">
        <v>150077</v>
      </c>
      <c r="C3164">
        <v>1500</v>
      </c>
    </row>
    <row r="3165" spans="1:3">
      <c r="A3165" t="s">
        <v>4871</v>
      </c>
      <c r="B3165">
        <v>150078</v>
      </c>
      <c r="C3165">
        <v>1500</v>
      </c>
    </row>
    <row r="3166" spans="1:3">
      <c r="A3166" t="s">
        <v>4872</v>
      </c>
      <c r="B3166">
        <v>150079</v>
      </c>
      <c r="C3166">
        <v>1500</v>
      </c>
    </row>
    <row r="3167" spans="1:3">
      <c r="A3167" t="s">
        <v>4873</v>
      </c>
      <c r="B3167">
        <v>150080</v>
      </c>
      <c r="C3167">
        <v>1500</v>
      </c>
    </row>
    <row r="3168" spans="1:3">
      <c r="A3168" t="s">
        <v>4874</v>
      </c>
      <c r="B3168">
        <v>150081</v>
      </c>
      <c r="C3168">
        <v>1500</v>
      </c>
    </row>
    <row r="3169" spans="1:3">
      <c r="A3169" t="s">
        <v>4875</v>
      </c>
      <c r="B3169">
        <v>150082</v>
      </c>
      <c r="C3169">
        <v>1500</v>
      </c>
    </row>
    <row r="3170" spans="1:3">
      <c r="A3170" t="s">
        <v>2844</v>
      </c>
      <c r="B3170">
        <v>150083</v>
      </c>
      <c r="C3170">
        <v>1500</v>
      </c>
    </row>
    <row r="3171" spans="1:3">
      <c r="A3171" t="s">
        <v>4876</v>
      </c>
      <c r="B3171">
        <v>150084</v>
      </c>
      <c r="C3171">
        <v>1500</v>
      </c>
    </row>
    <row r="3172" spans="1:3">
      <c r="A3172" t="s">
        <v>4877</v>
      </c>
      <c r="B3172">
        <v>150085</v>
      </c>
      <c r="C3172">
        <v>1500</v>
      </c>
    </row>
    <row r="3173" spans="1:3">
      <c r="A3173" t="s">
        <v>4878</v>
      </c>
      <c r="B3173">
        <v>150086</v>
      </c>
      <c r="C3173">
        <v>1500</v>
      </c>
    </row>
    <row r="3174" spans="1:3">
      <c r="A3174" t="s">
        <v>4879</v>
      </c>
      <c r="B3174">
        <v>150087</v>
      </c>
      <c r="C3174">
        <v>1500</v>
      </c>
    </row>
    <row r="3175" spans="1:3">
      <c r="A3175" t="s">
        <v>4880</v>
      </c>
      <c r="B3175">
        <v>150088</v>
      </c>
      <c r="C3175">
        <v>1500</v>
      </c>
    </row>
    <row r="3176" spans="1:3">
      <c r="A3176" t="s">
        <v>4881</v>
      </c>
      <c r="B3176">
        <v>150089</v>
      </c>
      <c r="C3176">
        <v>1500</v>
      </c>
    </row>
    <row r="3177" spans="1:3">
      <c r="A3177" t="s">
        <v>4882</v>
      </c>
      <c r="B3177">
        <v>150090</v>
      </c>
      <c r="C3177">
        <v>1500</v>
      </c>
    </row>
    <row r="3178" spans="1:3">
      <c r="A3178" t="s">
        <v>4883</v>
      </c>
      <c r="B3178">
        <v>150091</v>
      </c>
      <c r="C3178">
        <v>1500</v>
      </c>
    </row>
    <row r="3179" spans="1:3">
      <c r="A3179" t="s">
        <v>4884</v>
      </c>
      <c r="B3179">
        <v>150092</v>
      </c>
      <c r="C3179">
        <v>1500</v>
      </c>
    </row>
    <row r="3180" spans="1:3">
      <c r="A3180" t="s">
        <v>4885</v>
      </c>
      <c r="B3180">
        <v>150093</v>
      </c>
      <c r="C3180">
        <v>1500</v>
      </c>
    </row>
    <row r="3181" spans="1:3">
      <c r="A3181" t="s">
        <v>4886</v>
      </c>
      <c r="B3181">
        <v>150094</v>
      </c>
      <c r="C3181">
        <v>1500</v>
      </c>
    </row>
    <row r="3182" spans="1:3">
      <c r="A3182" t="s">
        <v>4887</v>
      </c>
      <c r="B3182">
        <v>150095</v>
      </c>
      <c r="C3182">
        <v>1500</v>
      </c>
    </row>
    <row r="3183" spans="1:3">
      <c r="A3183" t="s">
        <v>4888</v>
      </c>
      <c r="B3183">
        <v>150096</v>
      </c>
      <c r="C3183">
        <v>1500</v>
      </c>
    </row>
    <row r="3184" spans="1:3">
      <c r="A3184" t="s">
        <v>4889</v>
      </c>
      <c r="B3184">
        <v>150097</v>
      </c>
      <c r="C3184">
        <v>1500</v>
      </c>
    </row>
    <row r="3185" spans="1:3">
      <c r="A3185" t="s">
        <v>4890</v>
      </c>
      <c r="B3185">
        <v>150098</v>
      </c>
      <c r="C3185">
        <v>1500</v>
      </c>
    </row>
    <row r="3186" spans="1:3">
      <c r="A3186" t="s">
        <v>4891</v>
      </c>
      <c r="B3186">
        <v>150099</v>
      </c>
      <c r="C3186">
        <v>1500</v>
      </c>
    </row>
    <row r="3187" spans="1:3">
      <c r="A3187" t="s">
        <v>4892</v>
      </c>
      <c r="B3187">
        <v>150100</v>
      </c>
      <c r="C3187">
        <v>1500</v>
      </c>
    </row>
    <row r="3188" spans="1:3">
      <c r="A3188" t="s">
        <v>4893</v>
      </c>
      <c r="B3188">
        <v>150101</v>
      </c>
      <c r="C3188">
        <v>1500</v>
      </c>
    </row>
    <row r="3189" spans="1:3">
      <c r="A3189" t="s">
        <v>4894</v>
      </c>
      <c r="B3189">
        <v>150102</v>
      </c>
      <c r="C3189">
        <v>1500</v>
      </c>
    </row>
    <row r="3190" spans="1:3">
      <c r="A3190" t="s">
        <v>4895</v>
      </c>
      <c r="B3190">
        <v>150103</v>
      </c>
      <c r="C3190">
        <v>1500</v>
      </c>
    </row>
    <row r="3191" spans="1:3">
      <c r="A3191" t="s">
        <v>4896</v>
      </c>
      <c r="B3191">
        <v>150104</v>
      </c>
      <c r="C3191">
        <v>1500</v>
      </c>
    </row>
    <row r="3192" spans="1:3">
      <c r="A3192" t="s">
        <v>4897</v>
      </c>
      <c r="B3192">
        <v>150105</v>
      </c>
      <c r="C3192">
        <v>1500</v>
      </c>
    </row>
    <row r="3193" spans="1:3">
      <c r="A3193" t="s">
        <v>4898</v>
      </c>
      <c r="B3193">
        <v>150106</v>
      </c>
      <c r="C3193">
        <v>1500</v>
      </c>
    </row>
    <row r="3194" spans="1:3">
      <c r="A3194" t="s">
        <v>661</v>
      </c>
      <c r="B3194">
        <v>150107</v>
      </c>
      <c r="C3194">
        <v>1500</v>
      </c>
    </row>
    <row r="3195" spans="1:3">
      <c r="A3195" t="s">
        <v>4899</v>
      </c>
      <c r="B3195">
        <v>150108</v>
      </c>
      <c r="C3195">
        <v>1500</v>
      </c>
    </row>
    <row r="3196" spans="1:3">
      <c r="A3196" t="s">
        <v>4900</v>
      </c>
      <c r="B3196">
        <v>150109</v>
      </c>
      <c r="C3196">
        <v>1500</v>
      </c>
    </row>
    <row r="3197" spans="1:3">
      <c r="A3197" t="s">
        <v>4901</v>
      </c>
      <c r="B3197">
        <v>150110</v>
      </c>
      <c r="C3197">
        <v>1500</v>
      </c>
    </row>
    <row r="3198" spans="1:3">
      <c r="A3198" t="s">
        <v>4902</v>
      </c>
      <c r="B3198">
        <v>150111</v>
      </c>
      <c r="C3198">
        <v>1500</v>
      </c>
    </row>
    <row r="3199" spans="1:3">
      <c r="A3199" t="s">
        <v>4903</v>
      </c>
      <c r="B3199">
        <v>150112</v>
      </c>
      <c r="C3199">
        <v>1500</v>
      </c>
    </row>
    <row r="3200" spans="1:3">
      <c r="A3200" t="s">
        <v>4904</v>
      </c>
      <c r="B3200">
        <v>150113</v>
      </c>
      <c r="C3200">
        <v>1500</v>
      </c>
    </row>
    <row r="3201" spans="1:3">
      <c r="A3201" t="s">
        <v>4905</v>
      </c>
      <c r="B3201">
        <v>150114</v>
      </c>
      <c r="C3201">
        <v>1500</v>
      </c>
    </row>
    <row r="3202" spans="1:3">
      <c r="A3202" t="s">
        <v>4906</v>
      </c>
      <c r="B3202">
        <v>150115</v>
      </c>
      <c r="C3202">
        <v>1500</v>
      </c>
    </row>
    <row r="3203" spans="1:3">
      <c r="A3203" t="s">
        <v>4907</v>
      </c>
      <c r="B3203">
        <v>150116</v>
      </c>
      <c r="C3203">
        <v>1500</v>
      </c>
    </row>
    <row r="3204" spans="1:3">
      <c r="A3204" t="s">
        <v>4908</v>
      </c>
      <c r="B3204">
        <v>150117</v>
      </c>
      <c r="C3204">
        <v>1500</v>
      </c>
    </row>
    <row r="3205" spans="1:3">
      <c r="A3205" t="s">
        <v>4909</v>
      </c>
      <c r="B3205">
        <v>150118</v>
      </c>
      <c r="C3205">
        <v>1500</v>
      </c>
    </row>
    <row r="3206" spans="1:3">
      <c r="A3206" t="s">
        <v>4910</v>
      </c>
      <c r="B3206">
        <v>150119</v>
      </c>
      <c r="C3206">
        <v>1500</v>
      </c>
    </row>
    <row r="3207" spans="1:3">
      <c r="A3207" t="s">
        <v>4911</v>
      </c>
      <c r="B3207">
        <v>150120</v>
      </c>
      <c r="C3207">
        <v>1500</v>
      </c>
    </row>
    <row r="3208" spans="1:3">
      <c r="A3208" t="s">
        <v>4912</v>
      </c>
      <c r="B3208">
        <v>150121</v>
      </c>
      <c r="C3208">
        <v>1500</v>
      </c>
    </row>
    <row r="3209" spans="1:3">
      <c r="A3209" t="s">
        <v>4913</v>
      </c>
      <c r="B3209">
        <v>150122</v>
      </c>
      <c r="C3209">
        <v>1500</v>
      </c>
    </row>
    <row r="3210" spans="1:3">
      <c r="A3210" t="s">
        <v>4914</v>
      </c>
      <c r="B3210">
        <v>150123</v>
      </c>
      <c r="C3210">
        <v>1500</v>
      </c>
    </row>
    <row r="3211" spans="1:3">
      <c r="A3211" t="s">
        <v>4915</v>
      </c>
      <c r="B3211">
        <v>150124</v>
      </c>
      <c r="C3211">
        <v>1500</v>
      </c>
    </row>
    <row r="3212" spans="1:3">
      <c r="A3212" t="s">
        <v>4916</v>
      </c>
      <c r="B3212">
        <v>150125</v>
      </c>
      <c r="C3212">
        <v>1500</v>
      </c>
    </row>
    <row r="3213" spans="1:3">
      <c r="A3213" t="s">
        <v>4917</v>
      </c>
      <c r="B3213">
        <v>150126</v>
      </c>
      <c r="C3213">
        <v>1500</v>
      </c>
    </row>
    <row r="3214" spans="1:3">
      <c r="A3214" t="s">
        <v>4918</v>
      </c>
      <c r="B3214">
        <v>150127</v>
      </c>
      <c r="C3214">
        <v>1500</v>
      </c>
    </row>
    <row r="3215" spans="1:3">
      <c r="A3215" t="s">
        <v>4919</v>
      </c>
      <c r="B3215">
        <v>150128</v>
      </c>
      <c r="C3215">
        <v>1500</v>
      </c>
    </row>
    <row r="3216" spans="1:3">
      <c r="A3216" t="s">
        <v>4920</v>
      </c>
      <c r="B3216">
        <v>150129</v>
      </c>
      <c r="C3216">
        <v>1500</v>
      </c>
    </row>
    <row r="3217" spans="1:3">
      <c r="A3217" t="s">
        <v>4921</v>
      </c>
      <c r="B3217">
        <v>150130</v>
      </c>
      <c r="C3217">
        <v>1500</v>
      </c>
    </row>
    <row r="3218" spans="1:3">
      <c r="A3218" t="s">
        <v>4922</v>
      </c>
      <c r="B3218">
        <v>150131</v>
      </c>
      <c r="C3218">
        <v>1500</v>
      </c>
    </row>
    <row r="3219" spans="1:3">
      <c r="A3219" t="s">
        <v>4923</v>
      </c>
      <c r="B3219">
        <v>150132</v>
      </c>
      <c r="C3219">
        <v>1500</v>
      </c>
    </row>
    <row r="3220" spans="1:3">
      <c r="A3220" t="s">
        <v>4924</v>
      </c>
      <c r="B3220">
        <v>150133</v>
      </c>
      <c r="C3220">
        <v>1500</v>
      </c>
    </row>
    <row r="3221" spans="1:3">
      <c r="A3221" t="s">
        <v>4925</v>
      </c>
      <c r="B3221">
        <v>150134</v>
      </c>
      <c r="C3221">
        <v>1500</v>
      </c>
    </row>
    <row r="3222" spans="1:3">
      <c r="A3222" t="s">
        <v>4926</v>
      </c>
      <c r="B3222">
        <v>150135</v>
      </c>
      <c r="C3222">
        <v>1500</v>
      </c>
    </row>
    <row r="3223" spans="1:3">
      <c r="A3223" t="s">
        <v>4927</v>
      </c>
      <c r="B3223">
        <v>150136</v>
      </c>
      <c r="C3223">
        <v>1500</v>
      </c>
    </row>
    <row r="3224" spans="1:3">
      <c r="A3224" t="s">
        <v>4928</v>
      </c>
      <c r="B3224">
        <v>150137</v>
      </c>
      <c r="C3224">
        <v>1500</v>
      </c>
    </row>
    <row r="3225" spans="1:3">
      <c r="A3225" t="s">
        <v>4929</v>
      </c>
      <c r="B3225">
        <v>150138</v>
      </c>
      <c r="C3225">
        <v>1500</v>
      </c>
    </row>
    <row r="3226" spans="1:3">
      <c r="A3226" t="s">
        <v>4930</v>
      </c>
      <c r="B3226">
        <v>150139</v>
      </c>
      <c r="C3226">
        <v>1500</v>
      </c>
    </row>
    <row r="3227" spans="1:3">
      <c r="A3227" t="s">
        <v>4931</v>
      </c>
      <c r="B3227">
        <v>150140</v>
      </c>
      <c r="C3227">
        <v>1500</v>
      </c>
    </row>
    <row r="3228" spans="1:3">
      <c r="A3228" t="s">
        <v>4932</v>
      </c>
      <c r="B3228">
        <v>150141</v>
      </c>
      <c r="C3228">
        <v>1500</v>
      </c>
    </row>
    <row r="3229" spans="1:3">
      <c r="A3229" t="s">
        <v>4933</v>
      </c>
      <c r="B3229">
        <v>155001</v>
      </c>
      <c r="C3229">
        <v>1000</v>
      </c>
    </row>
    <row r="3230" spans="1:3">
      <c r="A3230" t="s">
        <v>571</v>
      </c>
      <c r="B3230">
        <v>160001</v>
      </c>
      <c r="C3230">
        <v>1600</v>
      </c>
    </row>
    <row r="3231" spans="1:3">
      <c r="A3231" t="s">
        <v>4934</v>
      </c>
      <c r="B3231">
        <v>160002</v>
      </c>
      <c r="C3231">
        <v>1600</v>
      </c>
    </row>
    <row r="3232" spans="1:3">
      <c r="A3232" t="s">
        <v>4935</v>
      </c>
      <c r="B3232">
        <v>160003</v>
      </c>
      <c r="C3232">
        <v>1600</v>
      </c>
    </row>
    <row r="3233" spans="1:3">
      <c r="A3233" t="s">
        <v>4936</v>
      </c>
      <c r="B3233">
        <v>160004</v>
      </c>
      <c r="C3233">
        <v>1600</v>
      </c>
    </row>
    <row r="3234" spans="1:3">
      <c r="A3234" t="s">
        <v>4937</v>
      </c>
      <c r="B3234">
        <v>160005</v>
      </c>
      <c r="C3234">
        <v>1600</v>
      </c>
    </row>
    <row r="3235" spans="1:3">
      <c r="A3235" t="s">
        <v>4938</v>
      </c>
      <c r="B3235">
        <v>160007</v>
      </c>
      <c r="C3235">
        <v>1600</v>
      </c>
    </row>
    <row r="3236" spans="1:3">
      <c r="A3236" t="s">
        <v>4939</v>
      </c>
      <c r="B3236">
        <v>160008</v>
      </c>
      <c r="C3236">
        <v>1600</v>
      </c>
    </row>
    <row r="3237" spans="1:3">
      <c r="A3237" t="s">
        <v>4940</v>
      </c>
      <c r="B3237">
        <v>160009</v>
      </c>
      <c r="C3237">
        <v>1600</v>
      </c>
    </row>
    <row r="3238" spans="1:3">
      <c r="A3238" t="s">
        <v>4941</v>
      </c>
      <c r="B3238">
        <v>160010</v>
      </c>
      <c r="C3238">
        <v>1600</v>
      </c>
    </row>
    <row r="3239" spans="1:3">
      <c r="A3239" t="s">
        <v>4942</v>
      </c>
      <c r="B3239">
        <v>160011</v>
      </c>
      <c r="C3239">
        <v>1600</v>
      </c>
    </row>
    <row r="3240" spans="1:3">
      <c r="A3240" t="s">
        <v>4943</v>
      </c>
      <c r="B3240">
        <v>160012</v>
      </c>
      <c r="C3240">
        <v>1600</v>
      </c>
    </row>
    <row r="3241" spans="1:3">
      <c r="A3241" t="s">
        <v>4944</v>
      </c>
      <c r="B3241">
        <v>160013</v>
      </c>
      <c r="C3241">
        <v>1600</v>
      </c>
    </row>
    <row r="3242" spans="1:3">
      <c r="A3242" t="s">
        <v>4945</v>
      </c>
      <c r="B3242">
        <v>160014</v>
      </c>
      <c r="C3242">
        <v>1600</v>
      </c>
    </row>
    <row r="3243" spans="1:3">
      <c r="A3243" t="s">
        <v>4946</v>
      </c>
      <c r="B3243">
        <v>160015</v>
      </c>
      <c r="C3243">
        <v>1600</v>
      </c>
    </row>
    <row r="3244" spans="1:3">
      <c r="A3244" t="s">
        <v>4947</v>
      </c>
      <c r="B3244">
        <v>160016</v>
      </c>
      <c r="C3244">
        <v>1600</v>
      </c>
    </row>
    <row r="3245" spans="1:3">
      <c r="A3245" t="s">
        <v>4948</v>
      </c>
      <c r="B3245">
        <v>160017</v>
      </c>
      <c r="C3245">
        <v>1600</v>
      </c>
    </row>
    <row r="3246" spans="1:3">
      <c r="A3246" t="s">
        <v>4949</v>
      </c>
      <c r="B3246">
        <v>160018</v>
      </c>
      <c r="C3246">
        <v>1600</v>
      </c>
    </row>
    <row r="3247" spans="1:3">
      <c r="A3247" t="s">
        <v>4950</v>
      </c>
      <c r="B3247">
        <v>160019</v>
      </c>
      <c r="C3247">
        <v>1600</v>
      </c>
    </row>
    <row r="3248" spans="1:3">
      <c r="A3248" t="s">
        <v>4951</v>
      </c>
      <c r="B3248">
        <v>160020</v>
      </c>
      <c r="C3248">
        <v>1600</v>
      </c>
    </row>
    <row r="3249" spans="1:3">
      <c r="A3249" t="s">
        <v>4952</v>
      </c>
      <c r="B3249">
        <v>160021</v>
      </c>
      <c r="C3249">
        <v>1600</v>
      </c>
    </row>
    <row r="3250" spans="1:3">
      <c r="A3250" t="s">
        <v>4953</v>
      </c>
      <c r="B3250">
        <v>160022</v>
      </c>
      <c r="C3250">
        <v>1600</v>
      </c>
    </row>
    <row r="3251" spans="1:3">
      <c r="A3251" t="s">
        <v>4954</v>
      </c>
      <c r="B3251">
        <v>160023</v>
      </c>
      <c r="C3251">
        <v>1600</v>
      </c>
    </row>
    <row r="3252" spans="1:3">
      <c r="A3252" t="s">
        <v>2457</v>
      </c>
      <c r="B3252">
        <v>160024</v>
      </c>
      <c r="C3252">
        <v>1600</v>
      </c>
    </row>
    <row r="3253" spans="1:3">
      <c r="A3253" t="s">
        <v>4955</v>
      </c>
      <c r="B3253">
        <v>160025</v>
      </c>
      <c r="C3253">
        <v>1600</v>
      </c>
    </row>
    <row r="3254" spans="1:3">
      <c r="A3254" t="s">
        <v>4956</v>
      </c>
      <c r="B3254">
        <v>160026</v>
      </c>
      <c r="C3254">
        <v>1600</v>
      </c>
    </row>
    <row r="3255" spans="1:3">
      <c r="A3255" t="s">
        <v>4957</v>
      </c>
      <c r="B3255">
        <v>160027</v>
      </c>
      <c r="C3255">
        <v>1600</v>
      </c>
    </row>
    <row r="3256" spans="1:3">
      <c r="A3256" t="s">
        <v>4958</v>
      </c>
      <c r="B3256">
        <v>160028</v>
      </c>
      <c r="C3256">
        <v>1600</v>
      </c>
    </row>
    <row r="3257" spans="1:3">
      <c r="A3257" t="s">
        <v>4959</v>
      </c>
      <c r="B3257">
        <v>160029</v>
      </c>
      <c r="C3257">
        <v>1600</v>
      </c>
    </row>
    <row r="3258" spans="1:3">
      <c r="A3258" t="s">
        <v>4960</v>
      </c>
      <c r="B3258">
        <v>160030</v>
      </c>
      <c r="C3258">
        <v>1600</v>
      </c>
    </row>
    <row r="3259" spans="1:3">
      <c r="A3259" t="s">
        <v>4961</v>
      </c>
      <c r="B3259">
        <v>160031</v>
      </c>
      <c r="C3259">
        <v>1600</v>
      </c>
    </row>
    <row r="3260" spans="1:3">
      <c r="A3260" t="s">
        <v>4962</v>
      </c>
      <c r="B3260">
        <v>160032</v>
      </c>
      <c r="C3260">
        <v>1600</v>
      </c>
    </row>
    <row r="3261" spans="1:3">
      <c r="A3261" t="s">
        <v>4963</v>
      </c>
      <c r="B3261">
        <v>160033</v>
      </c>
      <c r="C3261">
        <v>1600</v>
      </c>
    </row>
    <row r="3262" spans="1:3">
      <c r="A3262" t="s">
        <v>4964</v>
      </c>
      <c r="B3262">
        <v>160034</v>
      </c>
      <c r="C3262">
        <v>1600</v>
      </c>
    </row>
    <row r="3263" spans="1:3">
      <c r="A3263" t="s">
        <v>4965</v>
      </c>
      <c r="B3263">
        <v>160035</v>
      </c>
      <c r="C3263">
        <v>1600</v>
      </c>
    </row>
    <row r="3264" spans="1:3">
      <c r="A3264" t="s">
        <v>4966</v>
      </c>
      <c r="B3264">
        <v>160036</v>
      </c>
      <c r="C3264">
        <v>1600</v>
      </c>
    </row>
    <row r="3265" spans="1:3">
      <c r="A3265" t="s">
        <v>4967</v>
      </c>
      <c r="B3265">
        <v>160037</v>
      </c>
      <c r="C3265">
        <v>1600</v>
      </c>
    </row>
    <row r="3266" spans="1:3">
      <c r="A3266" t="s">
        <v>4968</v>
      </c>
      <c r="B3266">
        <v>160038</v>
      </c>
      <c r="C3266">
        <v>1600</v>
      </c>
    </row>
    <row r="3267" spans="1:3">
      <c r="A3267" t="s">
        <v>4949</v>
      </c>
      <c r="B3267">
        <v>160039</v>
      </c>
      <c r="C3267">
        <v>1600</v>
      </c>
    </row>
    <row r="3268" spans="1:3">
      <c r="A3268" t="s">
        <v>4969</v>
      </c>
      <c r="B3268">
        <v>160040</v>
      </c>
      <c r="C3268">
        <v>1600</v>
      </c>
    </row>
    <row r="3269" spans="1:3">
      <c r="A3269" t="s">
        <v>4970</v>
      </c>
      <c r="B3269">
        <v>160041</v>
      </c>
      <c r="C3269">
        <v>1600</v>
      </c>
    </row>
    <row r="3270" spans="1:3">
      <c r="A3270" t="s">
        <v>3453</v>
      </c>
      <c r="B3270">
        <v>160042</v>
      </c>
      <c r="C3270">
        <v>1600</v>
      </c>
    </row>
    <row r="3271" spans="1:3">
      <c r="A3271" t="s">
        <v>3455</v>
      </c>
      <c r="B3271">
        <v>160043</v>
      </c>
      <c r="C3271">
        <v>1600</v>
      </c>
    </row>
    <row r="3272" spans="1:3">
      <c r="A3272" t="s">
        <v>4971</v>
      </c>
      <c r="B3272">
        <v>160044</v>
      </c>
      <c r="C3272">
        <v>1600</v>
      </c>
    </row>
    <row r="3273" spans="1:3">
      <c r="A3273" t="s">
        <v>4972</v>
      </c>
      <c r="B3273">
        <v>160045</v>
      </c>
      <c r="C3273">
        <v>1600</v>
      </c>
    </row>
    <row r="3274" spans="1:3">
      <c r="A3274" t="s">
        <v>4973</v>
      </c>
      <c r="B3274">
        <v>160046</v>
      </c>
      <c r="C3274">
        <v>1600</v>
      </c>
    </row>
    <row r="3275" spans="1:3">
      <c r="A3275" t="s">
        <v>3432</v>
      </c>
      <c r="B3275">
        <v>160047</v>
      </c>
      <c r="C3275">
        <v>1600</v>
      </c>
    </row>
    <row r="3276" spans="1:3">
      <c r="A3276" t="s">
        <v>3502</v>
      </c>
      <c r="B3276">
        <v>160048</v>
      </c>
      <c r="C3276">
        <v>1600</v>
      </c>
    </row>
    <row r="3277" spans="1:3">
      <c r="A3277" t="s">
        <v>3503</v>
      </c>
      <c r="B3277">
        <v>160049</v>
      </c>
      <c r="C3277">
        <v>1600</v>
      </c>
    </row>
    <row r="3278" spans="1:3">
      <c r="A3278" t="s">
        <v>3506</v>
      </c>
      <c r="B3278">
        <v>160050</v>
      </c>
      <c r="C3278">
        <v>1600</v>
      </c>
    </row>
    <row r="3279" spans="1:3">
      <c r="A3279" t="s">
        <v>4974</v>
      </c>
      <c r="B3279">
        <v>160051</v>
      </c>
      <c r="C3279">
        <v>1600</v>
      </c>
    </row>
    <row r="3280" spans="1:3">
      <c r="A3280" t="s">
        <v>4975</v>
      </c>
      <c r="B3280">
        <v>160052</v>
      </c>
      <c r="C3280">
        <v>1600</v>
      </c>
    </row>
    <row r="3281" spans="1:3">
      <c r="A3281" t="s">
        <v>4976</v>
      </c>
      <c r="B3281">
        <v>160053</v>
      </c>
      <c r="C3281">
        <v>1600</v>
      </c>
    </row>
    <row r="3282" spans="1:3">
      <c r="A3282" t="s">
        <v>4977</v>
      </c>
      <c r="B3282">
        <v>160054</v>
      </c>
      <c r="C3282">
        <v>1600</v>
      </c>
    </row>
    <row r="3283" spans="1:3">
      <c r="A3283" t="s">
        <v>4978</v>
      </c>
      <c r="B3283">
        <v>160055</v>
      </c>
      <c r="C3283">
        <v>1600</v>
      </c>
    </row>
    <row r="3284" spans="1:3">
      <c r="A3284" t="s">
        <v>4979</v>
      </c>
      <c r="B3284">
        <v>160056</v>
      </c>
      <c r="C3284">
        <v>1600</v>
      </c>
    </row>
    <row r="3285" spans="1:3">
      <c r="A3285" t="s">
        <v>4980</v>
      </c>
      <c r="B3285">
        <v>160057</v>
      </c>
      <c r="C3285">
        <v>1600</v>
      </c>
    </row>
    <row r="3286" spans="1:3">
      <c r="A3286" t="s">
        <v>4981</v>
      </c>
      <c r="B3286">
        <v>160058</v>
      </c>
      <c r="C3286">
        <v>1600</v>
      </c>
    </row>
    <row r="3287" spans="1:3">
      <c r="A3287" t="s">
        <v>4982</v>
      </c>
      <c r="B3287">
        <v>160059</v>
      </c>
      <c r="C3287">
        <v>1600</v>
      </c>
    </row>
    <row r="3288" spans="1:3">
      <c r="A3288" t="s">
        <v>4983</v>
      </c>
      <c r="B3288">
        <v>160060</v>
      </c>
      <c r="C3288">
        <v>1600</v>
      </c>
    </row>
    <row r="3289" spans="1:3">
      <c r="A3289" t="s">
        <v>4984</v>
      </c>
      <c r="B3289">
        <v>160061</v>
      </c>
      <c r="C3289">
        <v>1600</v>
      </c>
    </row>
    <row r="3290" spans="1:3">
      <c r="A3290" t="s">
        <v>4985</v>
      </c>
      <c r="B3290">
        <v>160062</v>
      </c>
      <c r="C3290">
        <v>1600</v>
      </c>
    </row>
    <row r="3291" spans="1:3">
      <c r="A3291" t="s">
        <v>4986</v>
      </c>
      <c r="B3291">
        <v>160063</v>
      </c>
      <c r="C3291">
        <v>1600</v>
      </c>
    </row>
    <row r="3292" spans="1:3">
      <c r="A3292" t="s">
        <v>4987</v>
      </c>
      <c r="B3292">
        <v>160064</v>
      </c>
      <c r="C3292">
        <v>1600</v>
      </c>
    </row>
    <row r="3293" spans="1:3">
      <c r="A3293" t="s">
        <v>4988</v>
      </c>
      <c r="B3293">
        <v>160065</v>
      </c>
      <c r="C3293">
        <v>1600</v>
      </c>
    </row>
    <row r="3294" spans="1:3">
      <c r="A3294" t="s">
        <v>4989</v>
      </c>
      <c r="B3294">
        <v>160066</v>
      </c>
      <c r="C3294">
        <v>1600</v>
      </c>
    </row>
    <row r="3295" spans="1:3">
      <c r="A3295" t="s">
        <v>4990</v>
      </c>
      <c r="B3295">
        <v>160067</v>
      </c>
      <c r="C3295">
        <v>1600</v>
      </c>
    </row>
    <row r="3296" spans="1:3">
      <c r="A3296" t="s">
        <v>4991</v>
      </c>
      <c r="B3296">
        <v>160068</v>
      </c>
      <c r="C3296">
        <v>1600</v>
      </c>
    </row>
    <row r="3297" spans="1:3">
      <c r="A3297" t="s">
        <v>4992</v>
      </c>
      <c r="B3297">
        <v>160069</v>
      </c>
      <c r="C3297">
        <v>1600</v>
      </c>
    </row>
    <row r="3298" spans="1:3">
      <c r="A3298" t="s">
        <v>4993</v>
      </c>
      <c r="B3298">
        <v>160070</v>
      </c>
      <c r="C3298">
        <v>1600</v>
      </c>
    </row>
    <row r="3299" spans="1:3">
      <c r="A3299" t="s">
        <v>4994</v>
      </c>
      <c r="B3299">
        <v>160071</v>
      </c>
      <c r="C3299">
        <v>1600</v>
      </c>
    </row>
    <row r="3300" spans="1:3">
      <c r="A3300" t="s">
        <v>4995</v>
      </c>
      <c r="B3300">
        <v>160072</v>
      </c>
      <c r="C3300">
        <v>1600</v>
      </c>
    </row>
    <row r="3301" spans="1:3">
      <c r="A3301" t="s">
        <v>4996</v>
      </c>
      <c r="B3301">
        <v>160073</v>
      </c>
      <c r="C3301">
        <v>1600</v>
      </c>
    </row>
    <row r="3302" spans="1:3">
      <c r="A3302" t="s">
        <v>4997</v>
      </c>
      <c r="B3302">
        <v>160074</v>
      </c>
      <c r="C3302">
        <v>1600</v>
      </c>
    </row>
    <row r="3303" spans="1:3">
      <c r="A3303" t="s">
        <v>4998</v>
      </c>
      <c r="B3303">
        <v>170001</v>
      </c>
      <c r="C3303">
        <v>1700</v>
      </c>
    </row>
    <row r="3304" spans="1:3">
      <c r="A3304" t="s">
        <v>4999</v>
      </c>
      <c r="B3304">
        <v>180001</v>
      </c>
      <c r="C3304">
        <v>1800</v>
      </c>
    </row>
    <row r="3305" spans="1:3">
      <c r="A3305" t="s">
        <v>5000</v>
      </c>
      <c r="B3305">
        <v>180002</v>
      </c>
      <c r="C3305">
        <v>1800</v>
      </c>
    </row>
    <row r="3306" spans="1:3">
      <c r="A3306" t="s">
        <v>5001</v>
      </c>
      <c r="B3306">
        <v>180003</v>
      </c>
      <c r="C3306">
        <v>1800</v>
      </c>
    </row>
    <row r="3307" spans="1:3">
      <c r="A3307" t="s">
        <v>5002</v>
      </c>
      <c r="B3307">
        <v>180004</v>
      </c>
      <c r="C3307">
        <v>1800</v>
      </c>
    </row>
    <row r="3308" spans="1:3">
      <c r="A3308" t="s">
        <v>5003</v>
      </c>
      <c r="B3308">
        <v>180005</v>
      </c>
      <c r="C3308">
        <v>1800</v>
      </c>
    </row>
    <row r="3309" spans="1:3">
      <c r="A3309" t="s">
        <v>5004</v>
      </c>
      <c r="B3309">
        <v>180006</v>
      </c>
      <c r="C3309">
        <v>1800</v>
      </c>
    </row>
    <row r="3310" spans="1:3">
      <c r="A3310" t="s">
        <v>5005</v>
      </c>
      <c r="B3310">
        <v>180007</v>
      </c>
      <c r="C3310">
        <v>1800</v>
      </c>
    </row>
    <row r="3311" spans="1:3">
      <c r="A3311" t="s">
        <v>5006</v>
      </c>
      <c r="B3311">
        <v>180008</v>
      </c>
      <c r="C3311">
        <v>1800</v>
      </c>
    </row>
    <row r="3312" spans="1:3">
      <c r="A3312" t="s">
        <v>5007</v>
      </c>
      <c r="B3312">
        <v>180009</v>
      </c>
      <c r="C3312">
        <v>1800</v>
      </c>
    </row>
    <row r="3313" spans="1:3">
      <c r="A3313" t="s">
        <v>5008</v>
      </c>
      <c r="B3313">
        <v>180010</v>
      </c>
      <c r="C3313">
        <v>1800</v>
      </c>
    </row>
    <row r="3314" spans="1:3">
      <c r="A3314" t="s">
        <v>5009</v>
      </c>
      <c r="B3314">
        <v>180011</v>
      </c>
      <c r="C3314">
        <v>1800</v>
      </c>
    </row>
    <row r="3315" spans="1:3">
      <c r="A3315" t="s">
        <v>5010</v>
      </c>
      <c r="B3315">
        <v>180012</v>
      </c>
      <c r="C3315">
        <v>1800</v>
      </c>
    </row>
    <row r="3316" spans="1:3">
      <c r="A3316" t="s">
        <v>5011</v>
      </c>
      <c r="B3316">
        <v>180013</v>
      </c>
      <c r="C3316">
        <v>1800</v>
      </c>
    </row>
    <row r="3317" spans="1:3">
      <c r="A3317" t="s">
        <v>5012</v>
      </c>
      <c r="B3317">
        <v>180014</v>
      </c>
      <c r="C3317">
        <v>1800</v>
      </c>
    </row>
    <row r="3318" spans="1:3">
      <c r="A3318" t="s">
        <v>5013</v>
      </c>
      <c r="B3318">
        <v>180015</v>
      </c>
      <c r="C3318">
        <v>1800</v>
      </c>
    </row>
    <row r="3319" spans="1:3">
      <c r="A3319" t="s">
        <v>5014</v>
      </c>
      <c r="B3319">
        <v>180016</v>
      </c>
      <c r="C3319">
        <v>1800</v>
      </c>
    </row>
    <row r="3320" spans="1:3">
      <c r="A3320" t="s">
        <v>5015</v>
      </c>
      <c r="B3320">
        <v>180017</v>
      </c>
      <c r="C3320">
        <v>1800</v>
      </c>
    </row>
    <row r="3321" spans="1:3">
      <c r="A3321" t="s">
        <v>5016</v>
      </c>
      <c r="B3321">
        <v>180018</v>
      </c>
      <c r="C3321">
        <v>1800</v>
      </c>
    </row>
    <row r="3322" spans="1:3">
      <c r="A3322" t="s">
        <v>5017</v>
      </c>
      <c r="B3322">
        <v>180019</v>
      </c>
      <c r="C3322">
        <v>1800</v>
      </c>
    </row>
    <row r="3323" spans="1:3">
      <c r="A3323" t="s">
        <v>5018</v>
      </c>
      <c r="B3323">
        <v>180020</v>
      </c>
      <c r="C3323">
        <v>1800</v>
      </c>
    </row>
    <row r="3324" spans="1:3">
      <c r="A3324" t="s">
        <v>5019</v>
      </c>
      <c r="B3324">
        <v>180021</v>
      </c>
      <c r="C3324">
        <v>1800</v>
      </c>
    </row>
    <row r="3325" spans="1:3">
      <c r="A3325" t="s">
        <v>5020</v>
      </c>
      <c r="B3325">
        <v>180022</v>
      </c>
      <c r="C3325">
        <v>1800</v>
      </c>
    </row>
    <row r="3326" spans="1:3">
      <c r="A3326" t="s">
        <v>5021</v>
      </c>
      <c r="B3326">
        <v>180023</v>
      </c>
      <c r="C3326">
        <v>1800</v>
      </c>
    </row>
    <row r="3327" spans="1:3">
      <c r="A3327" t="s">
        <v>5022</v>
      </c>
      <c r="B3327">
        <v>180024</v>
      </c>
      <c r="C3327">
        <v>1800</v>
      </c>
    </row>
    <row r="3328" spans="1:3">
      <c r="A3328" t="s">
        <v>5023</v>
      </c>
      <c r="B3328">
        <v>180025</v>
      </c>
      <c r="C3328">
        <v>1800</v>
      </c>
    </row>
    <row r="3329" spans="1:3">
      <c r="A3329" t="s">
        <v>5024</v>
      </c>
      <c r="B3329">
        <v>180026</v>
      </c>
      <c r="C3329">
        <v>1800</v>
      </c>
    </row>
    <row r="3330" spans="1:3">
      <c r="A3330" t="s">
        <v>5025</v>
      </c>
      <c r="B3330">
        <v>180027</v>
      </c>
      <c r="C3330">
        <v>1800</v>
      </c>
    </row>
    <row r="3331" spans="1:3">
      <c r="A3331" t="s">
        <v>5026</v>
      </c>
      <c r="B3331">
        <v>180028</v>
      </c>
      <c r="C3331">
        <v>1800</v>
      </c>
    </row>
    <row r="3332" spans="1:3">
      <c r="A3332" t="s">
        <v>5027</v>
      </c>
      <c r="B3332">
        <v>180029</v>
      </c>
      <c r="C3332">
        <v>1800</v>
      </c>
    </row>
    <row r="3333" spans="1:3">
      <c r="A3333" t="s">
        <v>5028</v>
      </c>
      <c r="B3333">
        <v>180030</v>
      </c>
      <c r="C3333">
        <v>1800</v>
      </c>
    </row>
    <row r="3334" spans="1:3">
      <c r="A3334" t="s">
        <v>5029</v>
      </c>
      <c r="B3334">
        <v>180031</v>
      </c>
      <c r="C3334">
        <v>1800</v>
      </c>
    </row>
    <row r="3335" spans="1:3">
      <c r="A3335" t="s">
        <v>5030</v>
      </c>
      <c r="B3335">
        <v>180032</v>
      </c>
      <c r="C3335">
        <v>1800</v>
      </c>
    </row>
    <row r="3336" spans="1:3">
      <c r="A3336" t="s">
        <v>5031</v>
      </c>
      <c r="B3336">
        <v>180033</v>
      </c>
      <c r="C3336">
        <v>1800</v>
      </c>
    </row>
    <row r="3337" spans="1:3">
      <c r="A3337" t="s">
        <v>5032</v>
      </c>
      <c r="B3337">
        <v>180034</v>
      </c>
      <c r="C3337">
        <v>1800</v>
      </c>
    </row>
    <row r="3338" spans="1:3">
      <c r="A3338" t="s">
        <v>5033</v>
      </c>
      <c r="B3338">
        <v>180035</v>
      </c>
      <c r="C3338">
        <v>1800</v>
      </c>
    </row>
    <row r="3339" spans="1:3">
      <c r="A3339" t="s">
        <v>5034</v>
      </c>
      <c r="B3339">
        <v>180036</v>
      </c>
      <c r="C3339">
        <v>1800</v>
      </c>
    </row>
    <row r="3340" spans="1:3">
      <c r="A3340" t="s">
        <v>5035</v>
      </c>
      <c r="B3340">
        <v>180037</v>
      </c>
      <c r="C3340">
        <v>1800</v>
      </c>
    </row>
    <row r="3341" spans="1:3">
      <c r="A3341" t="s">
        <v>5036</v>
      </c>
      <c r="B3341">
        <v>180038</v>
      </c>
      <c r="C3341">
        <v>1800</v>
      </c>
    </row>
    <row r="3342" spans="1:3">
      <c r="A3342" t="s">
        <v>5037</v>
      </c>
      <c r="B3342">
        <v>180039</v>
      </c>
      <c r="C3342">
        <v>1800</v>
      </c>
    </row>
    <row r="3343" spans="1:3">
      <c r="A3343" t="s">
        <v>5038</v>
      </c>
      <c r="B3343">
        <v>180040</v>
      </c>
      <c r="C3343">
        <v>1800</v>
      </c>
    </row>
    <row r="3344" spans="1:3">
      <c r="A3344" t="s">
        <v>5039</v>
      </c>
      <c r="B3344">
        <v>180041</v>
      </c>
      <c r="C3344">
        <v>1800</v>
      </c>
    </row>
    <row r="3345" spans="1:3">
      <c r="A3345" t="s">
        <v>5040</v>
      </c>
      <c r="B3345">
        <v>180042</v>
      </c>
      <c r="C3345">
        <v>1800</v>
      </c>
    </row>
    <row r="3346" spans="1:3">
      <c r="A3346" t="s">
        <v>5041</v>
      </c>
      <c r="B3346">
        <v>180043</v>
      </c>
      <c r="C3346">
        <v>1800</v>
      </c>
    </row>
    <row r="3347" spans="1:3">
      <c r="A3347" t="s">
        <v>5042</v>
      </c>
      <c r="B3347">
        <v>180044</v>
      </c>
      <c r="C3347">
        <v>1800</v>
      </c>
    </row>
    <row r="3348" spans="1:3">
      <c r="A3348" t="s">
        <v>5043</v>
      </c>
      <c r="B3348">
        <v>180045</v>
      </c>
      <c r="C3348">
        <v>1800</v>
      </c>
    </row>
    <row r="3349" spans="1:3">
      <c r="A3349" t="s">
        <v>5044</v>
      </c>
      <c r="B3349">
        <v>180046</v>
      </c>
      <c r="C3349">
        <v>1800</v>
      </c>
    </row>
    <row r="3350" spans="1:3">
      <c r="A3350" t="s">
        <v>5045</v>
      </c>
      <c r="B3350">
        <v>180047</v>
      </c>
      <c r="C3350">
        <v>1800</v>
      </c>
    </row>
    <row r="3351" spans="1:3">
      <c r="A3351" t="s">
        <v>5046</v>
      </c>
      <c r="B3351">
        <v>180048</v>
      </c>
      <c r="C3351">
        <v>1800</v>
      </c>
    </row>
    <row r="3352" spans="1:3">
      <c r="A3352" t="s">
        <v>5047</v>
      </c>
      <c r="B3352">
        <v>180049</v>
      </c>
      <c r="C3352">
        <v>1800</v>
      </c>
    </row>
    <row r="3353" spans="1:3">
      <c r="A3353" t="s">
        <v>5048</v>
      </c>
      <c r="B3353">
        <v>180050</v>
      </c>
      <c r="C3353">
        <v>1800</v>
      </c>
    </row>
    <row r="3354" spans="1:3">
      <c r="A3354" t="s">
        <v>5049</v>
      </c>
      <c r="B3354">
        <v>180051</v>
      </c>
      <c r="C3354">
        <v>1800</v>
      </c>
    </row>
    <row r="3355" spans="1:3">
      <c r="A3355" t="s">
        <v>5050</v>
      </c>
      <c r="B3355">
        <v>180052</v>
      </c>
      <c r="C3355">
        <v>1800</v>
      </c>
    </row>
    <row r="3356" spans="1:3">
      <c r="A3356" t="s">
        <v>5051</v>
      </c>
      <c r="B3356">
        <v>180053</v>
      </c>
      <c r="C3356">
        <v>1800</v>
      </c>
    </row>
    <row r="3357" spans="1:3">
      <c r="A3357" t="s">
        <v>5052</v>
      </c>
      <c r="B3357">
        <v>180054</v>
      </c>
      <c r="C3357">
        <v>1800</v>
      </c>
    </row>
    <row r="3358" spans="1:3">
      <c r="A3358" t="s">
        <v>5053</v>
      </c>
      <c r="B3358">
        <v>180055</v>
      </c>
      <c r="C3358">
        <v>1800</v>
      </c>
    </row>
    <row r="3359" spans="1:3">
      <c r="A3359" t="s">
        <v>5054</v>
      </c>
      <c r="B3359">
        <v>180056</v>
      </c>
      <c r="C3359">
        <v>1800</v>
      </c>
    </row>
    <row r="3360" spans="1:3">
      <c r="A3360" t="s">
        <v>5055</v>
      </c>
      <c r="B3360">
        <v>180057</v>
      </c>
      <c r="C3360">
        <v>1800</v>
      </c>
    </row>
    <row r="3361" spans="1:3">
      <c r="A3361" t="s">
        <v>5056</v>
      </c>
      <c r="B3361">
        <v>180058</v>
      </c>
      <c r="C3361">
        <v>1000</v>
      </c>
    </row>
    <row r="3362" spans="1:3">
      <c r="A3362" t="s">
        <v>5057</v>
      </c>
      <c r="B3362">
        <v>180059</v>
      </c>
      <c r="C3362">
        <v>1800</v>
      </c>
    </row>
    <row r="3363" spans="1:3">
      <c r="A3363" t="s">
        <v>5058</v>
      </c>
      <c r="B3363">
        <v>180060</v>
      </c>
      <c r="C3363">
        <v>1800</v>
      </c>
    </row>
    <row r="3364" spans="1:3">
      <c r="A3364" t="s">
        <v>5059</v>
      </c>
      <c r="B3364">
        <v>180061</v>
      </c>
      <c r="C3364">
        <v>1800</v>
      </c>
    </row>
    <row r="3365" spans="1:3">
      <c r="A3365" t="s">
        <v>5060</v>
      </c>
      <c r="B3365">
        <v>180062</v>
      </c>
      <c r="C3365">
        <v>1800</v>
      </c>
    </row>
    <row r="3366" spans="1:3">
      <c r="A3366" t="s">
        <v>5061</v>
      </c>
      <c r="B3366">
        <v>180063</v>
      </c>
      <c r="C3366">
        <v>1800</v>
      </c>
    </row>
    <row r="3367" spans="1:3">
      <c r="A3367" t="s">
        <v>5062</v>
      </c>
      <c r="B3367">
        <v>180064</v>
      </c>
      <c r="C3367">
        <v>1800</v>
      </c>
    </row>
    <row r="3368" spans="1:3">
      <c r="A3368" t="s">
        <v>5063</v>
      </c>
      <c r="B3368">
        <v>180065</v>
      </c>
      <c r="C3368">
        <v>1800</v>
      </c>
    </row>
    <row r="3369" spans="1:3">
      <c r="A3369" t="s">
        <v>5064</v>
      </c>
      <c r="B3369">
        <v>180066</v>
      </c>
      <c r="C3369">
        <v>1800</v>
      </c>
    </row>
    <row r="3370" spans="1:3">
      <c r="A3370" t="s">
        <v>5065</v>
      </c>
      <c r="B3370">
        <v>180067</v>
      </c>
      <c r="C3370">
        <v>1800</v>
      </c>
    </row>
    <row r="3371" spans="1:3">
      <c r="A3371" t="s">
        <v>5066</v>
      </c>
      <c r="B3371">
        <v>180068</v>
      </c>
      <c r="C3371">
        <v>1800</v>
      </c>
    </row>
    <row r="3372" spans="1:3">
      <c r="A3372" t="s">
        <v>5067</v>
      </c>
      <c r="B3372">
        <v>180069</v>
      </c>
      <c r="C3372">
        <v>1800</v>
      </c>
    </row>
    <row r="3373" spans="1:3">
      <c r="A3373" t="s">
        <v>5068</v>
      </c>
      <c r="B3373">
        <v>180070</v>
      </c>
      <c r="C3373">
        <v>1800</v>
      </c>
    </row>
    <row r="3374" spans="1:3">
      <c r="A3374" t="s">
        <v>5063</v>
      </c>
      <c r="B3374">
        <v>180071</v>
      </c>
      <c r="C3374">
        <v>1800</v>
      </c>
    </row>
    <row r="3375" spans="1:3">
      <c r="A3375" t="s">
        <v>5069</v>
      </c>
      <c r="B3375">
        <v>180072</v>
      </c>
      <c r="C3375">
        <v>1800</v>
      </c>
    </row>
    <row r="3376" spans="1:3">
      <c r="A3376" t="s">
        <v>5070</v>
      </c>
      <c r="B3376">
        <v>180073</v>
      </c>
      <c r="C3376">
        <v>1800</v>
      </c>
    </row>
    <row r="3377" spans="1:3">
      <c r="A3377" t="s">
        <v>5071</v>
      </c>
      <c r="B3377">
        <v>180074</v>
      </c>
      <c r="C3377">
        <v>1800</v>
      </c>
    </row>
    <row r="3378" spans="1:3">
      <c r="A3378" t="s">
        <v>5072</v>
      </c>
      <c r="B3378">
        <v>180075</v>
      </c>
      <c r="C3378">
        <v>1800</v>
      </c>
    </row>
    <row r="3379" spans="1:3">
      <c r="A3379" t="s">
        <v>5073</v>
      </c>
      <c r="B3379">
        <v>180076</v>
      </c>
      <c r="C3379">
        <v>1800</v>
      </c>
    </row>
    <row r="3380" spans="1:3">
      <c r="A3380" t="s">
        <v>5074</v>
      </c>
      <c r="B3380">
        <v>180077</v>
      </c>
      <c r="C3380">
        <v>1800</v>
      </c>
    </row>
    <row r="3381" spans="1:3">
      <c r="A3381" t="s">
        <v>5075</v>
      </c>
      <c r="B3381">
        <v>180078</v>
      </c>
      <c r="C3381">
        <v>1800</v>
      </c>
    </row>
    <row r="3382" spans="1:3">
      <c r="A3382" t="s">
        <v>5076</v>
      </c>
      <c r="B3382">
        <v>180079</v>
      </c>
      <c r="C3382">
        <v>1800</v>
      </c>
    </row>
    <row r="3383" spans="1:3">
      <c r="A3383" t="s">
        <v>5077</v>
      </c>
      <c r="B3383">
        <v>180080</v>
      </c>
      <c r="C3383">
        <v>1800</v>
      </c>
    </row>
    <row r="3384" spans="1:3">
      <c r="A3384" t="s">
        <v>5078</v>
      </c>
      <c r="B3384">
        <v>190001</v>
      </c>
      <c r="C3384">
        <v>1900</v>
      </c>
    </row>
    <row r="3385" spans="1:3">
      <c r="A3385" t="s">
        <v>5079</v>
      </c>
      <c r="B3385">
        <v>190002</v>
      </c>
      <c r="C3385">
        <v>1900</v>
      </c>
    </row>
    <row r="3386" spans="1:3">
      <c r="A3386" t="s">
        <v>5080</v>
      </c>
      <c r="B3386">
        <v>190003</v>
      </c>
      <c r="C3386">
        <v>1900</v>
      </c>
    </row>
    <row r="3387" spans="1:3">
      <c r="A3387" t="s">
        <v>5081</v>
      </c>
      <c r="B3387">
        <v>190004</v>
      </c>
      <c r="C3387">
        <v>1900</v>
      </c>
    </row>
    <row r="3388" spans="1:3">
      <c r="A3388" t="s">
        <v>5082</v>
      </c>
      <c r="B3388">
        <v>190005</v>
      </c>
      <c r="C3388">
        <v>1900</v>
      </c>
    </row>
    <row r="3389" spans="1:3">
      <c r="A3389" t="s">
        <v>5083</v>
      </c>
      <c r="B3389">
        <v>190006</v>
      </c>
      <c r="C3389">
        <v>1900</v>
      </c>
    </row>
    <row r="3390" spans="1:3">
      <c r="A3390" t="s">
        <v>5084</v>
      </c>
      <c r="B3390">
        <v>190007</v>
      </c>
      <c r="C3390">
        <v>1900</v>
      </c>
    </row>
    <row r="3391" spans="1:3">
      <c r="A3391" t="s">
        <v>5085</v>
      </c>
      <c r="B3391">
        <v>190008</v>
      </c>
      <c r="C3391">
        <v>1900</v>
      </c>
    </row>
    <row r="3392" spans="1:3">
      <c r="A3392" t="s">
        <v>5086</v>
      </c>
      <c r="B3392">
        <v>190009</v>
      </c>
      <c r="C3392">
        <v>1900</v>
      </c>
    </row>
    <row r="3393" spans="1:3">
      <c r="A3393" t="s">
        <v>5087</v>
      </c>
      <c r="B3393">
        <v>190010</v>
      </c>
      <c r="C3393">
        <v>1900</v>
      </c>
    </row>
    <row r="3394" spans="1:3">
      <c r="A3394" t="s">
        <v>5088</v>
      </c>
      <c r="B3394">
        <v>190011</v>
      </c>
      <c r="C3394">
        <v>1900</v>
      </c>
    </row>
    <row r="3395" spans="1:3">
      <c r="A3395" t="s">
        <v>5089</v>
      </c>
      <c r="B3395">
        <v>190012</v>
      </c>
      <c r="C3395">
        <v>1900</v>
      </c>
    </row>
    <row r="3396" spans="1:3">
      <c r="A3396" t="s">
        <v>5090</v>
      </c>
      <c r="B3396">
        <v>190013</v>
      </c>
      <c r="C3396">
        <v>1900</v>
      </c>
    </row>
    <row r="3397" spans="1:3">
      <c r="A3397" t="s">
        <v>5091</v>
      </c>
      <c r="B3397">
        <v>190014</v>
      </c>
      <c r="C3397">
        <v>1900</v>
      </c>
    </row>
    <row r="3398" spans="1:3">
      <c r="A3398" t="s">
        <v>5092</v>
      </c>
      <c r="B3398">
        <v>190015</v>
      </c>
      <c r="C3398">
        <v>1900</v>
      </c>
    </row>
    <row r="3399" spans="1:3">
      <c r="A3399" t="s">
        <v>5093</v>
      </c>
      <c r="B3399">
        <v>190016</v>
      </c>
      <c r="C3399">
        <v>1900</v>
      </c>
    </row>
    <row r="3400" spans="1:3">
      <c r="A3400" t="s">
        <v>5094</v>
      </c>
      <c r="B3400">
        <v>190017</v>
      </c>
      <c r="C3400">
        <v>1900</v>
      </c>
    </row>
    <row r="3401" spans="1:3">
      <c r="A3401" t="s">
        <v>5095</v>
      </c>
      <c r="B3401">
        <v>190018</v>
      </c>
      <c r="C3401">
        <v>1900</v>
      </c>
    </row>
    <row r="3402" spans="1:3">
      <c r="A3402" t="s">
        <v>5096</v>
      </c>
      <c r="B3402">
        <v>190019</v>
      </c>
      <c r="C3402">
        <v>1900</v>
      </c>
    </row>
    <row r="3403" spans="1:3">
      <c r="A3403" t="s">
        <v>5097</v>
      </c>
      <c r="B3403">
        <v>190020</v>
      </c>
      <c r="C3403">
        <v>1900</v>
      </c>
    </row>
    <row r="3404" spans="1:3">
      <c r="A3404" t="s">
        <v>5098</v>
      </c>
      <c r="B3404">
        <v>190021</v>
      </c>
      <c r="C3404">
        <v>1900</v>
      </c>
    </row>
    <row r="3405" spans="1:3">
      <c r="A3405" t="s">
        <v>5099</v>
      </c>
      <c r="B3405">
        <v>190022</v>
      </c>
      <c r="C3405">
        <v>1900</v>
      </c>
    </row>
    <row r="3406" spans="1:3">
      <c r="A3406" t="s">
        <v>5100</v>
      </c>
      <c r="B3406">
        <v>190023</v>
      </c>
      <c r="C3406">
        <v>1900</v>
      </c>
    </row>
    <row r="3407" spans="1:3">
      <c r="A3407" t="s">
        <v>5101</v>
      </c>
      <c r="B3407">
        <v>190024</v>
      </c>
      <c r="C3407">
        <v>1900</v>
      </c>
    </row>
    <row r="3408" spans="1:3">
      <c r="A3408" t="s">
        <v>5102</v>
      </c>
      <c r="B3408">
        <v>190025</v>
      </c>
      <c r="C3408">
        <v>1900</v>
      </c>
    </row>
    <row r="3409" spans="1:3">
      <c r="A3409" t="s">
        <v>5103</v>
      </c>
      <c r="B3409">
        <v>190026</v>
      </c>
      <c r="C3409">
        <v>1900</v>
      </c>
    </row>
    <row r="3410" spans="1:3">
      <c r="A3410" t="s">
        <v>2892</v>
      </c>
      <c r="B3410">
        <v>190027</v>
      </c>
      <c r="C3410">
        <v>1900</v>
      </c>
    </row>
    <row r="3411" spans="1:3">
      <c r="A3411" t="s">
        <v>5104</v>
      </c>
      <c r="B3411">
        <v>190028</v>
      </c>
      <c r="C3411">
        <v>1900</v>
      </c>
    </row>
    <row r="3412" spans="1:3">
      <c r="A3412" t="s">
        <v>5105</v>
      </c>
      <c r="B3412">
        <v>190029</v>
      </c>
      <c r="C3412">
        <v>1900</v>
      </c>
    </row>
    <row r="3413" spans="1:3">
      <c r="A3413" t="s">
        <v>5106</v>
      </c>
      <c r="B3413">
        <v>190030</v>
      </c>
      <c r="C3413">
        <v>1900</v>
      </c>
    </row>
    <row r="3414" spans="1:3">
      <c r="A3414" t="s">
        <v>5107</v>
      </c>
      <c r="B3414">
        <v>190031</v>
      </c>
      <c r="C3414">
        <v>1900</v>
      </c>
    </row>
    <row r="3415" spans="1:3">
      <c r="A3415" t="s">
        <v>5108</v>
      </c>
      <c r="B3415">
        <v>190032</v>
      </c>
      <c r="C3415">
        <v>1900</v>
      </c>
    </row>
    <row r="3416" spans="1:3">
      <c r="A3416" t="s">
        <v>5109</v>
      </c>
      <c r="B3416">
        <v>190033</v>
      </c>
      <c r="C3416">
        <v>1900</v>
      </c>
    </row>
    <row r="3417" spans="1:3">
      <c r="A3417" t="s">
        <v>5110</v>
      </c>
      <c r="B3417">
        <v>190034</v>
      </c>
      <c r="C3417">
        <v>1900</v>
      </c>
    </row>
    <row r="3418" spans="1:3">
      <c r="A3418" t="s">
        <v>5111</v>
      </c>
      <c r="B3418">
        <v>190035</v>
      </c>
      <c r="C3418">
        <v>1900</v>
      </c>
    </row>
    <row r="3419" spans="1:3">
      <c r="A3419" t="s">
        <v>2462</v>
      </c>
      <c r="B3419">
        <v>190036</v>
      </c>
      <c r="C3419">
        <v>1900</v>
      </c>
    </row>
    <row r="3420" spans="1:3">
      <c r="A3420" t="s">
        <v>5112</v>
      </c>
      <c r="B3420">
        <v>190038</v>
      </c>
      <c r="C3420">
        <v>1900</v>
      </c>
    </row>
    <row r="3421" spans="1:3">
      <c r="A3421" t="s">
        <v>3674</v>
      </c>
      <c r="B3421">
        <v>190039</v>
      </c>
      <c r="C3421">
        <v>1900</v>
      </c>
    </row>
    <row r="3422" spans="1:3">
      <c r="A3422" t="s">
        <v>5113</v>
      </c>
      <c r="B3422">
        <v>190040</v>
      </c>
      <c r="C3422">
        <v>1900</v>
      </c>
    </row>
    <row r="3423" spans="1:3">
      <c r="A3423" t="s">
        <v>5114</v>
      </c>
      <c r="B3423">
        <v>190041</v>
      </c>
      <c r="C3423">
        <v>1900</v>
      </c>
    </row>
    <row r="3424" spans="1:3">
      <c r="A3424" t="s">
        <v>3169</v>
      </c>
      <c r="B3424">
        <v>190042</v>
      </c>
      <c r="C3424">
        <v>1900</v>
      </c>
    </row>
    <row r="3425" spans="1:3">
      <c r="A3425" t="s">
        <v>5115</v>
      </c>
      <c r="B3425">
        <v>190043</v>
      </c>
      <c r="C3425">
        <v>1900</v>
      </c>
    </row>
    <row r="3426" spans="1:3">
      <c r="A3426" t="s">
        <v>5116</v>
      </c>
      <c r="B3426">
        <v>190044</v>
      </c>
      <c r="C3426">
        <v>1900</v>
      </c>
    </row>
    <row r="3427" spans="1:3">
      <c r="A3427" t="s">
        <v>5117</v>
      </c>
      <c r="B3427">
        <v>190045</v>
      </c>
      <c r="C3427">
        <v>1900</v>
      </c>
    </row>
    <row r="3428" spans="1:3">
      <c r="A3428" t="s">
        <v>5118</v>
      </c>
      <c r="B3428">
        <v>190046</v>
      </c>
      <c r="C3428">
        <v>1900</v>
      </c>
    </row>
    <row r="3429" spans="1:3">
      <c r="A3429" t="s">
        <v>5119</v>
      </c>
      <c r="B3429">
        <v>190047</v>
      </c>
      <c r="C3429">
        <v>1900</v>
      </c>
    </row>
    <row r="3430" spans="1:3">
      <c r="A3430" t="s">
        <v>5120</v>
      </c>
      <c r="B3430">
        <v>190048</v>
      </c>
      <c r="C3430">
        <v>1900</v>
      </c>
    </row>
    <row r="3431" spans="1:3">
      <c r="A3431" t="s">
        <v>5121</v>
      </c>
      <c r="B3431">
        <v>190049</v>
      </c>
      <c r="C3431">
        <v>1900</v>
      </c>
    </row>
    <row r="3432" spans="1:3">
      <c r="A3432" t="s">
        <v>5122</v>
      </c>
      <c r="B3432">
        <v>190050</v>
      </c>
      <c r="C3432">
        <v>1900</v>
      </c>
    </row>
    <row r="3433" spans="1:3">
      <c r="A3433" t="s">
        <v>5123</v>
      </c>
      <c r="B3433">
        <v>190051</v>
      </c>
      <c r="C3433">
        <v>1900</v>
      </c>
    </row>
    <row r="3434" spans="1:3">
      <c r="A3434" t="s">
        <v>5124</v>
      </c>
      <c r="B3434">
        <v>190052</v>
      </c>
      <c r="C3434">
        <v>1900</v>
      </c>
    </row>
    <row r="3435" spans="1:3">
      <c r="A3435" t="s">
        <v>5125</v>
      </c>
      <c r="B3435">
        <v>190053</v>
      </c>
      <c r="C3435">
        <v>1900</v>
      </c>
    </row>
    <row r="3436" spans="1:3">
      <c r="A3436" t="s">
        <v>5126</v>
      </c>
      <c r="B3436">
        <v>190054</v>
      </c>
      <c r="C3436">
        <v>1900</v>
      </c>
    </row>
    <row r="3437" spans="1:3">
      <c r="A3437" t="s">
        <v>3451</v>
      </c>
      <c r="B3437">
        <v>190055</v>
      </c>
      <c r="C3437">
        <v>1900</v>
      </c>
    </row>
    <row r="3438" spans="1:3">
      <c r="A3438" t="s">
        <v>3405</v>
      </c>
      <c r="B3438">
        <v>190056</v>
      </c>
      <c r="C3438">
        <v>1900</v>
      </c>
    </row>
    <row r="3439" spans="1:3">
      <c r="A3439" t="s">
        <v>5127</v>
      </c>
      <c r="B3439">
        <v>190057</v>
      </c>
      <c r="C3439">
        <v>1900</v>
      </c>
    </row>
    <row r="3440" spans="1:3">
      <c r="A3440" t="s">
        <v>2459</v>
      </c>
      <c r="B3440">
        <v>190058</v>
      </c>
      <c r="C3440">
        <v>1900</v>
      </c>
    </row>
    <row r="3441" spans="1:3">
      <c r="A3441" t="s">
        <v>5115</v>
      </c>
      <c r="B3441">
        <v>190059</v>
      </c>
      <c r="C3441">
        <v>1300</v>
      </c>
    </row>
    <row r="3442" spans="1:3">
      <c r="A3442" t="s">
        <v>2889</v>
      </c>
      <c r="B3442">
        <v>190060</v>
      </c>
      <c r="C3442">
        <v>1900</v>
      </c>
    </row>
    <row r="3443" spans="1:3">
      <c r="A3443" t="s">
        <v>5128</v>
      </c>
      <c r="B3443">
        <v>190061</v>
      </c>
      <c r="C3443">
        <v>1900</v>
      </c>
    </row>
    <row r="3444" spans="1:3">
      <c r="A3444" t="s">
        <v>5129</v>
      </c>
      <c r="B3444">
        <v>190062</v>
      </c>
      <c r="C3444">
        <v>1900</v>
      </c>
    </row>
    <row r="3445" spans="1:3">
      <c r="A3445" t="s">
        <v>5130</v>
      </c>
      <c r="B3445">
        <v>190063</v>
      </c>
      <c r="C3445">
        <v>1900</v>
      </c>
    </row>
    <row r="3446" spans="1:3">
      <c r="A3446" t="s">
        <v>5131</v>
      </c>
      <c r="B3446">
        <v>190064</v>
      </c>
      <c r="C3446">
        <v>1900</v>
      </c>
    </row>
    <row r="3447" spans="1:3">
      <c r="A3447" t="s">
        <v>5132</v>
      </c>
      <c r="B3447">
        <v>190065</v>
      </c>
      <c r="C3447">
        <v>1900</v>
      </c>
    </row>
    <row r="3448" spans="1:3">
      <c r="A3448" t="s">
        <v>5133</v>
      </c>
      <c r="B3448">
        <v>190066</v>
      </c>
      <c r="C3448">
        <v>1900</v>
      </c>
    </row>
    <row r="3449" spans="1:3">
      <c r="A3449" t="s">
        <v>5134</v>
      </c>
      <c r="B3449">
        <v>190067</v>
      </c>
      <c r="C3449">
        <v>1900</v>
      </c>
    </row>
    <row r="3450" spans="1:3">
      <c r="A3450" t="s">
        <v>5135</v>
      </c>
      <c r="B3450">
        <v>190068</v>
      </c>
      <c r="C3450">
        <v>1900</v>
      </c>
    </row>
    <row r="3451" spans="1:3">
      <c r="A3451" t="s">
        <v>5136</v>
      </c>
      <c r="B3451">
        <v>190069</v>
      </c>
      <c r="C3451">
        <v>1900</v>
      </c>
    </row>
    <row r="3452" spans="1:3">
      <c r="A3452" t="s">
        <v>5137</v>
      </c>
      <c r="B3452">
        <v>190070</v>
      </c>
      <c r="C3452">
        <v>1900</v>
      </c>
    </row>
    <row r="3453" spans="1:3">
      <c r="A3453" t="s">
        <v>5138</v>
      </c>
      <c r="B3453">
        <v>190071</v>
      </c>
      <c r="C3453">
        <v>1900</v>
      </c>
    </row>
    <row r="3454" spans="1:3">
      <c r="A3454" t="s">
        <v>5139</v>
      </c>
      <c r="B3454">
        <v>190072</v>
      </c>
      <c r="C3454">
        <v>1900</v>
      </c>
    </row>
    <row r="3455" spans="1:3">
      <c r="A3455" t="s">
        <v>5140</v>
      </c>
      <c r="B3455">
        <v>190073</v>
      </c>
      <c r="C3455">
        <v>1900</v>
      </c>
    </row>
    <row r="3456" spans="1:3">
      <c r="A3456" t="s">
        <v>5141</v>
      </c>
      <c r="B3456">
        <v>190074</v>
      </c>
      <c r="C3456">
        <v>1900</v>
      </c>
    </row>
    <row r="3457" spans="1:3">
      <c r="A3457" t="s">
        <v>5142</v>
      </c>
      <c r="B3457">
        <v>190075</v>
      </c>
      <c r="C3457">
        <v>1900</v>
      </c>
    </row>
    <row r="3458" spans="1:3">
      <c r="A3458" t="s">
        <v>5143</v>
      </c>
      <c r="B3458">
        <v>190076</v>
      </c>
      <c r="C3458">
        <v>1900</v>
      </c>
    </row>
    <row r="3459" spans="1:3">
      <c r="A3459" t="s">
        <v>5144</v>
      </c>
      <c r="B3459">
        <v>190077</v>
      </c>
      <c r="C3459">
        <v>1900</v>
      </c>
    </row>
    <row r="3460" spans="1:3">
      <c r="A3460" t="s">
        <v>5145</v>
      </c>
      <c r="B3460">
        <v>190078</v>
      </c>
      <c r="C3460">
        <v>1900</v>
      </c>
    </row>
    <row r="3461" spans="1:3">
      <c r="A3461" t="s">
        <v>5146</v>
      </c>
      <c r="B3461">
        <v>190079</v>
      </c>
      <c r="C3461">
        <v>1900</v>
      </c>
    </row>
    <row r="3462" spans="1:3">
      <c r="A3462" t="s">
        <v>5147</v>
      </c>
      <c r="B3462">
        <v>190080</v>
      </c>
      <c r="C3462">
        <v>1900</v>
      </c>
    </row>
    <row r="3463" spans="1:3">
      <c r="A3463" t="s">
        <v>5148</v>
      </c>
      <c r="B3463">
        <v>210001</v>
      </c>
      <c r="C3463">
        <v>2100</v>
      </c>
    </row>
    <row r="3464" spans="1:3">
      <c r="A3464" t="s">
        <v>5149</v>
      </c>
      <c r="B3464">
        <v>220001</v>
      </c>
      <c r="C3464">
        <v>2200</v>
      </c>
    </row>
    <row r="3465" spans="1:3">
      <c r="A3465" t="s">
        <v>5150</v>
      </c>
      <c r="B3465">
        <v>230001</v>
      </c>
      <c r="C3465">
        <v>2300</v>
      </c>
    </row>
    <row r="3466" spans="1:3">
      <c r="A3466" t="s">
        <v>5151</v>
      </c>
      <c r="B3466">
        <v>240001</v>
      </c>
      <c r="C3466">
        <v>2400</v>
      </c>
    </row>
    <row r="3467" spans="1:3">
      <c r="A3467" t="s">
        <v>5152</v>
      </c>
      <c r="B3467">
        <v>250001</v>
      </c>
      <c r="C3467">
        <v>2500</v>
      </c>
    </row>
    <row r="3468" spans="1:3">
      <c r="A3468" t="s">
        <v>5153</v>
      </c>
      <c r="B3468">
        <v>260001</v>
      </c>
      <c r="C3468">
        <v>2600</v>
      </c>
    </row>
    <row r="3469" spans="1:3">
      <c r="A3469" t="s">
        <v>5154</v>
      </c>
      <c r="B3469">
        <v>270001</v>
      </c>
      <c r="C3469">
        <v>2700</v>
      </c>
    </row>
    <row r="3470" spans="1:3">
      <c r="A3470" t="s">
        <v>5155</v>
      </c>
      <c r="B3470">
        <v>270002</v>
      </c>
      <c r="C3470">
        <v>2700</v>
      </c>
    </row>
    <row r="3471" spans="1:3">
      <c r="A3471" t="s">
        <v>5156</v>
      </c>
      <c r="B3471">
        <v>270003</v>
      </c>
      <c r="C3471">
        <v>2700</v>
      </c>
    </row>
    <row r="3472" spans="1:3">
      <c r="A3472" t="s">
        <v>5157</v>
      </c>
      <c r="B3472">
        <v>270004</v>
      </c>
      <c r="C3472">
        <v>2700</v>
      </c>
    </row>
    <row r="3473" spans="1:3">
      <c r="A3473" t="s">
        <v>5158</v>
      </c>
      <c r="B3473">
        <v>270005</v>
      </c>
      <c r="C3473">
        <v>2700</v>
      </c>
    </row>
    <row r="3474" spans="1:3">
      <c r="A3474" t="s">
        <v>5159</v>
      </c>
      <c r="B3474">
        <v>270006</v>
      </c>
      <c r="C3474">
        <v>2700</v>
      </c>
    </row>
    <row r="3475" spans="1:3">
      <c r="A3475" t="s">
        <v>5160</v>
      </c>
      <c r="B3475">
        <v>270007</v>
      </c>
      <c r="C3475">
        <v>2700</v>
      </c>
    </row>
    <row r="3476" spans="1:3">
      <c r="A3476" t="s">
        <v>5161</v>
      </c>
      <c r="B3476">
        <v>270008</v>
      </c>
      <c r="C3476">
        <v>2700</v>
      </c>
    </row>
    <row r="3477" spans="1:3">
      <c r="A3477" t="s">
        <v>5162</v>
      </c>
      <c r="B3477">
        <v>270009</v>
      </c>
      <c r="C3477">
        <v>2700</v>
      </c>
    </row>
    <row r="3478" spans="1:3">
      <c r="A3478" t="s">
        <v>1890</v>
      </c>
      <c r="B3478">
        <v>270010</v>
      </c>
      <c r="C3478">
        <v>2700</v>
      </c>
    </row>
    <row r="3479" spans="1:3">
      <c r="A3479" t="s">
        <v>5060</v>
      </c>
      <c r="B3479">
        <v>270011</v>
      </c>
      <c r="C3479">
        <v>2700</v>
      </c>
    </row>
    <row r="3480" spans="1:3">
      <c r="A3480" t="s">
        <v>5163</v>
      </c>
      <c r="B3480">
        <v>270012</v>
      </c>
      <c r="C3480">
        <v>2700</v>
      </c>
    </row>
    <row r="3481" spans="1:3">
      <c r="A3481" t="s">
        <v>5164</v>
      </c>
      <c r="B3481">
        <v>270013</v>
      </c>
      <c r="C3481">
        <v>2700</v>
      </c>
    </row>
    <row r="3482" spans="1:3">
      <c r="A3482" t="s">
        <v>5165</v>
      </c>
      <c r="B3482">
        <v>270014</v>
      </c>
      <c r="C3482">
        <v>2700</v>
      </c>
    </row>
    <row r="3483" spans="1:3">
      <c r="A3483" t="s">
        <v>5166</v>
      </c>
      <c r="B3483">
        <v>270015</v>
      </c>
      <c r="C3483">
        <v>2700</v>
      </c>
    </row>
    <row r="3484" spans="1:3">
      <c r="A3484" t="s">
        <v>5167</v>
      </c>
      <c r="B3484">
        <v>270016</v>
      </c>
      <c r="C3484">
        <v>2700</v>
      </c>
    </row>
    <row r="3485" spans="1:3">
      <c r="A3485" t="s">
        <v>5165</v>
      </c>
      <c r="B3485">
        <v>270017</v>
      </c>
      <c r="C3485">
        <v>2700</v>
      </c>
    </row>
    <row r="3486" spans="1:3">
      <c r="A3486" t="s">
        <v>5168</v>
      </c>
      <c r="B3486">
        <v>280001</v>
      </c>
      <c r="C3486">
        <v>2800</v>
      </c>
    </row>
    <row r="3487" spans="1:3">
      <c r="A3487" t="s">
        <v>5169</v>
      </c>
      <c r="B3487">
        <v>290001</v>
      </c>
      <c r="C3487">
        <v>2900</v>
      </c>
    </row>
    <row r="3488" spans="1:3">
      <c r="A3488" t="s">
        <v>5170</v>
      </c>
      <c r="B3488">
        <v>290002</v>
      </c>
      <c r="C3488">
        <v>2900</v>
      </c>
    </row>
    <row r="3489" spans="1:3">
      <c r="A3489" t="s">
        <v>5171</v>
      </c>
      <c r="B3489">
        <v>290003</v>
      </c>
      <c r="C3489">
        <v>2900</v>
      </c>
    </row>
    <row r="3490" spans="1:3">
      <c r="A3490" t="s">
        <v>5172</v>
      </c>
      <c r="B3490">
        <v>290004</v>
      </c>
      <c r="C3490">
        <v>2900</v>
      </c>
    </row>
    <row r="3491" spans="1:3">
      <c r="A3491" t="s">
        <v>5173</v>
      </c>
      <c r="B3491">
        <v>290005</v>
      </c>
      <c r="C3491">
        <v>2900</v>
      </c>
    </row>
    <row r="3492" spans="1:3">
      <c r="A3492" t="s">
        <v>5174</v>
      </c>
      <c r="B3492">
        <v>290006</v>
      </c>
      <c r="C3492">
        <v>2900</v>
      </c>
    </row>
    <row r="3493" spans="1:3">
      <c r="A3493" t="s">
        <v>5175</v>
      </c>
      <c r="B3493">
        <v>290007</v>
      </c>
      <c r="C3493">
        <v>2900</v>
      </c>
    </row>
    <row r="3494" spans="1:3">
      <c r="A3494" t="s">
        <v>685</v>
      </c>
      <c r="B3494">
        <v>290008</v>
      </c>
      <c r="C3494">
        <v>2900</v>
      </c>
    </row>
    <row r="3495" spans="1:3">
      <c r="A3495" t="s">
        <v>5176</v>
      </c>
      <c r="B3495">
        <v>290009</v>
      </c>
      <c r="C3495">
        <v>2900</v>
      </c>
    </row>
    <row r="3496" spans="1:3">
      <c r="A3496" t="s">
        <v>5177</v>
      </c>
      <c r="B3496">
        <v>290010</v>
      </c>
      <c r="C3496">
        <v>2900</v>
      </c>
    </row>
    <row r="3497" spans="1:3">
      <c r="A3497" t="s">
        <v>5178</v>
      </c>
      <c r="B3497">
        <v>290011</v>
      </c>
      <c r="C3497">
        <v>2900</v>
      </c>
    </row>
    <row r="3498" spans="1:3">
      <c r="A3498" t="s">
        <v>5179</v>
      </c>
      <c r="B3498">
        <v>290012</v>
      </c>
      <c r="C3498">
        <v>2900</v>
      </c>
    </row>
    <row r="3499" spans="1:3">
      <c r="A3499" t="s">
        <v>5180</v>
      </c>
      <c r="B3499">
        <v>290013</v>
      </c>
      <c r="C3499">
        <v>2900</v>
      </c>
    </row>
    <row r="3500" spans="1:3">
      <c r="A3500" t="s">
        <v>4487</v>
      </c>
      <c r="B3500">
        <v>290014</v>
      </c>
      <c r="C3500">
        <v>2900</v>
      </c>
    </row>
    <row r="3501" spans="1:3">
      <c r="A3501" t="s">
        <v>5181</v>
      </c>
      <c r="B3501">
        <v>290015</v>
      </c>
      <c r="C3501">
        <v>2900</v>
      </c>
    </row>
    <row r="3502" spans="1:3">
      <c r="A3502" t="s">
        <v>5182</v>
      </c>
      <c r="B3502">
        <v>290016</v>
      </c>
      <c r="C3502">
        <v>2900</v>
      </c>
    </row>
    <row r="3503" spans="1:3">
      <c r="A3503" t="s">
        <v>5183</v>
      </c>
      <c r="B3503">
        <v>290017</v>
      </c>
      <c r="C3503">
        <v>2900</v>
      </c>
    </row>
    <row r="3504" spans="1:3">
      <c r="A3504" t="s">
        <v>5184</v>
      </c>
      <c r="B3504">
        <v>290018</v>
      </c>
      <c r="C3504">
        <v>2900</v>
      </c>
    </row>
    <row r="3505" spans="1:3">
      <c r="A3505" t="s">
        <v>5185</v>
      </c>
      <c r="B3505">
        <v>290019</v>
      </c>
      <c r="C3505">
        <v>2900</v>
      </c>
    </row>
    <row r="3506" spans="1:3">
      <c r="A3506" t="s">
        <v>5186</v>
      </c>
      <c r="B3506">
        <v>290020</v>
      </c>
      <c r="C3506">
        <v>2900</v>
      </c>
    </row>
    <row r="3507" spans="1:3">
      <c r="A3507" t="s">
        <v>5187</v>
      </c>
      <c r="B3507">
        <v>290021</v>
      </c>
      <c r="C3507">
        <v>2900</v>
      </c>
    </row>
    <row r="3508" spans="1:3">
      <c r="A3508" t="s">
        <v>5188</v>
      </c>
      <c r="B3508">
        <v>290022</v>
      </c>
      <c r="C3508">
        <v>2900</v>
      </c>
    </row>
    <row r="3509" spans="1:3">
      <c r="A3509" t="s">
        <v>5189</v>
      </c>
      <c r="B3509">
        <v>290023</v>
      </c>
      <c r="C3509">
        <v>2900</v>
      </c>
    </row>
    <row r="3510" spans="1:3">
      <c r="A3510" t="s">
        <v>5190</v>
      </c>
      <c r="B3510">
        <v>290024</v>
      </c>
      <c r="C3510">
        <v>2900</v>
      </c>
    </row>
    <row r="3511" spans="1:3">
      <c r="A3511" t="s">
        <v>5191</v>
      </c>
      <c r="B3511">
        <v>290025</v>
      </c>
      <c r="C3511">
        <v>2900</v>
      </c>
    </row>
    <row r="3512" spans="1:3">
      <c r="A3512" t="s">
        <v>3830</v>
      </c>
      <c r="B3512">
        <v>290026</v>
      </c>
      <c r="C3512">
        <v>2900</v>
      </c>
    </row>
    <row r="3513" spans="1:3">
      <c r="A3513" t="s">
        <v>5192</v>
      </c>
      <c r="B3513">
        <v>290027</v>
      </c>
      <c r="C3513">
        <v>2900</v>
      </c>
    </row>
    <row r="3514" spans="1:3">
      <c r="A3514" t="s">
        <v>5193</v>
      </c>
      <c r="B3514">
        <v>290028</v>
      </c>
      <c r="C3514">
        <v>2900</v>
      </c>
    </row>
    <row r="3515" spans="1:3">
      <c r="A3515" t="s">
        <v>5194</v>
      </c>
      <c r="B3515">
        <v>290029</v>
      </c>
      <c r="C3515">
        <v>2900</v>
      </c>
    </row>
    <row r="3516" spans="1:3">
      <c r="A3516" t="s">
        <v>3293</v>
      </c>
      <c r="B3516">
        <v>290030</v>
      </c>
      <c r="C3516">
        <v>2900</v>
      </c>
    </row>
    <row r="3517" spans="1:3">
      <c r="A3517" t="s">
        <v>5195</v>
      </c>
      <c r="B3517">
        <v>290031</v>
      </c>
      <c r="C3517">
        <v>2900</v>
      </c>
    </row>
    <row r="3518" spans="1:3">
      <c r="A3518" t="s">
        <v>3264</v>
      </c>
      <c r="B3518">
        <v>290032</v>
      </c>
      <c r="C3518">
        <v>2900</v>
      </c>
    </row>
    <row r="3519" spans="1:3">
      <c r="A3519" t="s">
        <v>5196</v>
      </c>
      <c r="B3519">
        <v>290033</v>
      </c>
      <c r="C3519">
        <v>2900</v>
      </c>
    </row>
    <row r="3520" spans="1:3">
      <c r="A3520" t="s">
        <v>5197</v>
      </c>
      <c r="B3520">
        <v>290034</v>
      </c>
      <c r="C3520">
        <v>2900</v>
      </c>
    </row>
    <row r="3521" spans="1:3">
      <c r="A3521" t="s">
        <v>2465</v>
      </c>
      <c r="B3521">
        <v>290035</v>
      </c>
      <c r="C3521">
        <v>2900</v>
      </c>
    </row>
    <row r="3522" spans="1:3">
      <c r="A3522" t="s">
        <v>5198</v>
      </c>
      <c r="B3522">
        <v>290036</v>
      </c>
      <c r="C3522">
        <v>2900</v>
      </c>
    </row>
    <row r="3523" spans="1:3">
      <c r="A3523" t="s">
        <v>5199</v>
      </c>
      <c r="B3523">
        <v>290037</v>
      </c>
      <c r="C3523">
        <v>2900</v>
      </c>
    </row>
    <row r="3524" spans="1:3">
      <c r="A3524" t="s">
        <v>5200</v>
      </c>
      <c r="B3524">
        <v>290038</v>
      </c>
      <c r="C3524">
        <v>2900</v>
      </c>
    </row>
    <row r="3525" spans="1:3">
      <c r="A3525" t="s">
        <v>5201</v>
      </c>
      <c r="B3525">
        <v>290039</v>
      </c>
      <c r="C3525">
        <v>2900</v>
      </c>
    </row>
    <row r="3526" spans="1:3">
      <c r="A3526" t="s">
        <v>5202</v>
      </c>
      <c r="B3526">
        <v>290040</v>
      </c>
      <c r="C3526">
        <v>2900</v>
      </c>
    </row>
    <row r="3527" spans="1:3">
      <c r="A3527" t="s">
        <v>5203</v>
      </c>
      <c r="B3527">
        <v>290041</v>
      </c>
      <c r="C3527">
        <v>2900</v>
      </c>
    </row>
    <row r="3528" spans="1:3">
      <c r="A3528" t="s">
        <v>5204</v>
      </c>
      <c r="B3528">
        <v>290042</v>
      </c>
      <c r="C3528">
        <v>2900</v>
      </c>
    </row>
    <row r="3529" spans="1:3">
      <c r="A3529" t="s">
        <v>5205</v>
      </c>
      <c r="B3529">
        <v>290043</v>
      </c>
      <c r="C3529">
        <v>2900</v>
      </c>
    </row>
    <row r="3530" spans="1:3">
      <c r="A3530" t="s">
        <v>5206</v>
      </c>
      <c r="B3530">
        <v>290044</v>
      </c>
      <c r="C3530">
        <v>2900</v>
      </c>
    </row>
    <row r="3531" spans="1:3">
      <c r="A3531" t="s">
        <v>5207</v>
      </c>
      <c r="B3531">
        <v>290045</v>
      </c>
      <c r="C3531">
        <v>2900</v>
      </c>
    </row>
    <row r="3532" spans="1:3">
      <c r="A3532" t="s">
        <v>5208</v>
      </c>
      <c r="B3532">
        <v>290046</v>
      </c>
      <c r="C3532">
        <v>2900</v>
      </c>
    </row>
    <row r="3533" spans="1:3">
      <c r="A3533" t="s">
        <v>5209</v>
      </c>
      <c r="B3533">
        <v>290047</v>
      </c>
      <c r="C3533">
        <v>2900</v>
      </c>
    </row>
    <row r="3534" spans="1:3">
      <c r="A3534" t="s">
        <v>5210</v>
      </c>
      <c r="B3534">
        <v>290048</v>
      </c>
      <c r="C3534">
        <v>2900</v>
      </c>
    </row>
    <row r="3535" spans="1:3">
      <c r="A3535" t="s">
        <v>5211</v>
      </c>
      <c r="B3535">
        <v>290049</v>
      </c>
      <c r="C3535">
        <v>2900</v>
      </c>
    </row>
    <row r="3536" spans="1:3">
      <c r="A3536" t="s">
        <v>5212</v>
      </c>
      <c r="B3536">
        <v>290050</v>
      </c>
      <c r="C3536">
        <v>2900</v>
      </c>
    </row>
    <row r="3537" spans="1:3">
      <c r="A3537" t="s">
        <v>5213</v>
      </c>
      <c r="B3537">
        <v>290051</v>
      </c>
      <c r="C3537">
        <v>2900</v>
      </c>
    </row>
    <row r="3538" spans="1:3">
      <c r="A3538" t="s">
        <v>5214</v>
      </c>
      <c r="B3538">
        <v>290052</v>
      </c>
      <c r="C3538">
        <v>2900</v>
      </c>
    </row>
    <row r="3539" spans="1:3">
      <c r="A3539" t="s">
        <v>5215</v>
      </c>
      <c r="B3539">
        <v>290053</v>
      </c>
      <c r="C3539">
        <v>2900</v>
      </c>
    </row>
    <row r="3540" spans="1:3">
      <c r="A3540" t="s">
        <v>5216</v>
      </c>
      <c r="B3540">
        <v>290054</v>
      </c>
      <c r="C3540">
        <v>2900</v>
      </c>
    </row>
    <row r="3541" spans="1:3">
      <c r="A3541" t="s">
        <v>5217</v>
      </c>
      <c r="B3541">
        <v>290055</v>
      </c>
      <c r="C3541">
        <v>2900</v>
      </c>
    </row>
    <row r="3542" spans="1:3">
      <c r="A3542" t="s">
        <v>5218</v>
      </c>
      <c r="B3542">
        <v>290056</v>
      </c>
      <c r="C3542">
        <v>2900</v>
      </c>
    </row>
    <row r="3543" spans="1:3">
      <c r="A3543" t="s">
        <v>5219</v>
      </c>
      <c r="B3543">
        <v>290057</v>
      </c>
      <c r="C3543">
        <v>2900</v>
      </c>
    </row>
    <row r="3544" spans="1:3">
      <c r="A3544" t="s">
        <v>5220</v>
      </c>
      <c r="B3544">
        <v>290058</v>
      </c>
      <c r="C3544">
        <v>2900</v>
      </c>
    </row>
    <row r="3545" spans="1:3">
      <c r="A3545" t="s">
        <v>657</v>
      </c>
      <c r="B3545">
        <v>290059</v>
      </c>
      <c r="C3545">
        <v>2900</v>
      </c>
    </row>
    <row r="3546" spans="1:3">
      <c r="A3546" t="s">
        <v>5221</v>
      </c>
      <c r="B3546">
        <v>290060</v>
      </c>
      <c r="C3546">
        <v>2900</v>
      </c>
    </row>
    <row r="3547" spans="1:3">
      <c r="A3547" t="s">
        <v>5222</v>
      </c>
      <c r="B3547">
        <v>290061</v>
      </c>
      <c r="C3547">
        <v>2900</v>
      </c>
    </row>
    <row r="3548" spans="1:3">
      <c r="A3548" t="s">
        <v>686</v>
      </c>
      <c r="B3548">
        <v>290062</v>
      </c>
      <c r="C3548">
        <v>2900</v>
      </c>
    </row>
    <row r="3549" spans="1:3">
      <c r="A3549" t="s">
        <v>5223</v>
      </c>
      <c r="B3549">
        <v>290063</v>
      </c>
      <c r="C3549">
        <v>2900</v>
      </c>
    </row>
    <row r="3550" spans="1:3">
      <c r="A3550" t="s">
        <v>5224</v>
      </c>
      <c r="B3550">
        <v>290064</v>
      </c>
      <c r="C3550">
        <v>2900</v>
      </c>
    </row>
    <row r="3551" spans="1:3">
      <c r="A3551" t="s">
        <v>5225</v>
      </c>
      <c r="B3551">
        <v>290065</v>
      </c>
      <c r="C3551">
        <v>2900</v>
      </c>
    </row>
    <row r="3552" spans="1:3">
      <c r="A3552" t="s">
        <v>5226</v>
      </c>
      <c r="B3552">
        <v>290066</v>
      </c>
      <c r="C3552">
        <v>2900</v>
      </c>
    </row>
    <row r="3553" spans="1:3">
      <c r="A3553" t="s">
        <v>5227</v>
      </c>
      <c r="B3553">
        <v>290067</v>
      </c>
      <c r="C3553">
        <v>2900</v>
      </c>
    </row>
    <row r="3554" spans="1:3">
      <c r="A3554" t="s">
        <v>5228</v>
      </c>
      <c r="B3554">
        <v>290068</v>
      </c>
      <c r="C3554">
        <v>2900</v>
      </c>
    </row>
    <row r="3555" spans="1:3">
      <c r="A3555" t="s">
        <v>683</v>
      </c>
      <c r="B3555">
        <v>290069</v>
      </c>
      <c r="C3555">
        <v>2900</v>
      </c>
    </row>
    <row r="3556" spans="1:3">
      <c r="A3556" t="s">
        <v>5229</v>
      </c>
      <c r="B3556">
        <v>290070</v>
      </c>
      <c r="C3556">
        <v>2900</v>
      </c>
    </row>
    <row r="3557" spans="1:3">
      <c r="A3557" t="s">
        <v>5230</v>
      </c>
      <c r="B3557">
        <v>290071</v>
      </c>
      <c r="C3557">
        <v>2900</v>
      </c>
    </row>
    <row r="3558" spans="1:3">
      <c r="A3558" t="s">
        <v>5231</v>
      </c>
      <c r="B3558">
        <v>300001</v>
      </c>
      <c r="C3558">
        <v>3000</v>
      </c>
    </row>
    <row r="3559" spans="1:3">
      <c r="A3559" t="s">
        <v>5232</v>
      </c>
      <c r="B3559">
        <v>300002</v>
      </c>
      <c r="C3559">
        <v>3000</v>
      </c>
    </row>
    <row r="3560" spans="1:3">
      <c r="A3560" t="s">
        <v>5233</v>
      </c>
      <c r="B3560">
        <v>300003</v>
      </c>
      <c r="C3560">
        <v>3000</v>
      </c>
    </row>
    <row r="3561" spans="1:3">
      <c r="A3561" t="s">
        <v>5234</v>
      </c>
      <c r="B3561">
        <v>300004</v>
      </c>
      <c r="C3561">
        <v>3000</v>
      </c>
    </row>
    <row r="3562" spans="1:3">
      <c r="A3562" t="s">
        <v>5235</v>
      </c>
      <c r="B3562">
        <v>300005</v>
      </c>
      <c r="C3562">
        <v>3000</v>
      </c>
    </row>
    <row r="3563" spans="1:3">
      <c r="A3563" t="s">
        <v>5236</v>
      </c>
      <c r="B3563">
        <v>300006</v>
      </c>
      <c r="C3563">
        <v>3000</v>
      </c>
    </row>
    <row r="3564" spans="1:3">
      <c r="A3564" t="s">
        <v>5237</v>
      </c>
      <c r="B3564">
        <v>300007</v>
      </c>
      <c r="C3564">
        <v>3000</v>
      </c>
    </row>
    <row r="3565" spans="1:3">
      <c r="A3565" t="s">
        <v>739</v>
      </c>
      <c r="B3565">
        <v>310001</v>
      </c>
      <c r="C3565">
        <v>3100</v>
      </c>
    </row>
    <row r="3566" spans="1:3">
      <c r="A3566" t="s">
        <v>5238</v>
      </c>
      <c r="B3566">
        <v>310002</v>
      </c>
      <c r="C3566">
        <v>3100</v>
      </c>
    </row>
    <row r="3567" spans="1:3">
      <c r="A3567" t="s">
        <v>5239</v>
      </c>
      <c r="B3567">
        <v>310003</v>
      </c>
      <c r="C3567">
        <v>3100</v>
      </c>
    </row>
    <row r="3568" spans="1:3">
      <c r="A3568" t="s">
        <v>5240</v>
      </c>
      <c r="B3568">
        <v>310004</v>
      </c>
      <c r="C3568">
        <v>3100</v>
      </c>
    </row>
    <row r="3569" spans="1:3">
      <c r="A3569" t="s">
        <v>5241</v>
      </c>
      <c r="B3569">
        <v>310005</v>
      </c>
      <c r="C3569">
        <v>3100</v>
      </c>
    </row>
    <row r="3570" spans="1:3">
      <c r="A3570" t="s">
        <v>5242</v>
      </c>
      <c r="B3570">
        <v>310006</v>
      </c>
      <c r="C3570">
        <v>3100</v>
      </c>
    </row>
    <row r="3571" spans="1:3">
      <c r="A3571" t="s">
        <v>5243</v>
      </c>
      <c r="B3571">
        <v>310007</v>
      </c>
      <c r="C3571">
        <v>3100</v>
      </c>
    </row>
    <row r="3572" spans="1:3">
      <c r="A3572" t="s">
        <v>5244</v>
      </c>
      <c r="B3572">
        <v>310008</v>
      </c>
      <c r="C3572">
        <v>3100</v>
      </c>
    </row>
    <row r="3573" spans="1:3">
      <c r="A3573" t="s">
        <v>5245</v>
      </c>
      <c r="B3573">
        <v>310009</v>
      </c>
      <c r="C3573">
        <v>3100</v>
      </c>
    </row>
    <row r="3574" spans="1:3">
      <c r="A3574" t="s">
        <v>5246</v>
      </c>
      <c r="B3574">
        <v>310010</v>
      </c>
      <c r="C3574">
        <v>3100</v>
      </c>
    </row>
    <row r="3575" spans="1:3">
      <c r="A3575" t="s">
        <v>5247</v>
      </c>
      <c r="B3575">
        <v>310011</v>
      </c>
      <c r="C3575">
        <v>3100</v>
      </c>
    </row>
    <row r="3576" spans="1:3">
      <c r="A3576" t="s">
        <v>5248</v>
      </c>
      <c r="B3576">
        <v>310012</v>
      </c>
      <c r="C3576">
        <v>3100</v>
      </c>
    </row>
    <row r="3577" spans="1:3">
      <c r="A3577" t="s">
        <v>5249</v>
      </c>
      <c r="B3577">
        <v>310013</v>
      </c>
      <c r="C3577">
        <v>3100</v>
      </c>
    </row>
    <row r="3578" spans="1:3">
      <c r="A3578" t="s">
        <v>5250</v>
      </c>
      <c r="B3578">
        <v>310014</v>
      </c>
      <c r="C3578">
        <v>3100</v>
      </c>
    </row>
    <row r="3579" spans="1:3">
      <c r="A3579" t="s">
        <v>5251</v>
      </c>
      <c r="B3579">
        <v>310015</v>
      </c>
      <c r="C3579">
        <v>3100</v>
      </c>
    </row>
    <row r="3580" spans="1:3">
      <c r="A3580" t="s">
        <v>5252</v>
      </c>
      <c r="B3580">
        <v>310016</v>
      </c>
      <c r="C3580">
        <v>3100</v>
      </c>
    </row>
    <row r="3581" spans="1:3">
      <c r="A3581" t="s">
        <v>5253</v>
      </c>
      <c r="B3581">
        <v>310017</v>
      </c>
      <c r="C3581">
        <v>3100</v>
      </c>
    </row>
    <row r="3582" spans="1:3">
      <c r="A3582" t="s">
        <v>5254</v>
      </c>
      <c r="B3582">
        <v>310018</v>
      </c>
      <c r="C3582">
        <v>3100</v>
      </c>
    </row>
    <row r="3583" spans="1:3">
      <c r="A3583" t="s">
        <v>5255</v>
      </c>
      <c r="B3583">
        <v>310019</v>
      </c>
      <c r="C3583">
        <v>3100</v>
      </c>
    </row>
    <row r="3584" spans="1:3">
      <c r="A3584" t="s">
        <v>5256</v>
      </c>
      <c r="B3584">
        <v>310020</v>
      </c>
      <c r="C3584">
        <v>3100</v>
      </c>
    </row>
    <row r="3585" spans="1:3">
      <c r="A3585" t="s">
        <v>5257</v>
      </c>
      <c r="B3585">
        <v>310021</v>
      </c>
      <c r="C3585">
        <v>3100</v>
      </c>
    </row>
    <row r="3586" spans="1:3">
      <c r="A3586" t="s">
        <v>5258</v>
      </c>
      <c r="B3586">
        <v>310022</v>
      </c>
      <c r="C3586">
        <v>3100</v>
      </c>
    </row>
    <row r="3587" spans="1:3">
      <c r="A3587" t="s">
        <v>5259</v>
      </c>
      <c r="B3587">
        <v>310023</v>
      </c>
      <c r="C3587">
        <v>3100</v>
      </c>
    </row>
    <row r="3588" spans="1:3">
      <c r="A3588" t="s">
        <v>5260</v>
      </c>
      <c r="B3588">
        <v>310024</v>
      </c>
      <c r="C3588">
        <v>3100</v>
      </c>
    </row>
    <row r="3589" spans="1:3">
      <c r="A3589" t="s">
        <v>5261</v>
      </c>
      <c r="B3589">
        <v>310025</v>
      </c>
      <c r="C3589">
        <v>3100</v>
      </c>
    </row>
    <row r="3590" spans="1:3">
      <c r="A3590" t="s">
        <v>5262</v>
      </c>
      <c r="B3590">
        <v>310026</v>
      </c>
      <c r="C3590">
        <v>3100</v>
      </c>
    </row>
    <row r="3591" spans="1:3">
      <c r="A3591" t="s">
        <v>5263</v>
      </c>
      <c r="B3591">
        <v>310027</v>
      </c>
      <c r="C3591">
        <v>3100</v>
      </c>
    </row>
    <row r="3592" spans="1:3">
      <c r="A3592" t="s">
        <v>5264</v>
      </c>
      <c r="B3592">
        <v>310028</v>
      </c>
      <c r="C3592">
        <v>3100</v>
      </c>
    </row>
    <row r="3593" spans="1:3">
      <c r="A3593" t="s">
        <v>1122</v>
      </c>
      <c r="B3593">
        <v>320001</v>
      </c>
      <c r="C3593">
        <v>3200</v>
      </c>
    </row>
    <row r="3594" spans="1:3">
      <c r="A3594" t="s">
        <v>5265</v>
      </c>
      <c r="B3594">
        <v>320002</v>
      </c>
      <c r="C3594">
        <v>3200</v>
      </c>
    </row>
    <row r="3595" spans="1:3">
      <c r="A3595" t="s">
        <v>5266</v>
      </c>
      <c r="B3595">
        <v>320003</v>
      </c>
      <c r="C3595">
        <v>3200</v>
      </c>
    </row>
    <row r="3596" spans="1:3">
      <c r="A3596" t="s">
        <v>5267</v>
      </c>
      <c r="B3596">
        <v>320004</v>
      </c>
      <c r="C3596">
        <v>3200</v>
      </c>
    </row>
    <row r="3597" spans="1:3">
      <c r="A3597" t="s">
        <v>5268</v>
      </c>
      <c r="B3597">
        <v>320005</v>
      </c>
      <c r="C3597">
        <v>3200</v>
      </c>
    </row>
    <row r="3598" spans="1:3">
      <c r="A3598" t="s">
        <v>5269</v>
      </c>
      <c r="B3598">
        <v>320006</v>
      </c>
      <c r="C3598">
        <v>3200</v>
      </c>
    </row>
    <row r="3599" spans="1:3">
      <c r="A3599" t="s">
        <v>5270</v>
      </c>
      <c r="B3599">
        <v>320007</v>
      </c>
      <c r="C3599">
        <v>3200</v>
      </c>
    </row>
    <row r="3600" spans="1:3">
      <c r="A3600" t="s">
        <v>5271</v>
      </c>
      <c r="B3600">
        <v>320008</v>
      </c>
      <c r="C3600">
        <v>3200</v>
      </c>
    </row>
    <row r="3601" spans="1:3">
      <c r="A3601" t="s">
        <v>5272</v>
      </c>
      <c r="B3601">
        <v>320009</v>
      </c>
      <c r="C3601">
        <v>3200</v>
      </c>
    </row>
    <row r="3602" spans="1:3">
      <c r="A3602" t="s">
        <v>5273</v>
      </c>
      <c r="B3602">
        <v>320010</v>
      </c>
      <c r="C3602">
        <v>3200</v>
      </c>
    </row>
    <row r="3603" spans="1:3">
      <c r="A3603" t="s">
        <v>5274</v>
      </c>
      <c r="B3603">
        <v>320011</v>
      </c>
      <c r="C3603">
        <v>3200</v>
      </c>
    </row>
    <row r="3604" spans="1:3">
      <c r="A3604" t="s">
        <v>5275</v>
      </c>
      <c r="B3604">
        <v>320012</v>
      </c>
      <c r="C3604">
        <v>3200</v>
      </c>
    </row>
    <row r="3605" spans="1:3">
      <c r="A3605" t="s">
        <v>5276</v>
      </c>
      <c r="B3605">
        <v>320013</v>
      </c>
      <c r="C3605">
        <v>3200</v>
      </c>
    </row>
    <row r="3606" spans="1:3">
      <c r="A3606" t="s">
        <v>5277</v>
      </c>
      <c r="B3606">
        <v>320014</v>
      </c>
      <c r="C3606">
        <v>3200</v>
      </c>
    </row>
    <row r="3607" spans="1:3">
      <c r="A3607" t="s">
        <v>5278</v>
      </c>
      <c r="B3607">
        <v>320015</v>
      </c>
      <c r="C3607">
        <v>3200</v>
      </c>
    </row>
    <row r="3608" spans="1:3">
      <c r="A3608" t="s">
        <v>5279</v>
      </c>
      <c r="B3608">
        <v>320016</v>
      </c>
      <c r="C3608">
        <v>3200</v>
      </c>
    </row>
    <row r="3609" spans="1:3">
      <c r="A3609" t="s">
        <v>5280</v>
      </c>
      <c r="B3609">
        <v>320017</v>
      </c>
      <c r="C3609">
        <v>3200</v>
      </c>
    </row>
    <row r="3610" spans="1:3">
      <c r="A3610" t="s">
        <v>5281</v>
      </c>
      <c r="B3610">
        <v>320018</v>
      </c>
      <c r="C3610">
        <v>3200</v>
      </c>
    </row>
    <row r="3611" spans="1:3">
      <c r="A3611" t="s">
        <v>5282</v>
      </c>
      <c r="B3611">
        <v>320019</v>
      </c>
      <c r="C3611">
        <v>3200</v>
      </c>
    </row>
    <row r="3612" spans="1:3">
      <c r="A3612" t="s">
        <v>5283</v>
      </c>
      <c r="B3612">
        <v>320020</v>
      </c>
      <c r="C3612">
        <v>3200</v>
      </c>
    </row>
    <row r="3613" spans="1:3">
      <c r="A3613" t="s">
        <v>5284</v>
      </c>
      <c r="B3613">
        <v>320021</v>
      </c>
      <c r="C3613">
        <v>3200</v>
      </c>
    </row>
    <row r="3614" spans="1:3">
      <c r="A3614" t="s">
        <v>5285</v>
      </c>
      <c r="B3614">
        <v>320022</v>
      </c>
      <c r="C3614">
        <v>3200</v>
      </c>
    </row>
    <row r="3615" spans="1:3">
      <c r="A3615" t="s">
        <v>5286</v>
      </c>
      <c r="B3615">
        <v>320023</v>
      </c>
      <c r="C3615">
        <v>3200</v>
      </c>
    </row>
    <row r="3616" spans="1:3">
      <c r="A3616" t="s">
        <v>5287</v>
      </c>
      <c r="B3616">
        <v>320024</v>
      </c>
      <c r="C3616">
        <v>3200</v>
      </c>
    </row>
    <row r="3617" spans="1:3">
      <c r="A3617" t="s">
        <v>5288</v>
      </c>
      <c r="B3617">
        <v>320025</v>
      </c>
      <c r="C3617">
        <v>3200</v>
      </c>
    </row>
    <row r="3618" spans="1:3">
      <c r="A3618" t="s">
        <v>5289</v>
      </c>
      <c r="B3618">
        <v>320026</v>
      </c>
      <c r="C3618">
        <v>3200</v>
      </c>
    </row>
    <row r="3619" spans="1:3">
      <c r="A3619" t="s">
        <v>5290</v>
      </c>
      <c r="B3619">
        <v>320027</v>
      </c>
      <c r="C3619">
        <v>3200</v>
      </c>
    </row>
    <row r="3620" spans="1:3">
      <c r="A3620" t="s">
        <v>5291</v>
      </c>
      <c r="B3620">
        <v>320028</v>
      </c>
      <c r="C3620">
        <v>3200</v>
      </c>
    </row>
    <row r="3621" spans="1:3">
      <c r="A3621" t="s">
        <v>5292</v>
      </c>
      <c r="B3621">
        <v>320029</v>
      </c>
      <c r="C3621">
        <v>3200</v>
      </c>
    </row>
    <row r="3622" spans="1:3">
      <c r="A3622" t="s">
        <v>5293</v>
      </c>
      <c r="B3622">
        <v>320030</v>
      </c>
      <c r="C3622">
        <v>3200</v>
      </c>
    </row>
    <row r="3623" spans="1:3">
      <c r="A3623" t="s">
        <v>5294</v>
      </c>
      <c r="B3623">
        <v>320031</v>
      </c>
      <c r="C3623">
        <v>3200</v>
      </c>
    </row>
    <row r="3624" spans="1:3">
      <c r="A3624" t="s">
        <v>5295</v>
      </c>
      <c r="B3624">
        <v>320032</v>
      </c>
      <c r="C3624">
        <v>3200</v>
      </c>
    </row>
    <row r="3625" spans="1:3">
      <c r="A3625" t="s">
        <v>5296</v>
      </c>
      <c r="B3625">
        <v>320033</v>
      </c>
      <c r="C3625">
        <v>3200</v>
      </c>
    </row>
    <row r="3626" spans="1:3">
      <c r="A3626" t="s">
        <v>5297</v>
      </c>
      <c r="B3626">
        <v>320034</v>
      </c>
      <c r="C3626">
        <v>3200</v>
      </c>
    </row>
    <row r="3627" spans="1:3">
      <c r="A3627" t="s">
        <v>5298</v>
      </c>
      <c r="B3627">
        <v>320035</v>
      </c>
      <c r="C3627">
        <v>3200</v>
      </c>
    </row>
    <row r="3628" spans="1:3">
      <c r="A3628" t="s">
        <v>5299</v>
      </c>
      <c r="B3628">
        <v>320036</v>
      </c>
      <c r="C3628">
        <v>3200</v>
      </c>
    </row>
    <row r="3629" spans="1:3">
      <c r="A3629" t="s">
        <v>5300</v>
      </c>
      <c r="B3629">
        <v>320037</v>
      </c>
      <c r="C3629">
        <v>3200</v>
      </c>
    </row>
    <row r="3630" spans="1:3">
      <c r="A3630" t="s">
        <v>5301</v>
      </c>
      <c r="B3630">
        <v>320038</v>
      </c>
      <c r="C3630">
        <v>3200</v>
      </c>
    </row>
    <row r="3631" spans="1:3">
      <c r="A3631" t="s">
        <v>5302</v>
      </c>
      <c r="B3631">
        <v>320039</v>
      </c>
      <c r="C3631">
        <v>3200</v>
      </c>
    </row>
    <row r="3632" spans="1:3">
      <c r="A3632" t="s">
        <v>5303</v>
      </c>
      <c r="B3632">
        <v>320040</v>
      </c>
      <c r="C3632">
        <v>3200</v>
      </c>
    </row>
    <row r="3633" spans="1:3">
      <c r="A3633" t="s">
        <v>5304</v>
      </c>
      <c r="B3633">
        <v>320041</v>
      </c>
      <c r="C3633">
        <v>3200</v>
      </c>
    </row>
    <row r="3634" spans="1:3">
      <c r="A3634" t="s">
        <v>5305</v>
      </c>
      <c r="B3634">
        <v>320042</v>
      </c>
      <c r="C3634">
        <v>3200</v>
      </c>
    </row>
    <row r="3635" spans="1:3">
      <c r="A3635" t="s">
        <v>5306</v>
      </c>
      <c r="B3635">
        <v>320043</v>
      </c>
      <c r="C3635">
        <v>3200</v>
      </c>
    </row>
    <row r="3636" spans="1:3">
      <c r="A3636" t="s">
        <v>5307</v>
      </c>
      <c r="B3636">
        <v>320044</v>
      </c>
      <c r="C3636">
        <v>3200</v>
      </c>
    </row>
    <row r="3637" spans="1:3">
      <c r="A3637" t="s">
        <v>5308</v>
      </c>
      <c r="B3637">
        <v>320045</v>
      </c>
      <c r="C3637">
        <v>3200</v>
      </c>
    </row>
    <row r="3638" spans="1:3">
      <c r="A3638" t="s">
        <v>5309</v>
      </c>
      <c r="B3638">
        <v>320046</v>
      </c>
      <c r="C3638">
        <v>3200</v>
      </c>
    </row>
    <row r="3639" spans="1:3">
      <c r="A3639" t="s">
        <v>5310</v>
      </c>
      <c r="B3639">
        <v>320047</v>
      </c>
      <c r="C3639">
        <v>3200</v>
      </c>
    </row>
    <row r="3640" spans="1:3">
      <c r="A3640" t="s">
        <v>5311</v>
      </c>
      <c r="B3640">
        <v>320048</v>
      </c>
      <c r="C3640">
        <v>3200</v>
      </c>
    </row>
    <row r="3641" spans="1:3">
      <c r="A3641" t="s">
        <v>5312</v>
      </c>
      <c r="B3641">
        <v>320049</v>
      </c>
      <c r="C3641">
        <v>3200</v>
      </c>
    </row>
    <row r="3642" spans="1:3">
      <c r="A3642" t="s">
        <v>5313</v>
      </c>
      <c r="B3642">
        <v>320050</v>
      </c>
      <c r="C3642">
        <v>3200</v>
      </c>
    </row>
    <row r="3643" spans="1:3">
      <c r="A3643" t="s">
        <v>5314</v>
      </c>
      <c r="B3643">
        <v>320051</v>
      </c>
      <c r="C3643">
        <v>3200</v>
      </c>
    </row>
    <row r="3644" spans="1:3">
      <c r="A3644" t="s">
        <v>5315</v>
      </c>
      <c r="B3644">
        <v>320052</v>
      </c>
      <c r="C3644">
        <v>3200</v>
      </c>
    </row>
    <row r="3645" spans="1:3">
      <c r="A3645" t="s">
        <v>5316</v>
      </c>
      <c r="B3645">
        <v>320053</v>
      </c>
      <c r="C3645">
        <v>3200</v>
      </c>
    </row>
    <row r="3646" spans="1:3">
      <c r="A3646" t="s">
        <v>5317</v>
      </c>
      <c r="B3646">
        <v>320054</v>
      </c>
      <c r="C3646">
        <v>3200</v>
      </c>
    </row>
    <row r="3647" spans="1:3">
      <c r="A3647" t="s">
        <v>5318</v>
      </c>
      <c r="B3647">
        <v>320055</v>
      </c>
      <c r="C3647">
        <v>3200</v>
      </c>
    </row>
    <row r="3648" spans="1:3">
      <c r="A3648" t="s">
        <v>5319</v>
      </c>
      <c r="B3648">
        <v>320056</v>
      </c>
      <c r="C3648">
        <v>3200</v>
      </c>
    </row>
    <row r="3649" spans="1:3">
      <c r="A3649" t="s">
        <v>5320</v>
      </c>
      <c r="B3649">
        <v>320057</v>
      </c>
      <c r="C3649">
        <v>3200</v>
      </c>
    </row>
    <row r="3650" spans="1:3">
      <c r="A3650" t="s">
        <v>5321</v>
      </c>
      <c r="B3650">
        <v>320058</v>
      </c>
      <c r="C3650">
        <v>3200</v>
      </c>
    </row>
    <row r="3651" spans="1:3">
      <c r="A3651" t="s">
        <v>5322</v>
      </c>
      <c r="B3651">
        <v>320059</v>
      </c>
      <c r="C3651">
        <v>3200</v>
      </c>
    </row>
    <row r="3652" spans="1:3">
      <c r="A3652" t="s">
        <v>5323</v>
      </c>
      <c r="B3652">
        <v>320060</v>
      </c>
      <c r="C3652">
        <v>3200</v>
      </c>
    </row>
    <row r="3653" spans="1:3">
      <c r="A3653" t="s">
        <v>5324</v>
      </c>
      <c r="B3653">
        <v>320061</v>
      </c>
      <c r="C3653">
        <v>3200</v>
      </c>
    </row>
    <row r="3654" spans="1:3">
      <c r="A3654" t="s">
        <v>5325</v>
      </c>
      <c r="B3654">
        <v>320062</v>
      </c>
      <c r="C3654">
        <v>3200</v>
      </c>
    </row>
    <row r="3655" spans="1:3">
      <c r="A3655" t="s">
        <v>5326</v>
      </c>
      <c r="B3655">
        <v>320063</v>
      </c>
      <c r="C3655">
        <v>3200</v>
      </c>
    </row>
    <row r="3656" spans="1:3">
      <c r="A3656" t="s">
        <v>5327</v>
      </c>
      <c r="B3656">
        <v>320064</v>
      </c>
      <c r="C3656">
        <v>3200</v>
      </c>
    </row>
    <row r="3657" spans="1:3">
      <c r="A3657" t="s">
        <v>5328</v>
      </c>
      <c r="B3657">
        <v>320065</v>
      </c>
      <c r="C3657">
        <v>3200</v>
      </c>
    </row>
    <row r="3658" spans="1:3">
      <c r="A3658" t="s">
        <v>5329</v>
      </c>
      <c r="B3658">
        <v>320066</v>
      </c>
      <c r="C3658">
        <v>3200</v>
      </c>
    </row>
    <row r="3659" spans="1:3">
      <c r="A3659" t="s">
        <v>5330</v>
      </c>
      <c r="B3659">
        <v>320067</v>
      </c>
      <c r="C3659">
        <v>3200</v>
      </c>
    </row>
    <row r="3660" spans="1:3">
      <c r="A3660" t="s">
        <v>5331</v>
      </c>
      <c r="B3660">
        <v>320068</v>
      </c>
      <c r="C3660">
        <v>3200</v>
      </c>
    </row>
    <row r="3661" spans="1:3">
      <c r="A3661" t="s">
        <v>5332</v>
      </c>
      <c r="B3661">
        <v>320069</v>
      </c>
      <c r="C3661">
        <v>3200</v>
      </c>
    </row>
    <row r="3662" spans="1:3">
      <c r="A3662" t="s">
        <v>5333</v>
      </c>
      <c r="B3662">
        <v>320070</v>
      </c>
      <c r="C3662">
        <v>3200</v>
      </c>
    </row>
    <row r="3663" spans="1:3">
      <c r="A3663" t="s">
        <v>5334</v>
      </c>
      <c r="B3663">
        <v>320071</v>
      </c>
      <c r="C3663">
        <v>3200</v>
      </c>
    </row>
    <row r="3664" spans="1:3">
      <c r="A3664" t="s">
        <v>5335</v>
      </c>
      <c r="B3664">
        <v>320072</v>
      </c>
      <c r="C3664">
        <v>3200</v>
      </c>
    </row>
    <row r="3665" spans="1:3">
      <c r="A3665" t="s">
        <v>5336</v>
      </c>
      <c r="B3665">
        <v>320073</v>
      </c>
      <c r="C3665">
        <v>3200</v>
      </c>
    </row>
    <row r="3666" spans="1:3">
      <c r="A3666" t="s">
        <v>5337</v>
      </c>
      <c r="B3666">
        <v>320074</v>
      </c>
      <c r="C3666">
        <v>3200</v>
      </c>
    </row>
    <row r="3667" spans="1:3">
      <c r="A3667" t="s">
        <v>5338</v>
      </c>
      <c r="B3667">
        <v>320075</v>
      </c>
      <c r="C3667">
        <v>3200</v>
      </c>
    </row>
    <row r="3668" spans="1:3">
      <c r="A3668" t="s">
        <v>5339</v>
      </c>
      <c r="B3668">
        <v>320076</v>
      </c>
      <c r="C3668">
        <v>3200</v>
      </c>
    </row>
    <row r="3669" spans="1:3">
      <c r="A3669" t="s">
        <v>5340</v>
      </c>
      <c r="B3669">
        <v>320077</v>
      </c>
      <c r="C3669">
        <v>3200</v>
      </c>
    </row>
    <row r="3670" spans="1:3">
      <c r="A3670" t="s">
        <v>5341</v>
      </c>
      <c r="B3670">
        <v>320078</v>
      </c>
      <c r="C3670">
        <v>3200</v>
      </c>
    </row>
    <row r="3671" spans="1:3">
      <c r="A3671" t="s">
        <v>5342</v>
      </c>
      <c r="B3671">
        <v>320079</v>
      </c>
      <c r="C3671">
        <v>3200</v>
      </c>
    </row>
    <row r="3672" spans="1:3">
      <c r="A3672" t="s">
        <v>5343</v>
      </c>
      <c r="B3672">
        <v>320080</v>
      </c>
      <c r="C3672">
        <v>3200</v>
      </c>
    </row>
    <row r="3673" spans="1:3">
      <c r="A3673" t="s">
        <v>5344</v>
      </c>
      <c r="B3673">
        <v>320081</v>
      </c>
      <c r="C3673">
        <v>3200</v>
      </c>
    </row>
    <row r="3674" spans="1:3">
      <c r="A3674" t="s">
        <v>5345</v>
      </c>
      <c r="B3674">
        <v>320082</v>
      </c>
      <c r="C3674">
        <v>3200</v>
      </c>
    </row>
    <row r="3675" spans="1:3">
      <c r="A3675" t="s">
        <v>5346</v>
      </c>
      <c r="B3675">
        <v>320083</v>
      </c>
      <c r="C3675">
        <v>3200</v>
      </c>
    </row>
    <row r="3676" spans="1:3">
      <c r="A3676" t="s">
        <v>5347</v>
      </c>
      <c r="B3676">
        <v>320084</v>
      </c>
      <c r="C3676">
        <v>3200</v>
      </c>
    </row>
    <row r="3677" spans="1:3">
      <c r="A3677" t="s">
        <v>5348</v>
      </c>
      <c r="B3677">
        <v>320085</v>
      </c>
      <c r="C3677">
        <v>3200</v>
      </c>
    </row>
    <row r="3678" spans="1:3">
      <c r="A3678" t="s">
        <v>5349</v>
      </c>
      <c r="B3678">
        <v>320086</v>
      </c>
      <c r="C3678">
        <v>3200</v>
      </c>
    </row>
    <row r="3679" spans="1:3">
      <c r="A3679" t="s">
        <v>5350</v>
      </c>
      <c r="B3679">
        <v>320087</v>
      </c>
      <c r="C3679">
        <v>3200</v>
      </c>
    </row>
    <row r="3680" spans="1:3">
      <c r="A3680" t="s">
        <v>5351</v>
      </c>
      <c r="B3680">
        <v>330001</v>
      </c>
      <c r="C3680">
        <v>3300</v>
      </c>
    </row>
    <row r="3681" spans="1:3">
      <c r="A3681" t="s">
        <v>5352</v>
      </c>
      <c r="B3681">
        <v>330002</v>
      </c>
      <c r="C3681">
        <v>3300</v>
      </c>
    </row>
    <row r="3682" spans="1:3">
      <c r="A3682" t="s">
        <v>5353</v>
      </c>
      <c r="B3682">
        <v>330003</v>
      </c>
      <c r="C3682">
        <v>3300</v>
      </c>
    </row>
    <row r="3683" spans="1:3">
      <c r="A3683" t="s">
        <v>5354</v>
      </c>
      <c r="B3683">
        <v>330004</v>
      </c>
      <c r="C3683">
        <v>3300</v>
      </c>
    </row>
    <row r="3684" spans="1:3">
      <c r="A3684" t="s">
        <v>5355</v>
      </c>
      <c r="B3684">
        <v>330005</v>
      </c>
      <c r="C3684">
        <v>3300</v>
      </c>
    </row>
    <row r="3685" spans="1:3">
      <c r="A3685" t="s">
        <v>5356</v>
      </c>
      <c r="B3685">
        <v>330006</v>
      </c>
      <c r="C3685">
        <v>3300</v>
      </c>
    </row>
    <row r="3686" spans="1:3">
      <c r="A3686" t="s">
        <v>5357</v>
      </c>
      <c r="B3686">
        <v>330007</v>
      </c>
      <c r="C3686">
        <v>3300</v>
      </c>
    </row>
    <row r="3687" spans="1:3">
      <c r="A3687" t="s">
        <v>5358</v>
      </c>
      <c r="B3687">
        <v>330008</v>
      </c>
      <c r="C3687">
        <v>3300</v>
      </c>
    </row>
    <row r="3688" spans="1:3">
      <c r="A3688" t="s">
        <v>5359</v>
      </c>
      <c r="B3688">
        <v>330009</v>
      </c>
      <c r="C3688">
        <v>3300</v>
      </c>
    </row>
    <row r="3689" spans="1:3">
      <c r="A3689" t="s">
        <v>5360</v>
      </c>
      <c r="B3689">
        <v>330010</v>
      </c>
      <c r="C3689">
        <v>3300</v>
      </c>
    </row>
    <row r="3690" spans="1:3">
      <c r="A3690" t="s">
        <v>5361</v>
      </c>
      <c r="B3690">
        <v>330011</v>
      </c>
      <c r="C3690">
        <v>3300</v>
      </c>
    </row>
    <row r="3691" spans="1:3">
      <c r="A3691" t="s">
        <v>5362</v>
      </c>
      <c r="B3691">
        <v>330012</v>
      </c>
      <c r="C3691">
        <v>3300</v>
      </c>
    </row>
    <row r="3692" spans="1:3">
      <c r="A3692" t="s">
        <v>5363</v>
      </c>
      <c r="B3692">
        <v>330013</v>
      </c>
      <c r="C3692">
        <v>3300</v>
      </c>
    </row>
    <row r="3693" spans="1:3">
      <c r="A3693" t="s">
        <v>5364</v>
      </c>
      <c r="B3693">
        <v>330014</v>
      </c>
      <c r="C3693">
        <v>3300</v>
      </c>
    </row>
    <row r="3694" spans="1:3">
      <c r="A3694" t="s">
        <v>5365</v>
      </c>
      <c r="B3694">
        <v>330015</v>
      </c>
      <c r="C3694">
        <v>3300</v>
      </c>
    </row>
    <row r="3695" spans="1:3">
      <c r="A3695" t="s">
        <v>5366</v>
      </c>
      <c r="B3695">
        <v>330016</v>
      </c>
      <c r="C3695">
        <v>3300</v>
      </c>
    </row>
    <row r="3696" spans="1:3">
      <c r="A3696" t="s">
        <v>5367</v>
      </c>
      <c r="B3696">
        <v>330017</v>
      </c>
      <c r="C3696">
        <v>3300</v>
      </c>
    </row>
    <row r="3697" spans="1:3">
      <c r="A3697" t="s">
        <v>5368</v>
      </c>
      <c r="B3697">
        <v>330018</v>
      </c>
      <c r="C3697">
        <v>3300</v>
      </c>
    </row>
    <row r="3698" spans="1:3">
      <c r="A3698" t="s">
        <v>5369</v>
      </c>
      <c r="B3698">
        <v>330019</v>
      </c>
      <c r="C3698">
        <v>3300</v>
      </c>
    </row>
    <row r="3699" spans="1:3">
      <c r="A3699" t="s">
        <v>5370</v>
      </c>
      <c r="B3699">
        <v>330020</v>
      </c>
      <c r="C3699">
        <v>3300</v>
      </c>
    </row>
    <row r="3700" spans="1:3">
      <c r="A3700" t="s">
        <v>5371</v>
      </c>
      <c r="B3700">
        <v>330021</v>
      </c>
      <c r="C3700">
        <v>3300</v>
      </c>
    </row>
    <row r="3701" spans="1:3">
      <c r="A3701" t="s">
        <v>5372</v>
      </c>
      <c r="B3701">
        <v>330022</v>
      </c>
      <c r="C3701">
        <v>3300</v>
      </c>
    </row>
    <row r="3702" spans="1:3">
      <c r="A3702" t="s">
        <v>5373</v>
      </c>
      <c r="B3702">
        <v>330023</v>
      </c>
      <c r="C3702">
        <v>3300</v>
      </c>
    </row>
    <row r="3703" spans="1:3">
      <c r="A3703" t="s">
        <v>5374</v>
      </c>
      <c r="B3703">
        <v>330024</v>
      </c>
      <c r="C3703">
        <v>3300</v>
      </c>
    </row>
    <row r="3704" spans="1:3">
      <c r="A3704" t="s">
        <v>5375</v>
      </c>
      <c r="B3704">
        <v>330025</v>
      </c>
      <c r="C3704">
        <v>3300</v>
      </c>
    </row>
    <row r="3705" spans="1:3">
      <c r="A3705" t="s">
        <v>5376</v>
      </c>
      <c r="B3705">
        <v>330026</v>
      </c>
      <c r="C3705">
        <v>3300</v>
      </c>
    </row>
    <row r="3706" spans="1:3">
      <c r="A3706" t="s">
        <v>5377</v>
      </c>
      <c r="B3706">
        <v>330027</v>
      </c>
      <c r="C3706">
        <v>3300</v>
      </c>
    </row>
    <row r="3707" spans="1:3">
      <c r="A3707" t="s">
        <v>5378</v>
      </c>
      <c r="B3707">
        <v>330028</v>
      </c>
      <c r="C3707">
        <v>3300</v>
      </c>
    </row>
    <row r="3708" spans="1:3">
      <c r="A3708" t="s">
        <v>5379</v>
      </c>
      <c r="B3708">
        <v>330029</v>
      </c>
      <c r="C3708">
        <v>3300</v>
      </c>
    </row>
    <row r="3709" spans="1:3">
      <c r="A3709" t="s">
        <v>5380</v>
      </c>
      <c r="B3709">
        <v>330030</v>
      </c>
      <c r="C3709">
        <v>3300</v>
      </c>
    </row>
    <row r="3710" spans="1:3">
      <c r="A3710" t="s">
        <v>5381</v>
      </c>
      <c r="B3710">
        <v>330031</v>
      </c>
      <c r="C3710">
        <v>3300</v>
      </c>
    </row>
    <row r="3711" spans="1:3">
      <c r="A3711" t="s">
        <v>5382</v>
      </c>
      <c r="B3711">
        <v>330032</v>
      </c>
      <c r="C3711">
        <v>3300</v>
      </c>
    </row>
    <row r="3712" spans="1:3">
      <c r="A3712" t="s">
        <v>5383</v>
      </c>
      <c r="B3712">
        <v>330033</v>
      </c>
      <c r="C3712">
        <v>3300</v>
      </c>
    </row>
    <row r="3713" spans="1:3">
      <c r="A3713" t="s">
        <v>5384</v>
      </c>
      <c r="B3713">
        <v>330034</v>
      </c>
      <c r="C3713">
        <v>3300</v>
      </c>
    </row>
    <row r="3714" spans="1:3">
      <c r="A3714" t="s">
        <v>5385</v>
      </c>
      <c r="B3714">
        <v>330035</v>
      </c>
      <c r="C3714">
        <v>3300</v>
      </c>
    </row>
    <row r="3715" spans="1:3">
      <c r="A3715" t="s">
        <v>5386</v>
      </c>
      <c r="B3715">
        <v>330036</v>
      </c>
      <c r="C3715">
        <v>3300</v>
      </c>
    </row>
    <row r="3716" spans="1:3">
      <c r="A3716" t="s">
        <v>5387</v>
      </c>
      <c r="B3716">
        <v>330037</v>
      </c>
      <c r="C3716">
        <v>3300</v>
      </c>
    </row>
    <row r="3717" spans="1:3">
      <c r="A3717" t="s">
        <v>5388</v>
      </c>
      <c r="B3717">
        <v>330038</v>
      </c>
      <c r="C3717">
        <v>3300</v>
      </c>
    </row>
    <row r="3718" spans="1:3">
      <c r="A3718" t="s">
        <v>5389</v>
      </c>
      <c r="B3718">
        <v>330039</v>
      </c>
      <c r="C3718">
        <v>3300</v>
      </c>
    </row>
    <row r="3719" spans="1:3">
      <c r="A3719" t="s">
        <v>5390</v>
      </c>
      <c r="B3719">
        <v>330040</v>
      </c>
      <c r="C3719">
        <v>3300</v>
      </c>
    </row>
    <row r="3720" spans="1:3">
      <c r="A3720" t="s">
        <v>5391</v>
      </c>
      <c r="B3720">
        <v>330041</v>
      </c>
      <c r="C3720">
        <v>3300</v>
      </c>
    </row>
    <row r="3721" spans="1:3">
      <c r="A3721" t="s">
        <v>5392</v>
      </c>
      <c r="B3721">
        <v>330042</v>
      </c>
      <c r="C3721">
        <v>3300</v>
      </c>
    </row>
    <row r="3722" spans="1:3">
      <c r="A3722" t="s">
        <v>5393</v>
      </c>
      <c r="B3722">
        <v>330043</v>
      </c>
      <c r="C3722">
        <v>3300</v>
      </c>
    </row>
    <row r="3723" spans="1:3">
      <c r="A3723" t="s">
        <v>5394</v>
      </c>
      <c r="B3723">
        <v>330044</v>
      </c>
      <c r="C3723">
        <v>3300</v>
      </c>
    </row>
    <row r="3724" spans="1:3">
      <c r="A3724" t="s">
        <v>5395</v>
      </c>
      <c r="B3724">
        <v>330045</v>
      </c>
      <c r="C3724">
        <v>3300</v>
      </c>
    </row>
    <row r="3725" spans="1:3">
      <c r="A3725" t="s">
        <v>579</v>
      </c>
      <c r="B3725">
        <v>330046</v>
      </c>
      <c r="C3725">
        <v>3300</v>
      </c>
    </row>
    <row r="3726" spans="1:3">
      <c r="A3726" t="s">
        <v>5396</v>
      </c>
      <c r="B3726">
        <v>330047</v>
      </c>
      <c r="C3726">
        <v>3300</v>
      </c>
    </row>
    <row r="3727" spans="1:3">
      <c r="A3727" t="s">
        <v>5397</v>
      </c>
      <c r="B3727">
        <v>330048</v>
      </c>
      <c r="C3727">
        <v>3300</v>
      </c>
    </row>
    <row r="3728" spans="1:3">
      <c r="A3728" t="s">
        <v>5398</v>
      </c>
      <c r="B3728">
        <v>370001</v>
      </c>
      <c r="C3728">
        <v>3700</v>
      </c>
    </row>
    <row r="3729" spans="1:3">
      <c r="A3729" t="s">
        <v>5399</v>
      </c>
      <c r="B3729">
        <v>370002</v>
      </c>
      <c r="C3729">
        <v>3700</v>
      </c>
    </row>
    <row r="3730" spans="1:3">
      <c r="A3730" t="s">
        <v>5400</v>
      </c>
      <c r="B3730">
        <v>370003</v>
      </c>
      <c r="C3730">
        <v>3700</v>
      </c>
    </row>
    <row r="3731" spans="1:3">
      <c r="A3731" t="s">
        <v>5401</v>
      </c>
      <c r="B3731">
        <v>370004</v>
      </c>
      <c r="C3731">
        <v>3700</v>
      </c>
    </row>
    <row r="3732" spans="1:3">
      <c r="A3732" t="s">
        <v>5402</v>
      </c>
      <c r="B3732">
        <v>370005</v>
      </c>
      <c r="C3732">
        <v>3700</v>
      </c>
    </row>
    <row r="3733" spans="1:3">
      <c r="A3733" t="s">
        <v>5403</v>
      </c>
      <c r="B3733">
        <v>370006</v>
      </c>
      <c r="C3733">
        <v>3700</v>
      </c>
    </row>
    <row r="3734" spans="1:3">
      <c r="A3734" t="s">
        <v>5404</v>
      </c>
      <c r="B3734">
        <v>370007</v>
      </c>
      <c r="C3734">
        <v>3700</v>
      </c>
    </row>
    <row r="3735" spans="1:3">
      <c r="A3735" t="s">
        <v>5405</v>
      </c>
      <c r="B3735">
        <v>370008</v>
      </c>
      <c r="C3735">
        <v>3700</v>
      </c>
    </row>
    <row r="3736" spans="1:3">
      <c r="A3736" t="s">
        <v>5406</v>
      </c>
      <c r="B3736">
        <v>370009</v>
      </c>
      <c r="C3736">
        <v>3700</v>
      </c>
    </row>
    <row r="3737" spans="1:3">
      <c r="A3737" t="s">
        <v>5407</v>
      </c>
      <c r="B3737">
        <v>370010</v>
      </c>
      <c r="C3737">
        <v>3700</v>
      </c>
    </row>
    <row r="3738" spans="1:3">
      <c r="A3738" t="s">
        <v>5408</v>
      </c>
      <c r="B3738">
        <v>370011</v>
      </c>
      <c r="C3738">
        <v>3700</v>
      </c>
    </row>
    <row r="3739" spans="1:3">
      <c r="A3739" t="s">
        <v>5409</v>
      </c>
      <c r="B3739">
        <v>370012</v>
      </c>
      <c r="C3739">
        <v>3700</v>
      </c>
    </row>
    <row r="3740" spans="1:3">
      <c r="A3740" t="s">
        <v>5410</v>
      </c>
      <c r="B3740">
        <v>370013</v>
      </c>
      <c r="C3740">
        <v>3700</v>
      </c>
    </row>
    <row r="3741" spans="1:3">
      <c r="A3741" t="s">
        <v>5411</v>
      </c>
      <c r="B3741">
        <v>370014</v>
      </c>
      <c r="C3741">
        <v>3700</v>
      </c>
    </row>
    <row r="3742" spans="1:3">
      <c r="A3742" t="s">
        <v>5412</v>
      </c>
      <c r="B3742">
        <v>370015</v>
      </c>
      <c r="C3742">
        <v>3700</v>
      </c>
    </row>
    <row r="3743" spans="1:3">
      <c r="A3743" t="s">
        <v>5413</v>
      </c>
      <c r="B3743">
        <v>370016</v>
      </c>
      <c r="C3743">
        <v>3700</v>
      </c>
    </row>
    <row r="3744" spans="1:3">
      <c r="A3744" t="s">
        <v>5414</v>
      </c>
      <c r="B3744">
        <v>380001</v>
      </c>
      <c r="C3744">
        <v>3800</v>
      </c>
    </row>
    <row r="3745" spans="1:3">
      <c r="A3745" t="s">
        <v>5415</v>
      </c>
      <c r="B3745">
        <v>380002</v>
      </c>
      <c r="C3745">
        <v>3800</v>
      </c>
    </row>
    <row r="3746" spans="1:3">
      <c r="A3746" t="s">
        <v>5416</v>
      </c>
      <c r="B3746">
        <v>380003</v>
      </c>
      <c r="C3746">
        <v>3800</v>
      </c>
    </row>
    <row r="3747" spans="1:3">
      <c r="A3747" t="s">
        <v>5027</v>
      </c>
      <c r="B3747">
        <v>380004</v>
      </c>
      <c r="C3747">
        <v>3800</v>
      </c>
    </row>
    <row r="3748" spans="1:3">
      <c r="A3748" t="s">
        <v>5417</v>
      </c>
      <c r="B3748">
        <v>380005</v>
      </c>
      <c r="C3748">
        <v>3800</v>
      </c>
    </row>
    <row r="3749" spans="1:3">
      <c r="A3749" t="s">
        <v>5016</v>
      </c>
      <c r="B3749">
        <v>380006</v>
      </c>
      <c r="C3749">
        <v>3800</v>
      </c>
    </row>
    <row r="3750" spans="1:3">
      <c r="A3750" t="s">
        <v>5061</v>
      </c>
      <c r="B3750">
        <v>380007</v>
      </c>
      <c r="C3750">
        <v>3800</v>
      </c>
    </row>
    <row r="3751" spans="1:3">
      <c r="A3751" t="s">
        <v>5070</v>
      </c>
      <c r="B3751">
        <v>380008</v>
      </c>
      <c r="C3751">
        <v>3800</v>
      </c>
    </row>
    <row r="3752" spans="1:3">
      <c r="A3752" t="s">
        <v>5069</v>
      </c>
      <c r="B3752">
        <v>380009</v>
      </c>
      <c r="C3752">
        <v>3800</v>
      </c>
    </row>
    <row r="3753" spans="1:3">
      <c r="A3753" t="s">
        <v>5418</v>
      </c>
      <c r="B3753">
        <v>380010</v>
      </c>
      <c r="C3753">
        <v>3800</v>
      </c>
    </row>
    <row r="3754" spans="1:3">
      <c r="A3754" t="s">
        <v>5023</v>
      </c>
      <c r="B3754">
        <v>380011</v>
      </c>
      <c r="C3754">
        <v>3800</v>
      </c>
    </row>
    <row r="3755" spans="1:3">
      <c r="A3755" t="s">
        <v>5050</v>
      </c>
      <c r="B3755">
        <v>380012</v>
      </c>
      <c r="C3755">
        <v>3800</v>
      </c>
    </row>
    <row r="3756" spans="1:3">
      <c r="A3756" t="s">
        <v>5419</v>
      </c>
      <c r="B3756">
        <v>380013</v>
      </c>
      <c r="C3756">
        <v>3800</v>
      </c>
    </row>
    <row r="3757" spans="1:3">
      <c r="A3757" t="s">
        <v>5420</v>
      </c>
      <c r="B3757">
        <v>380014</v>
      </c>
      <c r="C3757">
        <v>3800</v>
      </c>
    </row>
    <row r="3758" spans="1:3">
      <c r="A3758" t="s">
        <v>5421</v>
      </c>
      <c r="B3758">
        <v>400001</v>
      </c>
      <c r="C3758">
        <v>4000</v>
      </c>
    </row>
    <row r="3759" spans="1:3">
      <c r="A3759" t="s">
        <v>5422</v>
      </c>
      <c r="B3759">
        <v>400002</v>
      </c>
      <c r="C3759">
        <v>4000</v>
      </c>
    </row>
    <row r="3760" spans="1:3">
      <c r="A3760" t="s">
        <v>5423</v>
      </c>
      <c r="B3760">
        <v>400003</v>
      </c>
      <c r="C3760">
        <v>4000</v>
      </c>
    </row>
    <row r="3761" spans="1:3">
      <c r="A3761" t="s">
        <v>5424</v>
      </c>
      <c r="B3761">
        <v>400004</v>
      </c>
      <c r="C3761">
        <v>4000</v>
      </c>
    </row>
    <row r="3762" spans="1:3">
      <c r="A3762" t="s">
        <v>5425</v>
      </c>
      <c r="B3762">
        <v>400005</v>
      </c>
      <c r="C3762">
        <v>4000</v>
      </c>
    </row>
    <row r="3763" spans="1:3">
      <c r="A3763" t="s">
        <v>5426</v>
      </c>
      <c r="B3763">
        <v>400006</v>
      </c>
      <c r="C3763">
        <v>4000</v>
      </c>
    </row>
    <row r="3764" spans="1:3">
      <c r="A3764" t="s">
        <v>5427</v>
      </c>
      <c r="B3764">
        <v>400007</v>
      </c>
      <c r="C3764">
        <v>4000</v>
      </c>
    </row>
    <row r="3765" spans="1:3">
      <c r="A3765" t="s">
        <v>5428</v>
      </c>
      <c r="B3765">
        <v>400008</v>
      </c>
      <c r="C3765">
        <v>4000</v>
      </c>
    </row>
    <row r="3766" spans="1:3">
      <c r="A3766" t="s">
        <v>5429</v>
      </c>
      <c r="B3766">
        <v>400009</v>
      </c>
      <c r="C3766">
        <v>4000</v>
      </c>
    </row>
    <row r="3767" spans="1:3">
      <c r="A3767" t="s">
        <v>5430</v>
      </c>
      <c r="B3767">
        <v>400010</v>
      </c>
      <c r="C3767">
        <v>4000</v>
      </c>
    </row>
    <row r="3768" spans="1:3">
      <c r="A3768" t="s">
        <v>5431</v>
      </c>
      <c r="B3768">
        <v>400011</v>
      </c>
      <c r="C3768">
        <v>4000</v>
      </c>
    </row>
    <row r="3769" spans="1:3">
      <c r="A3769" t="s">
        <v>5432</v>
      </c>
      <c r="B3769">
        <v>400012</v>
      </c>
      <c r="C3769">
        <v>4000</v>
      </c>
    </row>
    <row r="3770" spans="1:3">
      <c r="A3770" t="s">
        <v>5433</v>
      </c>
      <c r="B3770">
        <v>400013</v>
      </c>
      <c r="C3770">
        <v>4000</v>
      </c>
    </row>
    <row r="3771" spans="1:3">
      <c r="A3771" t="s">
        <v>5434</v>
      </c>
      <c r="B3771">
        <v>400014</v>
      </c>
      <c r="C3771">
        <v>4000</v>
      </c>
    </row>
    <row r="3772" spans="1:3">
      <c r="A3772" t="s">
        <v>5435</v>
      </c>
      <c r="B3772">
        <v>400015</v>
      </c>
      <c r="C3772">
        <v>4000</v>
      </c>
    </row>
    <row r="3773" spans="1:3">
      <c r="A3773" t="s">
        <v>5436</v>
      </c>
      <c r="B3773">
        <v>400016</v>
      </c>
      <c r="C3773">
        <v>4000</v>
      </c>
    </row>
    <row r="3774" spans="1:3">
      <c r="A3774" t="s">
        <v>5437</v>
      </c>
      <c r="B3774">
        <v>400017</v>
      </c>
      <c r="C3774">
        <v>4000</v>
      </c>
    </row>
    <row r="3775" spans="1:3">
      <c r="A3775" t="s">
        <v>5438</v>
      </c>
      <c r="B3775">
        <v>400018</v>
      </c>
      <c r="C3775">
        <v>4000</v>
      </c>
    </row>
    <row r="3776" spans="1:3">
      <c r="A3776" t="s">
        <v>5439</v>
      </c>
      <c r="B3776">
        <v>400019</v>
      </c>
      <c r="C3776">
        <v>4000</v>
      </c>
    </row>
    <row r="3777" spans="1:3">
      <c r="A3777" t="s">
        <v>5440</v>
      </c>
      <c r="B3777">
        <v>400020</v>
      </c>
      <c r="C3777">
        <v>4000</v>
      </c>
    </row>
    <row r="3778" spans="1:3">
      <c r="A3778" t="s">
        <v>5441</v>
      </c>
      <c r="B3778">
        <v>400021</v>
      </c>
      <c r="C3778">
        <v>4000</v>
      </c>
    </row>
    <row r="3779" spans="1:3">
      <c r="A3779" t="s">
        <v>5442</v>
      </c>
      <c r="B3779">
        <v>400022</v>
      </c>
      <c r="C3779">
        <v>4000</v>
      </c>
    </row>
    <row r="3780" spans="1:3">
      <c r="A3780" t="s">
        <v>5443</v>
      </c>
      <c r="B3780">
        <v>400023</v>
      </c>
      <c r="C3780">
        <v>4000</v>
      </c>
    </row>
    <row r="3781" spans="1:3">
      <c r="A3781" t="s">
        <v>5444</v>
      </c>
      <c r="B3781">
        <v>400024</v>
      </c>
      <c r="C3781">
        <v>4000</v>
      </c>
    </row>
    <row r="3782" spans="1:3">
      <c r="A3782" t="s">
        <v>5445</v>
      </c>
      <c r="B3782">
        <v>400025</v>
      </c>
      <c r="C3782">
        <v>4000</v>
      </c>
    </row>
    <row r="3783" spans="1:3">
      <c r="A3783" t="s">
        <v>5446</v>
      </c>
      <c r="B3783">
        <v>400026</v>
      </c>
      <c r="C3783">
        <v>4000</v>
      </c>
    </row>
    <row r="3784" spans="1:3">
      <c r="A3784" t="s">
        <v>5447</v>
      </c>
      <c r="B3784">
        <v>400027</v>
      </c>
      <c r="C3784">
        <v>4000</v>
      </c>
    </row>
    <row r="3785" spans="1:3">
      <c r="A3785" t="s">
        <v>5448</v>
      </c>
      <c r="B3785">
        <v>400028</v>
      </c>
      <c r="C3785">
        <v>4000</v>
      </c>
    </row>
    <row r="3786" spans="1:3">
      <c r="A3786" t="s">
        <v>5449</v>
      </c>
      <c r="B3786">
        <v>400029</v>
      </c>
      <c r="C3786">
        <v>4000</v>
      </c>
    </row>
    <row r="3787" spans="1:3">
      <c r="A3787" t="s">
        <v>5450</v>
      </c>
      <c r="B3787">
        <v>400030</v>
      </c>
      <c r="C3787">
        <v>4000</v>
      </c>
    </row>
    <row r="3788" spans="1:3">
      <c r="A3788" t="s">
        <v>5451</v>
      </c>
      <c r="B3788">
        <v>400031</v>
      </c>
      <c r="C3788">
        <v>4000</v>
      </c>
    </row>
    <row r="3789" spans="1:3">
      <c r="A3789" t="s">
        <v>5452</v>
      </c>
      <c r="B3789">
        <v>400032</v>
      </c>
      <c r="C3789">
        <v>4000</v>
      </c>
    </row>
    <row r="3790" spans="1:3">
      <c r="A3790" t="s">
        <v>5453</v>
      </c>
      <c r="B3790">
        <v>400033</v>
      </c>
      <c r="C3790">
        <v>4000</v>
      </c>
    </row>
    <row r="3791" spans="1:3">
      <c r="A3791" t="s">
        <v>5454</v>
      </c>
      <c r="B3791">
        <v>400034</v>
      </c>
      <c r="C3791">
        <v>4000</v>
      </c>
    </row>
    <row r="3792" spans="1:3">
      <c r="A3792" t="s">
        <v>5455</v>
      </c>
      <c r="B3792">
        <v>400035</v>
      </c>
      <c r="C3792">
        <v>4000</v>
      </c>
    </row>
    <row r="3793" spans="1:3">
      <c r="A3793" t="s">
        <v>5456</v>
      </c>
      <c r="B3793">
        <v>400036</v>
      </c>
      <c r="C3793">
        <v>4000</v>
      </c>
    </row>
    <row r="3794" spans="1:3">
      <c r="A3794" t="s">
        <v>5457</v>
      </c>
      <c r="B3794">
        <v>400037</v>
      </c>
      <c r="C3794">
        <v>4000</v>
      </c>
    </row>
    <row r="3795" spans="1:3">
      <c r="A3795" t="s">
        <v>5458</v>
      </c>
      <c r="B3795">
        <v>400038</v>
      </c>
      <c r="C3795">
        <v>4000</v>
      </c>
    </row>
    <row r="3796" spans="1:3">
      <c r="A3796" t="s">
        <v>5459</v>
      </c>
      <c r="B3796">
        <v>400039</v>
      </c>
      <c r="C3796">
        <v>4000</v>
      </c>
    </row>
    <row r="3797" spans="1:3">
      <c r="A3797" t="s">
        <v>5460</v>
      </c>
      <c r="B3797">
        <v>400040</v>
      </c>
      <c r="C3797">
        <v>4000</v>
      </c>
    </row>
    <row r="3798" spans="1:3">
      <c r="A3798" t="s">
        <v>5457</v>
      </c>
      <c r="B3798">
        <v>400041</v>
      </c>
      <c r="C3798">
        <v>4000</v>
      </c>
    </row>
    <row r="3799" spans="1:3">
      <c r="A3799" t="s">
        <v>5461</v>
      </c>
      <c r="B3799">
        <v>400042</v>
      </c>
      <c r="C3799">
        <v>4000</v>
      </c>
    </row>
    <row r="3800" spans="1:3">
      <c r="A3800" t="s">
        <v>5462</v>
      </c>
      <c r="B3800">
        <v>400043</v>
      </c>
      <c r="C3800">
        <v>4000</v>
      </c>
    </row>
    <row r="3801" spans="1:3">
      <c r="A3801" t="s">
        <v>5463</v>
      </c>
      <c r="B3801">
        <v>400044</v>
      </c>
      <c r="C3801">
        <v>4000</v>
      </c>
    </row>
    <row r="3802" spans="1:3">
      <c r="A3802" t="s">
        <v>5464</v>
      </c>
      <c r="B3802">
        <v>400045</v>
      </c>
      <c r="C3802">
        <v>4000</v>
      </c>
    </row>
    <row r="3803" spans="1:3">
      <c r="A3803" t="s">
        <v>5465</v>
      </c>
      <c r="B3803">
        <v>400046</v>
      </c>
      <c r="C3803">
        <v>4000</v>
      </c>
    </row>
    <row r="3804" spans="1:3">
      <c r="A3804" t="s">
        <v>5466</v>
      </c>
      <c r="B3804">
        <v>400047</v>
      </c>
      <c r="C3804">
        <v>4000</v>
      </c>
    </row>
    <row r="3805" spans="1:3">
      <c r="A3805" t="s">
        <v>5467</v>
      </c>
      <c r="B3805">
        <v>400048</v>
      </c>
      <c r="C3805">
        <v>4000</v>
      </c>
    </row>
    <row r="3806" spans="1:3">
      <c r="A3806" t="s">
        <v>5468</v>
      </c>
      <c r="B3806">
        <v>400049</v>
      </c>
      <c r="C3806">
        <v>4000</v>
      </c>
    </row>
    <row r="3807" spans="1:3">
      <c r="A3807" t="s">
        <v>5469</v>
      </c>
      <c r="B3807">
        <v>400050</v>
      </c>
      <c r="C3807">
        <v>4000</v>
      </c>
    </row>
    <row r="3808" spans="1:3">
      <c r="A3808" t="s">
        <v>5470</v>
      </c>
      <c r="B3808">
        <v>400051</v>
      </c>
      <c r="C3808">
        <v>4000</v>
      </c>
    </row>
    <row r="3809" spans="1:3">
      <c r="A3809" t="s">
        <v>5471</v>
      </c>
      <c r="B3809">
        <v>400052</v>
      </c>
      <c r="C3809">
        <v>4000</v>
      </c>
    </row>
    <row r="3810" spans="1:3">
      <c r="A3810" t="s">
        <v>5472</v>
      </c>
      <c r="B3810">
        <v>400053</v>
      </c>
      <c r="C3810">
        <v>4000</v>
      </c>
    </row>
    <row r="3811" spans="1:3">
      <c r="A3811" t="s">
        <v>5473</v>
      </c>
      <c r="B3811">
        <v>400054</v>
      </c>
      <c r="C3811">
        <v>4000</v>
      </c>
    </row>
    <row r="3812" spans="1:3">
      <c r="A3812" t="s">
        <v>5474</v>
      </c>
      <c r="B3812">
        <v>400055</v>
      </c>
      <c r="C3812">
        <v>4000</v>
      </c>
    </row>
    <row r="3813" spans="1:3">
      <c r="A3813" t="s">
        <v>5475</v>
      </c>
      <c r="B3813">
        <v>400056</v>
      </c>
      <c r="C3813">
        <v>4000</v>
      </c>
    </row>
    <row r="3814" spans="1:3">
      <c r="A3814" t="s">
        <v>5476</v>
      </c>
      <c r="B3814">
        <v>400057</v>
      </c>
      <c r="C3814">
        <v>4000</v>
      </c>
    </row>
    <row r="3815" spans="1:3">
      <c r="A3815" t="s">
        <v>5477</v>
      </c>
      <c r="B3815">
        <v>400058</v>
      </c>
      <c r="C3815">
        <v>4000</v>
      </c>
    </row>
    <row r="3816" spans="1:3">
      <c r="A3816" t="s">
        <v>5478</v>
      </c>
      <c r="B3816">
        <v>400059</v>
      </c>
      <c r="C3816">
        <v>4000</v>
      </c>
    </row>
    <row r="3817" spans="1:3">
      <c r="A3817" t="s">
        <v>5479</v>
      </c>
      <c r="B3817">
        <v>400060</v>
      </c>
      <c r="C3817">
        <v>4000</v>
      </c>
    </row>
    <row r="3818" spans="1:3">
      <c r="A3818" t="s">
        <v>5480</v>
      </c>
      <c r="B3818">
        <v>400061</v>
      </c>
      <c r="C3818">
        <v>4000</v>
      </c>
    </row>
    <row r="3819" spans="1:3">
      <c r="A3819" t="s">
        <v>5481</v>
      </c>
      <c r="B3819">
        <v>400062</v>
      </c>
      <c r="C3819">
        <v>4000</v>
      </c>
    </row>
    <row r="3820" spans="1:3">
      <c r="A3820" t="s">
        <v>5482</v>
      </c>
      <c r="B3820">
        <v>400063</v>
      </c>
      <c r="C3820">
        <v>4000</v>
      </c>
    </row>
    <row r="3821" spans="1:3">
      <c r="A3821" t="s">
        <v>5483</v>
      </c>
      <c r="B3821">
        <v>400064</v>
      </c>
      <c r="C3821">
        <v>4000</v>
      </c>
    </row>
    <row r="3822" spans="1:3">
      <c r="A3822" t="s">
        <v>5484</v>
      </c>
      <c r="B3822">
        <v>400065</v>
      </c>
      <c r="C3822">
        <v>4000</v>
      </c>
    </row>
    <row r="3823" spans="1:3">
      <c r="A3823" t="s">
        <v>5485</v>
      </c>
      <c r="B3823">
        <v>400066</v>
      </c>
      <c r="C3823">
        <v>4000</v>
      </c>
    </row>
    <row r="3824" spans="1:3">
      <c r="A3824" t="s">
        <v>5486</v>
      </c>
      <c r="B3824">
        <v>400067</v>
      </c>
      <c r="C3824">
        <v>4000</v>
      </c>
    </row>
    <row r="3825" spans="1:3">
      <c r="A3825" t="s">
        <v>5487</v>
      </c>
      <c r="B3825">
        <v>400068</v>
      </c>
      <c r="C3825">
        <v>4000</v>
      </c>
    </row>
    <row r="3826" spans="1:3">
      <c r="A3826" t="s">
        <v>5488</v>
      </c>
      <c r="B3826">
        <v>400069</v>
      </c>
      <c r="C3826">
        <v>4000</v>
      </c>
    </row>
    <row r="3827" spans="1:3">
      <c r="A3827" t="s">
        <v>5468</v>
      </c>
      <c r="B3827">
        <v>400070</v>
      </c>
      <c r="C3827">
        <v>4000</v>
      </c>
    </row>
    <row r="3828" spans="1:3">
      <c r="A3828" t="s">
        <v>5489</v>
      </c>
      <c r="B3828">
        <v>400071</v>
      </c>
      <c r="C3828">
        <v>4000</v>
      </c>
    </row>
    <row r="3829" spans="1:3">
      <c r="A3829" t="s">
        <v>5465</v>
      </c>
      <c r="B3829">
        <v>400072</v>
      </c>
      <c r="C3829">
        <v>4000</v>
      </c>
    </row>
    <row r="3830" spans="1:3">
      <c r="A3830" t="s">
        <v>5484</v>
      </c>
      <c r="B3830">
        <v>400073</v>
      </c>
      <c r="C3830">
        <v>4000</v>
      </c>
    </row>
    <row r="3831" spans="1:3">
      <c r="A3831" t="s">
        <v>5490</v>
      </c>
      <c r="B3831">
        <v>400074</v>
      </c>
      <c r="C3831">
        <v>4000</v>
      </c>
    </row>
    <row r="3832" spans="1:3">
      <c r="A3832" t="s">
        <v>5491</v>
      </c>
      <c r="B3832">
        <v>400075</v>
      </c>
      <c r="C3832">
        <v>4000</v>
      </c>
    </row>
    <row r="3833" spans="1:3">
      <c r="A3833" t="s">
        <v>5492</v>
      </c>
      <c r="B3833">
        <v>400076</v>
      </c>
      <c r="C3833">
        <v>4000</v>
      </c>
    </row>
    <row r="3834" spans="1:3">
      <c r="A3834" t="s">
        <v>5493</v>
      </c>
      <c r="B3834">
        <v>420001</v>
      </c>
      <c r="C3834">
        <v>4200</v>
      </c>
    </row>
    <row r="3835" spans="1:3">
      <c r="A3835" t="s">
        <v>5494</v>
      </c>
      <c r="B3835">
        <v>420002</v>
      </c>
      <c r="C3835">
        <v>4200</v>
      </c>
    </row>
    <row r="3836" spans="1:3">
      <c r="A3836" t="s">
        <v>5495</v>
      </c>
      <c r="B3836">
        <v>420003</v>
      </c>
      <c r="C3836">
        <v>4200</v>
      </c>
    </row>
    <row r="3837" spans="1:3">
      <c r="A3837" t="s">
        <v>5496</v>
      </c>
      <c r="B3837">
        <v>420004</v>
      </c>
      <c r="C3837">
        <v>4200</v>
      </c>
    </row>
    <row r="3838" spans="1:3">
      <c r="A3838" t="s">
        <v>5497</v>
      </c>
      <c r="B3838">
        <v>430001</v>
      </c>
      <c r="C3838">
        <v>4300</v>
      </c>
    </row>
    <row r="3839" spans="1:3">
      <c r="A3839" t="s">
        <v>5498</v>
      </c>
      <c r="B3839">
        <v>430002</v>
      </c>
      <c r="C3839">
        <v>4300</v>
      </c>
    </row>
    <row r="3840" spans="1:3">
      <c r="A3840" t="s">
        <v>5499</v>
      </c>
      <c r="B3840">
        <v>430003</v>
      </c>
      <c r="C3840">
        <v>4300</v>
      </c>
    </row>
    <row r="3841" spans="1:3">
      <c r="A3841" t="s">
        <v>3500</v>
      </c>
      <c r="B3841">
        <v>430004</v>
      </c>
      <c r="C3841">
        <v>4300</v>
      </c>
    </row>
    <row r="3842" spans="1:3">
      <c r="A3842" t="s">
        <v>3501</v>
      </c>
      <c r="B3842">
        <v>430005</v>
      </c>
      <c r="C3842">
        <v>4300</v>
      </c>
    </row>
    <row r="3843" spans="1:3">
      <c r="A3843" t="s">
        <v>5500</v>
      </c>
      <c r="B3843">
        <v>430006</v>
      </c>
      <c r="C3843">
        <v>4300</v>
      </c>
    </row>
    <row r="3844" spans="1:3">
      <c r="A3844" t="s">
        <v>5501</v>
      </c>
      <c r="B3844">
        <v>430007</v>
      </c>
      <c r="C3844">
        <v>4300</v>
      </c>
    </row>
    <row r="3845" spans="1:3">
      <c r="A3845" t="s">
        <v>5502</v>
      </c>
      <c r="B3845">
        <v>430008</v>
      </c>
      <c r="C3845">
        <v>4300</v>
      </c>
    </row>
    <row r="3846" spans="1:3">
      <c r="A3846" t="s">
        <v>5503</v>
      </c>
      <c r="B3846">
        <v>430009</v>
      </c>
      <c r="C3846">
        <v>4300</v>
      </c>
    </row>
    <row r="3847" spans="1:3">
      <c r="A3847" t="s">
        <v>5504</v>
      </c>
      <c r="B3847">
        <v>430010</v>
      </c>
      <c r="C3847">
        <v>4300</v>
      </c>
    </row>
    <row r="3848" spans="1:3">
      <c r="A3848" t="s">
        <v>3522</v>
      </c>
      <c r="B3848">
        <v>430011</v>
      </c>
      <c r="C3848">
        <v>4300</v>
      </c>
    </row>
    <row r="3849" spans="1:3">
      <c r="A3849" t="s">
        <v>5505</v>
      </c>
      <c r="B3849">
        <v>430012</v>
      </c>
      <c r="C3849">
        <v>4300</v>
      </c>
    </row>
    <row r="3850" spans="1:3">
      <c r="A3850" t="s">
        <v>5506</v>
      </c>
      <c r="B3850">
        <v>430013</v>
      </c>
      <c r="C3850">
        <v>4300</v>
      </c>
    </row>
    <row r="3851" spans="1:3">
      <c r="A3851" t="s">
        <v>3523</v>
      </c>
      <c r="B3851">
        <v>430014</v>
      </c>
      <c r="C3851">
        <v>4300</v>
      </c>
    </row>
    <row r="3852" spans="1:3">
      <c r="A3852" t="s">
        <v>5507</v>
      </c>
      <c r="B3852">
        <v>430015</v>
      </c>
      <c r="C3852">
        <v>4300</v>
      </c>
    </row>
    <row r="3853" spans="1:3">
      <c r="A3853" t="s">
        <v>5508</v>
      </c>
      <c r="B3853">
        <v>430016</v>
      </c>
      <c r="C3853">
        <v>4300</v>
      </c>
    </row>
    <row r="3854" spans="1:3">
      <c r="A3854" t="s">
        <v>5509</v>
      </c>
      <c r="B3854">
        <v>430017</v>
      </c>
      <c r="C3854">
        <v>4300</v>
      </c>
    </row>
    <row r="3855" spans="1:3">
      <c r="A3855" t="s">
        <v>5510</v>
      </c>
      <c r="B3855">
        <v>430018</v>
      </c>
      <c r="C3855">
        <v>4300</v>
      </c>
    </row>
    <row r="3856" spans="1:3">
      <c r="A3856" t="s">
        <v>4473</v>
      </c>
      <c r="B3856">
        <v>430019</v>
      </c>
      <c r="C3856">
        <v>4300</v>
      </c>
    </row>
    <row r="3857" spans="1:3">
      <c r="A3857" t="s">
        <v>3507</v>
      </c>
      <c r="B3857">
        <v>430020</v>
      </c>
      <c r="C3857">
        <v>4300</v>
      </c>
    </row>
    <row r="3858" spans="1:3">
      <c r="A3858" t="s">
        <v>662</v>
      </c>
      <c r="B3858">
        <v>430021</v>
      </c>
      <c r="C3858">
        <v>4300</v>
      </c>
    </row>
    <row r="3859" spans="1:3">
      <c r="A3859" t="s">
        <v>3508</v>
      </c>
      <c r="B3859">
        <v>430022</v>
      </c>
      <c r="C3859">
        <v>4300</v>
      </c>
    </row>
    <row r="3860" spans="1:3">
      <c r="A3860" t="s">
        <v>3509</v>
      </c>
      <c r="B3860">
        <v>430023</v>
      </c>
      <c r="C3860">
        <v>4300</v>
      </c>
    </row>
    <row r="3861" spans="1:3">
      <c r="A3861" t="s">
        <v>3510</v>
      </c>
      <c r="B3861">
        <v>430024</v>
      </c>
      <c r="C3861">
        <v>4300</v>
      </c>
    </row>
    <row r="3862" spans="1:3">
      <c r="A3862" t="s">
        <v>3511</v>
      </c>
      <c r="B3862">
        <v>430025</v>
      </c>
      <c r="C3862">
        <v>4300</v>
      </c>
    </row>
    <row r="3863" spans="1:3">
      <c r="A3863" t="s">
        <v>3512</v>
      </c>
      <c r="B3863">
        <v>430026</v>
      </c>
      <c r="C3863">
        <v>4300</v>
      </c>
    </row>
    <row r="3864" spans="1:3">
      <c r="A3864" t="s">
        <v>3513</v>
      </c>
      <c r="B3864">
        <v>430027</v>
      </c>
      <c r="C3864">
        <v>4300</v>
      </c>
    </row>
    <row r="3865" spans="1:3">
      <c r="A3865" t="s">
        <v>3514</v>
      </c>
      <c r="B3865">
        <v>430028</v>
      </c>
      <c r="C3865">
        <v>4300</v>
      </c>
    </row>
    <row r="3866" spans="1:3">
      <c r="A3866" t="s">
        <v>3515</v>
      </c>
      <c r="B3866">
        <v>430029</v>
      </c>
      <c r="C3866">
        <v>4300</v>
      </c>
    </row>
    <row r="3867" spans="1:3">
      <c r="A3867" t="s">
        <v>3516</v>
      </c>
      <c r="B3867">
        <v>430030</v>
      </c>
      <c r="C3867">
        <v>4300</v>
      </c>
    </row>
    <row r="3868" spans="1:3">
      <c r="A3868" t="s">
        <v>3517</v>
      </c>
      <c r="B3868">
        <v>430031</v>
      </c>
      <c r="C3868">
        <v>4300</v>
      </c>
    </row>
    <row r="3869" spans="1:3">
      <c r="A3869" t="s">
        <v>3518</v>
      </c>
      <c r="B3869">
        <v>430032</v>
      </c>
      <c r="C3869">
        <v>4300</v>
      </c>
    </row>
    <row r="3870" spans="1:3">
      <c r="A3870" t="s">
        <v>3519</v>
      </c>
      <c r="B3870">
        <v>430033</v>
      </c>
      <c r="C3870">
        <v>4300</v>
      </c>
    </row>
    <row r="3871" spans="1:3">
      <c r="A3871" t="s">
        <v>3520</v>
      </c>
      <c r="B3871">
        <v>430034</v>
      </c>
      <c r="C3871">
        <v>4300</v>
      </c>
    </row>
    <row r="3872" spans="1:3">
      <c r="A3872" t="s">
        <v>3521</v>
      </c>
      <c r="B3872">
        <v>430035</v>
      </c>
      <c r="C3872">
        <v>4300</v>
      </c>
    </row>
    <row r="3873" spans="1:3">
      <c r="A3873" t="s">
        <v>5511</v>
      </c>
      <c r="B3873">
        <v>430036</v>
      </c>
      <c r="C3873">
        <v>4300</v>
      </c>
    </row>
    <row r="3874" spans="1:3">
      <c r="A3874" t="s">
        <v>5512</v>
      </c>
      <c r="B3874">
        <v>430037</v>
      </c>
      <c r="C3874">
        <v>4300</v>
      </c>
    </row>
    <row r="3875" spans="1:3">
      <c r="A3875" t="s">
        <v>5513</v>
      </c>
      <c r="B3875">
        <v>430038</v>
      </c>
      <c r="C3875">
        <v>4300</v>
      </c>
    </row>
    <row r="3876" spans="1:3">
      <c r="A3876" t="s">
        <v>5514</v>
      </c>
      <c r="B3876">
        <v>430039</v>
      </c>
      <c r="C3876">
        <v>4300</v>
      </c>
    </row>
    <row r="3877" spans="1:3">
      <c r="A3877" t="s">
        <v>5515</v>
      </c>
      <c r="B3877">
        <v>430040</v>
      </c>
      <c r="C3877">
        <v>4300</v>
      </c>
    </row>
    <row r="3878" spans="1:3">
      <c r="A3878" t="s">
        <v>5516</v>
      </c>
      <c r="B3878">
        <v>440001</v>
      </c>
      <c r="C3878">
        <v>4400</v>
      </c>
    </row>
    <row r="3879" spans="1:3">
      <c r="A3879" t="s">
        <v>5517</v>
      </c>
      <c r="B3879">
        <v>440002</v>
      </c>
      <c r="C3879">
        <v>4400</v>
      </c>
    </row>
    <row r="3880" spans="1:3">
      <c r="A3880" t="s">
        <v>5518</v>
      </c>
      <c r="B3880">
        <v>440003</v>
      </c>
      <c r="C3880">
        <v>4400</v>
      </c>
    </row>
    <row r="3881" spans="1:3">
      <c r="A3881" t="s">
        <v>5519</v>
      </c>
      <c r="B3881">
        <v>440004</v>
      </c>
      <c r="C3881">
        <v>4400</v>
      </c>
    </row>
    <row r="3882" spans="1:3">
      <c r="A3882" t="s">
        <v>5520</v>
      </c>
      <c r="B3882">
        <v>440005</v>
      </c>
      <c r="C3882">
        <v>4400</v>
      </c>
    </row>
    <row r="3883" spans="1:3">
      <c r="A3883" t="s">
        <v>5521</v>
      </c>
      <c r="B3883">
        <v>440006</v>
      </c>
      <c r="C3883">
        <v>4400</v>
      </c>
    </row>
    <row r="3884" spans="1:3">
      <c r="A3884" t="s">
        <v>3049</v>
      </c>
      <c r="B3884">
        <v>440007</v>
      </c>
      <c r="C3884">
        <v>4400</v>
      </c>
    </row>
    <row r="3885" spans="1:3">
      <c r="A3885" t="s">
        <v>3068</v>
      </c>
      <c r="B3885">
        <v>440008</v>
      </c>
      <c r="C3885">
        <v>4400</v>
      </c>
    </row>
    <row r="3886" spans="1:3">
      <c r="A3886" t="s">
        <v>5522</v>
      </c>
      <c r="B3886">
        <v>440009</v>
      </c>
      <c r="C3886">
        <v>4400</v>
      </c>
    </row>
    <row r="3887" spans="1:3">
      <c r="A3887" t="s">
        <v>5523</v>
      </c>
      <c r="B3887">
        <v>440010</v>
      </c>
      <c r="C3887">
        <v>4400</v>
      </c>
    </row>
    <row r="3888" spans="1:3">
      <c r="A3888" t="s">
        <v>5524</v>
      </c>
      <c r="B3888">
        <v>440011</v>
      </c>
      <c r="C3888">
        <v>4400</v>
      </c>
    </row>
    <row r="3889" spans="1:3">
      <c r="A3889" t="s">
        <v>5525</v>
      </c>
      <c r="B3889">
        <v>440012</v>
      </c>
      <c r="C3889">
        <v>4400</v>
      </c>
    </row>
    <row r="3890" spans="1:3">
      <c r="A3890" t="s">
        <v>5526</v>
      </c>
      <c r="B3890">
        <v>440013</v>
      </c>
      <c r="C3890">
        <v>4400</v>
      </c>
    </row>
    <row r="3891" spans="1:3">
      <c r="A3891" t="s">
        <v>5527</v>
      </c>
      <c r="B3891">
        <v>440014</v>
      </c>
      <c r="C3891">
        <v>4400</v>
      </c>
    </row>
    <row r="3892" spans="1:3">
      <c r="A3892" t="s">
        <v>3450</v>
      </c>
      <c r="B3892">
        <v>440015</v>
      </c>
      <c r="C3892">
        <v>4400</v>
      </c>
    </row>
    <row r="3893" spans="1:3">
      <c r="A3893" t="s">
        <v>5528</v>
      </c>
      <c r="B3893">
        <v>440016</v>
      </c>
      <c r="C3893">
        <v>4400</v>
      </c>
    </row>
    <row r="3894" spans="1:3">
      <c r="A3894" t="s">
        <v>5529</v>
      </c>
      <c r="B3894">
        <v>440017</v>
      </c>
      <c r="C3894">
        <v>4400</v>
      </c>
    </row>
    <row r="3895" spans="1:3">
      <c r="A3895" t="s">
        <v>5530</v>
      </c>
      <c r="B3895">
        <v>440018</v>
      </c>
      <c r="C3895">
        <v>4400</v>
      </c>
    </row>
    <row r="3896" spans="1:3">
      <c r="A3896" t="s">
        <v>5531</v>
      </c>
      <c r="B3896">
        <v>440019</v>
      </c>
      <c r="C3896">
        <v>4400</v>
      </c>
    </row>
    <row r="3897" spans="1:3">
      <c r="A3897" t="s">
        <v>5532</v>
      </c>
      <c r="B3897">
        <v>440020</v>
      </c>
      <c r="C3897">
        <v>4400</v>
      </c>
    </row>
    <row r="3898" spans="1:3">
      <c r="A3898" t="s">
        <v>5533</v>
      </c>
      <c r="B3898">
        <v>440021</v>
      </c>
      <c r="C3898">
        <v>4400</v>
      </c>
    </row>
    <row r="3899" spans="1:3">
      <c r="A3899" t="s">
        <v>5534</v>
      </c>
      <c r="B3899">
        <v>440022</v>
      </c>
      <c r="C3899">
        <v>4400</v>
      </c>
    </row>
    <row r="3900" spans="1:3">
      <c r="A3900" t="s">
        <v>5535</v>
      </c>
      <c r="B3900">
        <v>440023</v>
      </c>
      <c r="C3900">
        <v>4400</v>
      </c>
    </row>
    <row r="3901" spans="1:3">
      <c r="A3901" t="s">
        <v>5536</v>
      </c>
      <c r="B3901">
        <v>440024</v>
      </c>
      <c r="C3901">
        <v>4400</v>
      </c>
    </row>
    <row r="3902" spans="1:3">
      <c r="A3902" t="s">
        <v>5537</v>
      </c>
      <c r="B3902">
        <v>440025</v>
      </c>
      <c r="C3902">
        <v>4400</v>
      </c>
    </row>
    <row r="3903" spans="1:3">
      <c r="A3903" t="s">
        <v>5538</v>
      </c>
      <c r="B3903">
        <v>440026</v>
      </c>
      <c r="C3903">
        <v>4400</v>
      </c>
    </row>
    <row r="3904" spans="1:3">
      <c r="A3904" t="s">
        <v>5539</v>
      </c>
      <c r="B3904">
        <v>440027</v>
      </c>
      <c r="C3904">
        <v>4400</v>
      </c>
    </row>
    <row r="3905" spans="1:3">
      <c r="A3905" t="s">
        <v>503</v>
      </c>
      <c r="B3905">
        <v>450001</v>
      </c>
      <c r="C3905">
        <v>4500</v>
      </c>
    </row>
    <row r="3906" spans="1:3">
      <c r="A3906" t="s">
        <v>5540</v>
      </c>
      <c r="B3906">
        <v>450002</v>
      </c>
      <c r="C3906">
        <v>4500</v>
      </c>
    </row>
    <row r="3907" spans="1:3">
      <c r="A3907" t="s">
        <v>5541</v>
      </c>
      <c r="B3907">
        <v>450003</v>
      </c>
      <c r="C3907">
        <v>4500</v>
      </c>
    </row>
    <row r="3908" spans="1:3">
      <c r="A3908" t="s">
        <v>5542</v>
      </c>
      <c r="B3908">
        <v>450004</v>
      </c>
      <c r="C3908">
        <v>4500</v>
      </c>
    </row>
    <row r="3909" spans="1:3">
      <c r="A3909" t="s">
        <v>5543</v>
      </c>
      <c r="B3909">
        <v>450005</v>
      </c>
      <c r="C3909">
        <v>4500</v>
      </c>
    </row>
    <row r="3910" spans="1:3">
      <c r="A3910" t="s">
        <v>5544</v>
      </c>
      <c r="B3910">
        <v>450006</v>
      </c>
      <c r="C3910">
        <v>4500</v>
      </c>
    </row>
    <row r="3911" spans="1:3">
      <c r="A3911" t="s">
        <v>5545</v>
      </c>
      <c r="B3911">
        <v>450007</v>
      </c>
      <c r="C3911">
        <v>4500</v>
      </c>
    </row>
    <row r="3912" spans="1:3">
      <c r="A3912" t="s">
        <v>5546</v>
      </c>
      <c r="B3912">
        <v>450008</v>
      </c>
      <c r="C3912">
        <v>4500</v>
      </c>
    </row>
    <row r="3913" spans="1:3">
      <c r="A3913" t="s">
        <v>5547</v>
      </c>
      <c r="B3913">
        <v>450009</v>
      </c>
      <c r="C3913">
        <v>4500</v>
      </c>
    </row>
    <row r="3914" spans="1:3">
      <c r="A3914" t="s">
        <v>5548</v>
      </c>
      <c r="B3914">
        <v>450010</v>
      </c>
      <c r="C3914">
        <v>4500</v>
      </c>
    </row>
    <row r="3915" spans="1:3">
      <c r="A3915" t="s">
        <v>5549</v>
      </c>
      <c r="B3915">
        <v>450011</v>
      </c>
      <c r="C3915">
        <v>4500</v>
      </c>
    </row>
    <row r="3916" spans="1:3">
      <c r="A3916" t="s">
        <v>5550</v>
      </c>
      <c r="B3916">
        <v>450012</v>
      </c>
      <c r="C3916">
        <v>4500</v>
      </c>
    </row>
    <row r="3917" spans="1:3">
      <c r="A3917" t="s">
        <v>5551</v>
      </c>
      <c r="B3917">
        <v>450013</v>
      </c>
      <c r="C3917">
        <v>4500</v>
      </c>
    </row>
    <row r="3918" spans="1:3">
      <c r="A3918" t="s">
        <v>5552</v>
      </c>
      <c r="B3918">
        <v>450014</v>
      </c>
      <c r="C3918">
        <v>4500</v>
      </c>
    </row>
    <row r="3919" spans="1:3">
      <c r="A3919" t="s">
        <v>5553</v>
      </c>
      <c r="B3919">
        <v>450015</v>
      </c>
      <c r="C3919">
        <v>4500</v>
      </c>
    </row>
    <row r="3920" spans="1:3">
      <c r="A3920" t="s">
        <v>5554</v>
      </c>
      <c r="B3920">
        <v>450016</v>
      </c>
      <c r="C3920">
        <v>4500</v>
      </c>
    </row>
    <row r="3921" spans="1:3">
      <c r="A3921" t="s">
        <v>5555</v>
      </c>
      <c r="B3921">
        <v>450017</v>
      </c>
      <c r="C3921">
        <v>4500</v>
      </c>
    </row>
    <row r="3922" spans="1:3">
      <c r="A3922" t="s">
        <v>5556</v>
      </c>
      <c r="B3922">
        <v>450018</v>
      </c>
      <c r="C3922">
        <v>4500</v>
      </c>
    </row>
    <row r="3923" spans="1:3">
      <c r="A3923" t="s">
        <v>5557</v>
      </c>
      <c r="B3923">
        <v>450019</v>
      </c>
      <c r="C3923">
        <v>4500</v>
      </c>
    </row>
    <row r="3924" spans="1:3">
      <c r="A3924" t="s">
        <v>5558</v>
      </c>
      <c r="B3924">
        <v>450020</v>
      </c>
      <c r="C3924">
        <v>4500</v>
      </c>
    </row>
    <row r="3925" spans="1:3">
      <c r="A3925" t="s">
        <v>5559</v>
      </c>
      <c r="B3925">
        <v>450021</v>
      </c>
      <c r="C3925">
        <v>4500</v>
      </c>
    </row>
    <row r="3926" spans="1:3">
      <c r="A3926" t="s">
        <v>565</v>
      </c>
      <c r="B3926">
        <v>460001</v>
      </c>
      <c r="C3926">
        <v>4600</v>
      </c>
    </row>
    <row r="3927" spans="1:3">
      <c r="A3927" t="s">
        <v>5560</v>
      </c>
      <c r="B3927">
        <v>460002</v>
      </c>
      <c r="C3927">
        <v>4600</v>
      </c>
    </row>
    <row r="3928" spans="1:3">
      <c r="A3928" t="s">
        <v>5561</v>
      </c>
      <c r="B3928">
        <v>460003</v>
      </c>
      <c r="C3928">
        <v>4600</v>
      </c>
    </row>
    <row r="3929" spans="1:3">
      <c r="A3929" t="s">
        <v>2796</v>
      </c>
      <c r="B3929">
        <v>460004</v>
      </c>
      <c r="C3929">
        <v>4600</v>
      </c>
    </row>
    <row r="3930" spans="1:3">
      <c r="A3930" t="s">
        <v>836</v>
      </c>
      <c r="B3930">
        <v>460005</v>
      </c>
      <c r="C3930">
        <v>4600</v>
      </c>
    </row>
    <row r="3931" spans="1:3">
      <c r="A3931" t="s">
        <v>5562</v>
      </c>
      <c r="B3931">
        <v>460006</v>
      </c>
      <c r="C3931">
        <v>4600</v>
      </c>
    </row>
    <row r="3932" spans="1:3">
      <c r="A3932" t="s">
        <v>5563</v>
      </c>
      <c r="B3932">
        <v>460007</v>
      </c>
      <c r="C3932">
        <v>4600</v>
      </c>
    </row>
    <row r="3933" spans="1:3">
      <c r="A3933" t="s">
        <v>5564</v>
      </c>
      <c r="B3933">
        <v>460008</v>
      </c>
      <c r="C3933">
        <v>4600</v>
      </c>
    </row>
    <row r="3934" spans="1:3">
      <c r="A3934" t="s">
        <v>5565</v>
      </c>
      <c r="B3934">
        <v>460009</v>
      </c>
      <c r="C3934">
        <v>4600</v>
      </c>
    </row>
    <row r="3935" spans="1:3">
      <c r="A3935" t="s">
        <v>3243</v>
      </c>
      <c r="B3935">
        <v>460010</v>
      </c>
      <c r="C3935">
        <v>4600</v>
      </c>
    </row>
    <row r="3936" spans="1:3">
      <c r="A3936" t="s">
        <v>3249</v>
      </c>
      <c r="B3936">
        <v>460011</v>
      </c>
      <c r="C3936">
        <v>4600</v>
      </c>
    </row>
    <row r="3937" spans="1:3">
      <c r="A3937" t="s">
        <v>5566</v>
      </c>
      <c r="B3937">
        <v>460012</v>
      </c>
      <c r="C3937">
        <v>4600</v>
      </c>
    </row>
    <row r="3938" spans="1:3">
      <c r="A3938" t="s">
        <v>1473</v>
      </c>
      <c r="B3938">
        <v>460013</v>
      </c>
      <c r="C3938">
        <v>4600</v>
      </c>
    </row>
    <row r="3939" spans="1:3">
      <c r="A3939" t="s">
        <v>3320</v>
      </c>
      <c r="B3939">
        <v>460014</v>
      </c>
      <c r="C3939">
        <v>4600</v>
      </c>
    </row>
    <row r="3940" spans="1:3">
      <c r="A3940" t="s">
        <v>5567</v>
      </c>
      <c r="B3940">
        <v>460015</v>
      </c>
      <c r="C3940">
        <v>4600</v>
      </c>
    </row>
    <row r="3941" spans="1:3">
      <c r="A3941" t="s">
        <v>3306</v>
      </c>
      <c r="B3941">
        <v>460016</v>
      </c>
      <c r="C3941">
        <v>4600</v>
      </c>
    </row>
    <row r="3942" spans="1:3">
      <c r="A3942" t="s">
        <v>3307</v>
      </c>
      <c r="B3942">
        <v>460017</v>
      </c>
      <c r="C3942">
        <v>4600</v>
      </c>
    </row>
    <row r="3943" spans="1:3">
      <c r="A3943" t="s">
        <v>2797</v>
      </c>
      <c r="B3943">
        <v>460018</v>
      </c>
      <c r="C3943">
        <v>4600</v>
      </c>
    </row>
    <row r="3944" spans="1:3">
      <c r="A3944" t="s">
        <v>5568</v>
      </c>
      <c r="B3944">
        <v>460019</v>
      </c>
      <c r="C3944">
        <v>4600</v>
      </c>
    </row>
    <row r="3945" spans="1:3">
      <c r="A3945" t="s">
        <v>5569</v>
      </c>
      <c r="B3945">
        <v>460020</v>
      </c>
      <c r="C3945">
        <v>4600</v>
      </c>
    </row>
    <row r="3946" spans="1:3">
      <c r="A3946" t="s">
        <v>3240</v>
      </c>
      <c r="B3946">
        <v>460021</v>
      </c>
      <c r="C3946">
        <v>4600</v>
      </c>
    </row>
    <row r="3947" spans="1:3">
      <c r="A3947" t="s">
        <v>3012</v>
      </c>
      <c r="B3947">
        <v>460022</v>
      </c>
      <c r="C3947">
        <v>4600</v>
      </c>
    </row>
    <row r="3948" spans="1:3">
      <c r="A3948" t="s">
        <v>5570</v>
      </c>
      <c r="B3948">
        <v>460023</v>
      </c>
      <c r="C3948">
        <v>4600</v>
      </c>
    </row>
    <row r="3949" spans="1:3">
      <c r="A3949" t="s">
        <v>5571</v>
      </c>
      <c r="B3949">
        <v>460024</v>
      </c>
      <c r="C3949">
        <v>4600</v>
      </c>
    </row>
    <row r="3950" spans="1:3">
      <c r="A3950" t="s">
        <v>3267</v>
      </c>
      <c r="B3950">
        <v>460025</v>
      </c>
      <c r="C3950">
        <v>4600</v>
      </c>
    </row>
    <row r="3951" spans="1:3">
      <c r="A3951" t="s">
        <v>5572</v>
      </c>
      <c r="B3951">
        <v>460026</v>
      </c>
      <c r="C3951">
        <v>4600</v>
      </c>
    </row>
    <row r="3952" spans="1:3">
      <c r="A3952" t="s">
        <v>5573</v>
      </c>
      <c r="B3952">
        <v>460027</v>
      </c>
      <c r="C3952">
        <v>4600</v>
      </c>
    </row>
    <row r="3953" spans="1:3">
      <c r="A3953" t="s">
        <v>2948</v>
      </c>
      <c r="B3953">
        <v>460028</v>
      </c>
      <c r="C3953">
        <v>4600</v>
      </c>
    </row>
    <row r="3954" spans="1:3">
      <c r="A3954" t="s">
        <v>5574</v>
      </c>
      <c r="B3954">
        <v>460029</v>
      </c>
      <c r="C3954">
        <v>4600</v>
      </c>
    </row>
    <row r="3955" spans="1:3">
      <c r="A3955" t="s">
        <v>5575</v>
      </c>
      <c r="B3955">
        <v>460030</v>
      </c>
      <c r="C3955">
        <v>4600</v>
      </c>
    </row>
    <row r="3956" spans="1:3">
      <c r="A3956" t="s">
        <v>5576</v>
      </c>
      <c r="B3956">
        <v>460031</v>
      </c>
      <c r="C3956">
        <v>4600</v>
      </c>
    </row>
    <row r="3957" spans="1:3">
      <c r="A3957" t="s">
        <v>3340</v>
      </c>
      <c r="B3957">
        <v>460032</v>
      </c>
      <c r="C3957">
        <v>4600</v>
      </c>
    </row>
    <row r="3958" spans="1:3">
      <c r="A3958" t="s">
        <v>5577</v>
      </c>
      <c r="B3958">
        <v>460033</v>
      </c>
      <c r="C3958">
        <v>4600</v>
      </c>
    </row>
    <row r="3959" spans="1:3">
      <c r="A3959" t="s">
        <v>3246</v>
      </c>
      <c r="B3959">
        <v>460034</v>
      </c>
      <c r="C3959">
        <v>4600</v>
      </c>
    </row>
    <row r="3960" spans="1:3">
      <c r="A3960" t="s">
        <v>3247</v>
      </c>
      <c r="B3960">
        <v>460035</v>
      </c>
      <c r="C3960">
        <v>4600</v>
      </c>
    </row>
    <row r="3961" spans="1:3">
      <c r="A3961" t="s">
        <v>3248</v>
      </c>
      <c r="B3961">
        <v>460036</v>
      </c>
      <c r="C3961">
        <v>4600</v>
      </c>
    </row>
    <row r="3962" spans="1:3">
      <c r="A3962" t="s">
        <v>3321</v>
      </c>
      <c r="B3962">
        <v>460037</v>
      </c>
      <c r="C3962">
        <v>4600</v>
      </c>
    </row>
    <row r="3963" spans="1:3">
      <c r="A3963" t="s">
        <v>3322</v>
      </c>
      <c r="B3963">
        <v>460038</v>
      </c>
      <c r="C3963">
        <v>4600</v>
      </c>
    </row>
    <row r="3964" spans="1:3">
      <c r="A3964" t="s">
        <v>5578</v>
      </c>
      <c r="B3964">
        <v>460039</v>
      </c>
      <c r="C3964">
        <v>4600</v>
      </c>
    </row>
    <row r="3965" spans="1:3">
      <c r="A3965" t="s">
        <v>5579</v>
      </c>
      <c r="B3965">
        <v>460040</v>
      </c>
      <c r="C3965">
        <v>4600</v>
      </c>
    </row>
    <row r="3966" spans="1:3">
      <c r="A3966" t="s">
        <v>3294</v>
      </c>
      <c r="B3966">
        <v>460041</v>
      </c>
      <c r="C3966">
        <v>4600</v>
      </c>
    </row>
    <row r="3967" spans="1:3">
      <c r="A3967" t="s">
        <v>5580</v>
      </c>
      <c r="B3967">
        <v>460042</v>
      </c>
      <c r="C3967">
        <v>4600</v>
      </c>
    </row>
    <row r="3968" spans="1:3">
      <c r="A3968" t="s">
        <v>5581</v>
      </c>
      <c r="B3968">
        <v>460043</v>
      </c>
      <c r="C3968">
        <v>4600</v>
      </c>
    </row>
    <row r="3969" spans="1:3">
      <c r="A3969" t="s">
        <v>5582</v>
      </c>
      <c r="B3969">
        <v>460044</v>
      </c>
      <c r="C3969">
        <v>4600</v>
      </c>
    </row>
    <row r="3970" spans="1:3">
      <c r="A3970" t="s">
        <v>5583</v>
      </c>
      <c r="B3970">
        <v>460045</v>
      </c>
      <c r="C3970">
        <v>4600</v>
      </c>
    </row>
    <row r="3971" spans="1:3">
      <c r="A3971" t="s">
        <v>5584</v>
      </c>
      <c r="B3971">
        <v>460046</v>
      </c>
      <c r="C3971">
        <v>4600</v>
      </c>
    </row>
    <row r="3972" spans="1:3">
      <c r="A3972" t="s">
        <v>2943</v>
      </c>
      <c r="B3972">
        <v>460047</v>
      </c>
      <c r="C3972">
        <v>4600</v>
      </c>
    </row>
    <row r="3973" spans="1:3">
      <c r="A3973" t="s">
        <v>2944</v>
      </c>
      <c r="B3973">
        <v>460048</v>
      </c>
      <c r="C3973">
        <v>4600</v>
      </c>
    </row>
    <row r="3974" spans="1:3">
      <c r="A3974" t="s">
        <v>5585</v>
      </c>
      <c r="B3974">
        <v>460049</v>
      </c>
      <c r="C3974">
        <v>4600</v>
      </c>
    </row>
    <row r="3975" spans="1:3">
      <c r="A3975" t="s">
        <v>5586</v>
      </c>
      <c r="B3975">
        <v>460050</v>
      </c>
      <c r="C3975">
        <v>4600</v>
      </c>
    </row>
    <row r="3976" spans="1:3">
      <c r="A3976" t="s">
        <v>5587</v>
      </c>
      <c r="B3976">
        <v>460051</v>
      </c>
      <c r="C3976">
        <v>4600</v>
      </c>
    </row>
    <row r="3977" spans="1:3">
      <c r="A3977" t="s">
        <v>3338</v>
      </c>
      <c r="B3977">
        <v>460052</v>
      </c>
      <c r="C3977">
        <v>4600</v>
      </c>
    </row>
    <row r="3978" spans="1:3">
      <c r="A3978" t="s">
        <v>5588</v>
      </c>
      <c r="B3978">
        <v>460053</v>
      </c>
      <c r="C3978">
        <v>4600</v>
      </c>
    </row>
    <row r="3979" spans="1:3">
      <c r="A3979" t="s">
        <v>3037</v>
      </c>
      <c r="B3979">
        <v>460054</v>
      </c>
      <c r="C3979">
        <v>4600</v>
      </c>
    </row>
    <row r="3980" spans="1:3">
      <c r="A3980" t="s">
        <v>3038</v>
      </c>
      <c r="B3980">
        <v>460055</v>
      </c>
      <c r="C3980">
        <v>4600</v>
      </c>
    </row>
    <row r="3981" spans="1:3">
      <c r="A3981" t="s">
        <v>3053</v>
      </c>
      <c r="B3981">
        <v>460056</v>
      </c>
      <c r="C3981">
        <v>4600</v>
      </c>
    </row>
    <row r="3982" spans="1:3">
      <c r="A3982" t="s">
        <v>3245</v>
      </c>
      <c r="B3982">
        <v>460057</v>
      </c>
      <c r="C3982">
        <v>4600</v>
      </c>
    </row>
    <row r="3983" spans="1:3">
      <c r="A3983" t="s">
        <v>5589</v>
      </c>
      <c r="B3983">
        <v>460058</v>
      </c>
      <c r="C3983">
        <v>4600</v>
      </c>
    </row>
    <row r="3984" spans="1:3">
      <c r="A3984" t="s">
        <v>5590</v>
      </c>
      <c r="B3984">
        <v>460059</v>
      </c>
      <c r="C3984">
        <v>4600</v>
      </c>
    </row>
    <row r="3985" spans="1:3">
      <c r="A3985" t="s">
        <v>5591</v>
      </c>
      <c r="B3985">
        <v>460060</v>
      </c>
      <c r="C3985">
        <v>4600</v>
      </c>
    </row>
    <row r="3986" spans="1:3">
      <c r="A3986" t="s">
        <v>5592</v>
      </c>
      <c r="B3986">
        <v>460061</v>
      </c>
      <c r="C3986">
        <v>4600</v>
      </c>
    </row>
    <row r="3987" spans="1:3">
      <c r="A3987" t="s">
        <v>5593</v>
      </c>
      <c r="B3987">
        <v>460062</v>
      </c>
      <c r="C3987">
        <v>4600</v>
      </c>
    </row>
    <row r="3988" spans="1:3">
      <c r="A3988" t="s">
        <v>5594</v>
      </c>
      <c r="B3988">
        <v>460063</v>
      </c>
      <c r="C3988">
        <v>4600</v>
      </c>
    </row>
    <row r="3989" spans="1:3">
      <c r="A3989" t="s">
        <v>5595</v>
      </c>
      <c r="B3989">
        <v>460064</v>
      </c>
      <c r="C3989">
        <v>4600</v>
      </c>
    </row>
    <row r="3990" spans="1:3">
      <c r="A3990" t="s">
        <v>5596</v>
      </c>
      <c r="B3990">
        <v>460065</v>
      </c>
      <c r="C3990">
        <v>4600</v>
      </c>
    </row>
    <row r="3991" spans="1:3">
      <c r="A3991" t="s">
        <v>5597</v>
      </c>
      <c r="B3991">
        <v>460066</v>
      </c>
      <c r="C3991">
        <v>4600</v>
      </c>
    </row>
    <row r="3992" spans="1:3">
      <c r="A3992" t="s">
        <v>5598</v>
      </c>
      <c r="B3992">
        <v>460067</v>
      </c>
      <c r="C3992">
        <v>4600</v>
      </c>
    </row>
    <row r="3993" spans="1:3">
      <c r="A3993" t="s">
        <v>5599</v>
      </c>
      <c r="B3993">
        <v>460068</v>
      </c>
      <c r="C3993">
        <v>4600</v>
      </c>
    </row>
    <row r="3994" spans="1:3">
      <c r="A3994" t="s">
        <v>5600</v>
      </c>
      <c r="B3994">
        <v>460069</v>
      </c>
      <c r="C3994">
        <v>4600</v>
      </c>
    </row>
    <row r="3995" spans="1:3">
      <c r="A3995" t="s">
        <v>5601</v>
      </c>
      <c r="B3995">
        <v>460070</v>
      </c>
      <c r="C3995">
        <v>4600</v>
      </c>
    </row>
    <row r="3996" spans="1:3">
      <c r="A3996" t="s">
        <v>5602</v>
      </c>
      <c r="B3996">
        <v>460071</v>
      </c>
      <c r="C3996">
        <v>4600</v>
      </c>
    </row>
    <row r="3997" spans="1:3">
      <c r="A3997" t="s">
        <v>5603</v>
      </c>
      <c r="B3997">
        <v>460072</v>
      </c>
      <c r="C3997">
        <v>4600</v>
      </c>
    </row>
    <row r="3998" spans="1:3">
      <c r="A3998" t="s">
        <v>5604</v>
      </c>
      <c r="B3998">
        <v>460073</v>
      </c>
      <c r="C3998">
        <v>4600</v>
      </c>
    </row>
    <row r="3999" spans="1:3">
      <c r="A3999" t="s">
        <v>5605</v>
      </c>
      <c r="B3999">
        <v>460074</v>
      </c>
      <c r="C3999">
        <v>4600</v>
      </c>
    </row>
    <row r="4000" spans="1:3">
      <c r="A4000" t="s">
        <v>5606</v>
      </c>
      <c r="B4000">
        <v>460075</v>
      </c>
      <c r="C4000">
        <v>4600</v>
      </c>
    </row>
    <row r="4001" spans="1:3">
      <c r="A4001" t="s">
        <v>5607</v>
      </c>
      <c r="B4001">
        <v>460076</v>
      </c>
      <c r="C4001">
        <v>4600</v>
      </c>
    </row>
    <row r="4002" spans="1:3">
      <c r="A4002" t="s">
        <v>5608</v>
      </c>
      <c r="B4002">
        <v>460077</v>
      </c>
      <c r="C4002">
        <v>4600</v>
      </c>
    </row>
    <row r="4003" spans="1:3">
      <c r="A4003" t="s">
        <v>5609</v>
      </c>
      <c r="B4003">
        <v>460078</v>
      </c>
      <c r="C4003">
        <v>4600</v>
      </c>
    </row>
    <row r="4004" spans="1:3">
      <c r="A4004" t="s">
        <v>5610</v>
      </c>
      <c r="B4004">
        <v>460079</v>
      </c>
      <c r="C4004">
        <v>4600</v>
      </c>
    </row>
    <row r="4005" spans="1:3">
      <c r="A4005" t="s">
        <v>5611</v>
      </c>
      <c r="B4005">
        <v>460080</v>
      </c>
      <c r="C4005">
        <v>4600</v>
      </c>
    </row>
    <row r="4006" spans="1:3">
      <c r="A4006" t="s">
        <v>3342</v>
      </c>
      <c r="B4006">
        <v>460081</v>
      </c>
      <c r="C4006">
        <v>4600</v>
      </c>
    </row>
    <row r="4007" spans="1:3">
      <c r="A4007" t="s">
        <v>5612</v>
      </c>
      <c r="B4007">
        <v>460082</v>
      </c>
      <c r="C4007">
        <v>4600</v>
      </c>
    </row>
    <row r="4008" spans="1:3">
      <c r="A4008" t="s">
        <v>5613</v>
      </c>
      <c r="B4008">
        <v>460083</v>
      </c>
      <c r="C4008">
        <v>4600</v>
      </c>
    </row>
    <row r="4009" spans="1:3">
      <c r="A4009" t="s">
        <v>5614</v>
      </c>
      <c r="B4009">
        <v>460084</v>
      </c>
      <c r="C4009">
        <v>4600</v>
      </c>
    </row>
    <row r="4010" spans="1:3">
      <c r="A4010" t="s">
        <v>5615</v>
      </c>
      <c r="B4010">
        <v>460085</v>
      </c>
      <c r="C4010">
        <v>4600</v>
      </c>
    </row>
    <row r="4011" spans="1:3">
      <c r="A4011" t="s">
        <v>5616</v>
      </c>
      <c r="B4011">
        <v>460086</v>
      </c>
      <c r="C4011">
        <v>4600</v>
      </c>
    </row>
    <row r="4012" spans="1:3">
      <c r="A4012" t="s">
        <v>5617</v>
      </c>
      <c r="B4012">
        <v>460087</v>
      </c>
      <c r="C4012">
        <v>4600</v>
      </c>
    </row>
    <row r="4013" spans="1:3">
      <c r="A4013" t="s">
        <v>5618</v>
      </c>
      <c r="B4013">
        <v>460088</v>
      </c>
      <c r="C4013">
        <v>4600</v>
      </c>
    </row>
    <row r="4014" spans="1:3">
      <c r="A4014" t="s">
        <v>5619</v>
      </c>
      <c r="B4014">
        <v>460089</v>
      </c>
      <c r="C4014">
        <v>4600</v>
      </c>
    </row>
    <row r="4015" spans="1:3">
      <c r="A4015" t="s">
        <v>5620</v>
      </c>
      <c r="B4015">
        <v>460090</v>
      </c>
      <c r="C4015">
        <v>4600</v>
      </c>
    </row>
    <row r="4016" spans="1:3">
      <c r="A4016" t="s">
        <v>5621</v>
      </c>
      <c r="B4016">
        <v>460091</v>
      </c>
      <c r="C4016">
        <v>4600</v>
      </c>
    </row>
    <row r="4017" spans="1:3">
      <c r="A4017" t="s">
        <v>5622</v>
      </c>
      <c r="B4017">
        <v>460092</v>
      </c>
      <c r="C4017">
        <v>4600</v>
      </c>
    </row>
    <row r="4018" spans="1:3">
      <c r="A4018" t="s">
        <v>5623</v>
      </c>
      <c r="B4018">
        <v>460093</v>
      </c>
      <c r="C4018">
        <v>4600</v>
      </c>
    </row>
    <row r="4019" spans="1:3">
      <c r="A4019" t="s">
        <v>5624</v>
      </c>
      <c r="B4019">
        <v>460094</v>
      </c>
      <c r="C4019">
        <v>4600</v>
      </c>
    </row>
    <row r="4020" spans="1:3">
      <c r="A4020" t="s">
        <v>5625</v>
      </c>
      <c r="B4020">
        <v>460095</v>
      </c>
      <c r="C4020">
        <v>4600</v>
      </c>
    </row>
    <row r="4021" spans="1:3">
      <c r="A4021" t="s">
        <v>5626</v>
      </c>
      <c r="B4021">
        <v>460096</v>
      </c>
      <c r="C4021">
        <v>4600</v>
      </c>
    </row>
    <row r="4022" spans="1:3">
      <c r="A4022" t="s">
        <v>5627</v>
      </c>
      <c r="B4022">
        <v>460097</v>
      </c>
      <c r="C4022">
        <v>4600</v>
      </c>
    </row>
    <row r="4023" spans="1:3">
      <c r="A4023" t="s">
        <v>5628</v>
      </c>
      <c r="B4023">
        <v>460098</v>
      </c>
      <c r="C4023">
        <v>4600</v>
      </c>
    </row>
    <row r="4024" spans="1:3">
      <c r="A4024" t="s">
        <v>5629</v>
      </c>
      <c r="B4024">
        <v>460099</v>
      </c>
      <c r="C4024">
        <v>4600</v>
      </c>
    </row>
    <row r="4025" spans="1:3">
      <c r="A4025" t="s">
        <v>5630</v>
      </c>
      <c r="B4025">
        <v>460100</v>
      </c>
      <c r="C4025">
        <v>4600</v>
      </c>
    </row>
    <row r="4026" spans="1:3">
      <c r="A4026" t="s">
        <v>5631</v>
      </c>
      <c r="B4026">
        <v>460101</v>
      </c>
      <c r="C4026">
        <v>4600</v>
      </c>
    </row>
    <row r="4027" spans="1:3">
      <c r="A4027" t="s">
        <v>5632</v>
      </c>
      <c r="B4027">
        <v>460102</v>
      </c>
      <c r="C4027">
        <v>4600</v>
      </c>
    </row>
    <row r="4028" spans="1:3">
      <c r="A4028" t="s">
        <v>5633</v>
      </c>
      <c r="B4028">
        <v>460103</v>
      </c>
      <c r="C4028">
        <v>4600</v>
      </c>
    </row>
    <row r="4029" spans="1:3">
      <c r="A4029" t="s">
        <v>5634</v>
      </c>
      <c r="B4029">
        <v>460104</v>
      </c>
      <c r="C4029">
        <v>4600</v>
      </c>
    </row>
    <row r="4030" spans="1:3">
      <c r="A4030" t="s">
        <v>5635</v>
      </c>
      <c r="B4030">
        <v>460105</v>
      </c>
      <c r="C4030">
        <v>4600</v>
      </c>
    </row>
    <row r="4031" spans="1:3">
      <c r="A4031" t="s">
        <v>5636</v>
      </c>
      <c r="B4031">
        <v>460106</v>
      </c>
      <c r="C4031">
        <v>4600</v>
      </c>
    </row>
    <row r="4032" spans="1:3">
      <c r="A4032" t="s">
        <v>5637</v>
      </c>
      <c r="B4032">
        <v>460107</v>
      </c>
      <c r="C4032">
        <v>4600</v>
      </c>
    </row>
    <row r="4033" spans="1:3">
      <c r="A4033" t="s">
        <v>5638</v>
      </c>
      <c r="B4033">
        <v>460108</v>
      </c>
      <c r="C4033">
        <v>4600</v>
      </c>
    </row>
    <row r="4034" spans="1:3">
      <c r="A4034" t="s">
        <v>5639</v>
      </c>
      <c r="B4034">
        <v>460109</v>
      </c>
      <c r="C4034">
        <v>4600</v>
      </c>
    </row>
    <row r="4035" spans="1:3">
      <c r="A4035" t="s">
        <v>5640</v>
      </c>
      <c r="B4035">
        <v>460110</v>
      </c>
      <c r="C4035">
        <v>4600</v>
      </c>
    </row>
    <row r="4036" spans="1:3">
      <c r="A4036" t="s">
        <v>5641</v>
      </c>
      <c r="B4036">
        <v>460111</v>
      </c>
      <c r="C4036">
        <v>4600</v>
      </c>
    </row>
    <row r="4037" spans="1:3">
      <c r="A4037" t="s">
        <v>5642</v>
      </c>
      <c r="B4037">
        <v>460112</v>
      </c>
      <c r="C4037">
        <v>4600</v>
      </c>
    </row>
    <row r="4038" spans="1:3">
      <c r="A4038" t="s">
        <v>5643</v>
      </c>
      <c r="B4038">
        <v>460113</v>
      </c>
      <c r="C4038">
        <v>4600</v>
      </c>
    </row>
    <row r="4039" spans="1:3">
      <c r="A4039" t="s">
        <v>5644</v>
      </c>
      <c r="B4039">
        <v>460114</v>
      </c>
      <c r="C4039">
        <v>4600</v>
      </c>
    </row>
    <row r="4040" spans="1:3">
      <c r="A4040" t="s">
        <v>5645</v>
      </c>
      <c r="B4040">
        <v>460115</v>
      </c>
      <c r="C4040">
        <v>4600</v>
      </c>
    </row>
    <row r="4041" spans="1:3">
      <c r="A4041" t="s">
        <v>3178</v>
      </c>
      <c r="B4041">
        <v>460116</v>
      </c>
      <c r="C4041">
        <v>4600</v>
      </c>
    </row>
    <row r="4042" spans="1:3">
      <c r="A4042" t="s">
        <v>5646</v>
      </c>
      <c r="B4042">
        <v>460117</v>
      </c>
      <c r="C4042">
        <v>4600</v>
      </c>
    </row>
    <row r="4043" spans="1:3">
      <c r="A4043" t="s">
        <v>5647</v>
      </c>
      <c r="B4043">
        <v>460118</v>
      </c>
      <c r="C4043">
        <v>4600</v>
      </c>
    </row>
    <row r="4044" spans="1:3">
      <c r="A4044" t="s">
        <v>5648</v>
      </c>
      <c r="B4044">
        <v>460119</v>
      </c>
      <c r="C4044">
        <v>4600</v>
      </c>
    </row>
    <row r="4045" spans="1:3">
      <c r="A4045" t="s">
        <v>5649</v>
      </c>
      <c r="B4045">
        <v>460120</v>
      </c>
      <c r="C4045">
        <v>4600</v>
      </c>
    </row>
    <row r="4046" spans="1:3">
      <c r="A4046" t="s">
        <v>5650</v>
      </c>
      <c r="B4046">
        <v>460121</v>
      </c>
      <c r="C4046">
        <v>4600</v>
      </c>
    </row>
    <row r="4047" spans="1:3">
      <c r="A4047" t="s">
        <v>5651</v>
      </c>
      <c r="B4047">
        <v>460122</v>
      </c>
      <c r="C4047">
        <v>4600</v>
      </c>
    </row>
    <row r="4048" spans="1:3">
      <c r="A4048" t="s">
        <v>5652</v>
      </c>
      <c r="B4048">
        <v>460123</v>
      </c>
      <c r="C4048">
        <v>4600</v>
      </c>
    </row>
    <row r="4049" spans="1:3">
      <c r="A4049" t="s">
        <v>5653</v>
      </c>
      <c r="B4049">
        <v>460124</v>
      </c>
      <c r="C4049">
        <v>4600</v>
      </c>
    </row>
    <row r="4050" spans="1:3">
      <c r="A4050" t="s">
        <v>5654</v>
      </c>
      <c r="B4050">
        <v>460125</v>
      </c>
      <c r="C4050">
        <v>4600</v>
      </c>
    </row>
    <row r="4051" spans="1:3">
      <c r="A4051" t="s">
        <v>5655</v>
      </c>
      <c r="B4051">
        <v>460126</v>
      </c>
      <c r="C4051">
        <v>4600</v>
      </c>
    </row>
    <row r="4052" spans="1:3">
      <c r="A4052" t="s">
        <v>5656</v>
      </c>
      <c r="B4052">
        <v>460127</v>
      </c>
      <c r="C4052">
        <v>4600</v>
      </c>
    </row>
    <row r="4053" spans="1:3">
      <c r="A4053" t="s">
        <v>5657</v>
      </c>
      <c r="B4053">
        <v>460128</v>
      </c>
      <c r="C4053">
        <v>4600</v>
      </c>
    </row>
    <row r="4054" spans="1:3">
      <c r="A4054" t="s">
        <v>5658</v>
      </c>
      <c r="B4054">
        <v>460129</v>
      </c>
      <c r="C4054">
        <v>4600</v>
      </c>
    </row>
    <row r="4055" spans="1:3">
      <c r="A4055" t="s">
        <v>5659</v>
      </c>
      <c r="B4055">
        <v>460130</v>
      </c>
      <c r="C4055">
        <v>4600</v>
      </c>
    </row>
    <row r="4056" spans="1:3">
      <c r="A4056" t="s">
        <v>5660</v>
      </c>
      <c r="B4056">
        <v>460131</v>
      </c>
      <c r="C4056">
        <v>4600</v>
      </c>
    </row>
    <row r="4057" spans="1:3">
      <c r="A4057" t="s">
        <v>5661</v>
      </c>
      <c r="B4057">
        <v>460132</v>
      </c>
      <c r="C4057">
        <v>4600</v>
      </c>
    </row>
    <row r="4058" spans="1:3">
      <c r="A4058" t="s">
        <v>5662</v>
      </c>
      <c r="B4058">
        <v>460133</v>
      </c>
      <c r="C4058">
        <v>4600</v>
      </c>
    </row>
    <row r="4059" spans="1:3">
      <c r="A4059" t="s">
        <v>5663</v>
      </c>
      <c r="B4059">
        <v>460134</v>
      </c>
      <c r="C4059">
        <v>4600</v>
      </c>
    </row>
    <row r="4060" spans="1:3">
      <c r="A4060" t="s">
        <v>5664</v>
      </c>
      <c r="B4060">
        <v>460135</v>
      </c>
      <c r="C4060">
        <v>4600</v>
      </c>
    </row>
    <row r="4061" spans="1:3">
      <c r="A4061" t="s">
        <v>5665</v>
      </c>
      <c r="B4061">
        <v>460136</v>
      </c>
      <c r="C4061">
        <v>4600</v>
      </c>
    </row>
    <row r="4062" spans="1:3">
      <c r="A4062" t="s">
        <v>5666</v>
      </c>
      <c r="B4062">
        <v>460137</v>
      </c>
      <c r="C4062">
        <v>4600</v>
      </c>
    </row>
    <row r="4063" spans="1:3">
      <c r="A4063" t="s">
        <v>5667</v>
      </c>
      <c r="B4063">
        <v>460138</v>
      </c>
      <c r="C4063">
        <v>4600</v>
      </c>
    </row>
    <row r="4064" spans="1:3">
      <c r="A4064" t="s">
        <v>5668</v>
      </c>
      <c r="B4064">
        <v>460139</v>
      </c>
      <c r="C4064">
        <v>4600</v>
      </c>
    </row>
    <row r="4065" spans="1:3">
      <c r="A4065" t="s">
        <v>5669</v>
      </c>
      <c r="B4065">
        <v>460140</v>
      </c>
      <c r="C4065">
        <v>4600</v>
      </c>
    </row>
    <row r="4066" spans="1:3">
      <c r="A4066" t="s">
        <v>5670</v>
      </c>
      <c r="B4066">
        <v>460141</v>
      </c>
      <c r="C4066">
        <v>4600</v>
      </c>
    </row>
    <row r="4067" spans="1:3">
      <c r="A4067" t="s">
        <v>5671</v>
      </c>
      <c r="B4067">
        <v>460142</v>
      </c>
      <c r="C4067">
        <v>4600</v>
      </c>
    </row>
    <row r="4068" spans="1:3">
      <c r="A4068" t="s">
        <v>5672</v>
      </c>
      <c r="B4068">
        <v>460143</v>
      </c>
      <c r="C4068">
        <v>4600</v>
      </c>
    </row>
    <row r="4069" spans="1:3">
      <c r="A4069" t="s">
        <v>5673</v>
      </c>
      <c r="B4069">
        <v>460144</v>
      </c>
      <c r="C4069">
        <v>4600</v>
      </c>
    </row>
    <row r="4070" spans="1:3">
      <c r="A4070" t="s">
        <v>5674</v>
      </c>
      <c r="B4070">
        <v>460145</v>
      </c>
      <c r="C4070">
        <v>4600</v>
      </c>
    </row>
    <row r="4071" spans="1:3">
      <c r="A4071" t="s">
        <v>5675</v>
      </c>
      <c r="B4071">
        <v>460146</v>
      </c>
      <c r="C4071">
        <v>4600</v>
      </c>
    </row>
    <row r="4072" spans="1:3">
      <c r="A4072" t="s">
        <v>5676</v>
      </c>
      <c r="B4072">
        <v>460147</v>
      </c>
      <c r="C4072">
        <v>4600</v>
      </c>
    </row>
    <row r="4073" spans="1:3">
      <c r="A4073" t="s">
        <v>5677</v>
      </c>
      <c r="B4073">
        <v>460148</v>
      </c>
      <c r="C4073">
        <v>4600</v>
      </c>
    </row>
    <row r="4074" spans="1:3">
      <c r="A4074" t="s">
        <v>560</v>
      </c>
      <c r="B4074">
        <v>480001</v>
      </c>
      <c r="C4074">
        <v>4800</v>
      </c>
    </row>
    <row r="4075" spans="1:3">
      <c r="A4075" t="s">
        <v>5678</v>
      </c>
      <c r="B4075">
        <v>480002</v>
      </c>
      <c r="C4075">
        <v>4800</v>
      </c>
    </row>
    <row r="4076" spans="1:3">
      <c r="A4076" t="s">
        <v>5679</v>
      </c>
      <c r="B4076">
        <v>480003</v>
      </c>
      <c r="C4076">
        <v>4800</v>
      </c>
    </row>
    <row r="4077" spans="1:3">
      <c r="A4077" t="s">
        <v>5680</v>
      </c>
      <c r="B4077">
        <v>480004</v>
      </c>
      <c r="C4077">
        <v>4800</v>
      </c>
    </row>
    <row r="4078" spans="1:3">
      <c r="A4078" t="s">
        <v>3064</v>
      </c>
      <c r="B4078">
        <v>480005</v>
      </c>
      <c r="C4078">
        <v>4800</v>
      </c>
    </row>
    <row r="4079" spans="1:3">
      <c r="A4079" t="s">
        <v>986</v>
      </c>
      <c r="B4079">
        <v>480006</v>
      </c>
      <c r="C4079">
        <v>4800</v>
      </c>
    </row>
    <row r="4080" spans="1:3">
      <c r="A4080" t="s">
        <v>3036</v>
      </c>
      <c r="B4080">
        <v>480007</v>
      </c>
      <c r="C4080">
        <v>4800</v>
      </c>
    </row>
    <row r="4081" spans="1:3">
      <c r="A4081" t="s">
        <v>3270</v>
      </c>
      <c r="B4081">
        <v>480008</v>
      </c>
      <c r="C4081">
        <v>4800</v>
      </c>
    </row>
    <row r="4082" spans="1:3">
      <c r="A4082" t="s">
        <v>3272</v>
      </c>
      <c r="B4082">
        <v>480009</v>
      </c>
      <c r="C4082">
        <v>4800</v>
      </c>
    </row>
    <row r="4083" spans="1:3">
      <c r="A4083" t="s">
        <v>3271</v>
      </c>
      <c r="B4083">
        <v>480010</v>
      </c>
      <c r="C4083">
        <v>4800</v>
      </c>
    </row>
    <row r="4084" spans="1:3">
      <c r="A4084" t="s">
        <v>2024</v>
      </c>
      <c r="B4084">
        <v>480011</v>
      </c>
      <c r="C4084">
        <v>4800</v>
      </c>
    </row>
    <row r="4085" spans="1:3">
      <c r="A4085" t="s">
        <v>3067</v>
      </c>
      <c r="B4085">
        <v>480012</v>
      </c>
      <c r="C4085">
        <v>4800</v>
      </c>
    </row>
    <row r="4086" spans="1:3">
      <c r="A4086" t="s">
        <v>3065</v>
      </c>
      <c r="B4086">
        <v>480013</v>
      </c>
      <c r="C4086">
        <v>4800</v>
      </c>
    </row>
    <row r="4087" spans="1:3">
      <c r="A4087" t="s">
        <v>3066</v>
      </c>
      <c r="B4087">
        <v>480014</v>
      </c>
      <c r="C4087">
        <v>4800</v>
      </c>
    </row>
    <row r="4088" spans="1:3">
      <c r="A4088" t="s">
        <v>3007</v>
      </c>
      <c r="B4088">
        <v>480015</v>
      </c>
      <c r="C4088">
        <v>4800</v>
      </c>
    </row>
    <row r="4089" spans="1:3">
      <c r="A4089" t="s">
        <v>5681</v>
      </c>
      <c r="B4089">
        <v>480016</v>
      </c>
      <c r="C4089">
        <v>4800</v>
      </c>
    </row>
    <row r="4090" spans="1:3">
      <c r="A4090" t="s">
        <v>5682</v>
      </c>
      <c r="B4090">
        <v>480017</v>
      </c>
      <c r="C4090">
        <v>4800</v>
      </c>
    </row>
    <row r="4091" spans="1:3">
      <c r="A4091" t="s">
        <v>5683</v>
      </c>
      <c r="B4091">
        <v>480018</v>
      </c>
      <c r="C4091">
        <v>4800</v>
      </c>
    </row>
    <row r="4092" spans="1:3">
      <c r="A4092" t="s">
        <v>3273</v>
      </c>
      <c r="B4092">
        <v>480019</v>
      </c>
      <c r="C4092">
        <v>4800</v>
      </c>
    </row>
    <row r="4093" spans="1:3">
      <c r="A4093" t="s">
        <v>5684</v>
      </c>
      <c r="B4093">
        <v>480020</v>
      </c>
      <c r="C4093">
        <v>4800</v>
      </c>
    </row>
    <row r="4094" spans="1:3">
      <c r="A4094" t="s">
        <v>5685</v>
      </c>
      <c r="B4094">
        <v>480021</v>
      </c>
      <c r="C4094">
        <v>4800</v>
      </c>
    </row>
    <row r="4095" spans="1:3">
      <c r="A4095" t="s">
        <v>5686</v>
      </c>
      <c r="B4095">
        <v>480022</v>
      </c>
      <c r="C4095">
        <v>4800</v>
      </c>
    </row>
    <row r="4096" spans="1:3">
      <c r="A4096" t="s">
        <v>5687</v>
      </c>
      <c r="B4096">
        <v>480023</v>
      </c>
      <c r="C4096">
        <v>4800</v>
      </c>
    </row>
    <row r="4097" spans="1:3">
      <c r="A4097" t="s">
        <v>5688</v>
      </c>
      <c r="B4097">
        <v>480024</v>
      </c>
      <c r="C4097">
        <v>4800</v>
      </c>
    </row>
    <row r="4098" spans="1:3">
      <c r="A4098" t="s">
        <v>5689</v>
      </c>
      <c r="B4098">
        <v>480025</v>
      </c>
      <c r="C4098">
        <v>4800</v>
      </c>
    </row>
    <row r="4099" spans="1:3">
      <c r="A4099" t="s">
        <v>5690</v>
      </c>
      <c r="B4099">
        <v>480026</v>
      </c>
      <c r="C4099">
        <v>4800</v>
      </c>
    </row>
    <row r="4100" spans="1:3">
      <c r="A4100" t="s">
        <v>5691</v>
      </c>
      <c r="B4100">
        <v>480027</v>
      </c>
      <c r="C4100">
        <v>4800</v>
      </c>
    </row>
    <row r="4101" spans="1:3">
      <c r="A4101" t="s">
        <v>5692</v>
      </c>
      <c r="B4101">
        <v>480028</v>
      </c>
      <c r="C4101">
        <v>4800</v>
      </c>
    </row>
    <row r="4102" spans="1:3">
      <c r="A4102" t="s">
        <v>5693</v>
      </c>
      <c r="B4102">
        <v>480029</v>
      </c>
      <c r="C4102">
        <v>4800</v>
      </c>
    </row>
    <row r="4103" spans="1:3">
      <c r="A4103" t="s">
        <v>5694</v>
      </c>
      <c r="B4103">
        <v>480030</v>
      </c>
      <c r="C4103">
        <v>4800</v>
      </c>
    </row>
    <row r="4104" spans="1:3">
      <c r="A4104" t="s">
        <v>5695</v>
      </c>
      <c r="B4104">
        <v>480031</v>
      </c>
      <c r="C4104">
        <v>4800</v>
      </c>
    </row>
    <row r="4105" spans="1:3">
      <c r="A4105" t="s">
        <v>5696</v>
      </c>
      <c r="B4105">
        <v>480032</v>
      </c>
      <c r="C4105">
        <v>4800</v>
      </c>
    </row>
    <row r="4106" spans="1:3">
      <c r="A4106" t="s">
        <v>3337</v>
      </c>
      <c r="B4106">
        <v>480033</v>
      </c>
      <c r="C4106">
        <v>4800</v>
      </c>
    </row>
    <row r="4107" spans="1:3">
      <c r="A4107" t="s">
        <v>5697</v>
      </c>
      <c r="B4107">
        <v>480034</v>
      </c>
      <c r="C4107">
        <v>4800</v>
      </c>
    </row>
    <row r="4108" spans="1:3">
      <c r="A4108" t="s">
        <v>5698</v>
      </c>
      <c r="B4108">
        <v>480035</v>
      </c>
      <c r="C4108">
        <v>4800</v>
      </c>
    </row>
    <row r="4109" spans="1:3">
      <c r="A4109" t="s">
        <v>5699</v>
      </c>
      <c r="B4109">
        <v>480036</v>
      </c>
      <c r="C4109">
        <v>4800</v>
      </c>
    </row>
    <row r="4110" spans="1:3">
      <c r="A4110" t="s">
        <v>5700</v>
      </c>
      <c r="B4110">
        <v>480037</v>
      </c>
      <c r="C4110">
        <v>4800</v>
      </c>
    </row>
    <row r="4111" spans="1:3">
      <c r="A4111" t="s">
        <v>5701</v>
      </c>
      <c r="B4111">
        <v>480038</v>
      </c>
      <c r="C4111">
        <v>4800</v>
      </c>
    </row>
    <row r="4112" spans="1:3">
      <c r="A4112" t="s">
        <v>5702</v>
      </c>
      <c r="B4112">
        <v>480039</v>
      </c>
      <c r="C4112">
        <v>4800</v>
      </c>
    </row>
    <row r="4113" spans="1:3">
      <c r="A4113" t="s">
        <v>5703</v>
      </c>
      <c r="B4113">
        <v>480040</v>
      </c>
      <c r="C4113">
        <v>4800</v>
      </c>
    </row>
    <row r="4114" spans="1:3">
      <c r="A4114" t="s">
        <v>5704</v>
      </c>
      <c r="B4114">
        <v>490001</v>
      </c>
      <c r="C4114">
        <v>4900</v>
      </c>
    </row>
    <row r="4115" spans="1:3">
      <c r="A4115" t="s">
        <v>5705</v>
      </c>
      <c r="B4115">
        <v>490002</v>
      </c>
      <c r="C4115">
        <v>4900</v>
      </c>
    </row>
    <row r="4116" spans="1:3">
      <c r="A4116" t="s">
        <v>682</v>
      </c>
      <c r="B4116">
        <v>490003</v>
      </c>
      <c r="C4116">
        <v>4900</v>
      </c>
    </row>
    <row r="4117" spans="1:3">
      <c r="A4117" t="s">
        <v>5706</v>
      </c>
      <c r="B4117">
        <v>490004</v>
      </c>
      <c r="C4117">
        <v>4900</v>
      </c>
    </row>
    <row r="4118" spans="1:3">
      <c r="A4118" t="s">
        <v>5707</v>
      </c>
      <c r="B4118">
        <v>490005</v>
      </c>
      <c r="C4118">
        <v>4900</v>
      </c>
    </row>
    <row r="4119" spans="1:3">
      <c r="A4119" t="s">
        <v>5708</v>
      </c>
      <c r="B4119">
        <v>490006</v>
      </c>
      <c r="C4119">
        <v>4900</v>
      </c>
    </row>
    <row r="4120" spans="1:3">
      <c r="A4120" t="s">
        <v>5709</v>
      </c>
      <c r="B4120">
        <v>490007</v>
      </c>
      <c r="C4120">
        <v>4900</v>
      </c>
    </row>
    <row r="4121" spans="1:3">
      <c r="A4121" t="s">
        <v>5710</v>
      </c>
      <c r="B4121">
        <v>490008</v>
      </c>
      <c r="C4121">
        <v>4900</v>
      </c>
    </row>
    <row r="4122" spans="1:3">
      <c r="A4122" t="s">
        <v>5711</v>
      </c>
      <c r="B4122">
        <v>490009</v>
      </c>
      <c r="C4122">
        <v>4900</v>
      </c>
    </row>
    <row r="4123" spans="1:3">
      <c r="A4123" t="s">
        <v>5712</v>
      </c>
      <c r="B4123">
        <v>490010</v>
      </c>
      <c r="C4123">
        <v>4900</v>
      </c>
    </row>
    <row r="4124" spans="1:3">
      <c r="A4124" t="s">
        <v>5713</v>
      </c>
      <c r="B4124">
        <v>490011</v>
      </c>
      <c r="C4124">
        <v>4900</v>
      </c>
    </row>
    <row r="4125" spans="1:3">
      <c r="A4125" t="s">
        <v>5714</v>
      </c>
      <c r="B4125">
        <v>490012</v>
      </c>
      <c r="C4125">
        <v>4900</v>
      </c>
    </row>
    <row r="4126" spans="1:3">
      <c r="A4126" t="s">
        <v>5715</v>
      </c>
      <c r="B4126">
        <v>490013</v>
      </c>
      <c r="C4126">
        <v>4900</v>
      </c>
    </row>
    <row r="4127" spans="1:3">
      <c r="A4127" t="s">
        <v>5716</v>
      </c>
      <c r="B4127">
        <v>490014</v>
      </c>
      <c r="C4127">
        <v>4900</v>
      </c>
    </row>
    <row r="4128" spans="1:3">
      <c r="A4128" t="s">
        <v>5717</v>
      </c>
      <c r="B4128">
        <v>490015</v>
      </c>
      <c r="C4128">
        <v>4900</v>
      </c>
    </row>
    <row r="4129" spans="1:3">
      <c r="A4129" t="s">
        <v>5718</v>
      </c>
      <c r="B4129">
        <v>490016</v>
      </c>
      <c r="C4129">
        <v>4900</v>
      </c>
    </row>
    <row r="4130" spans="1:3">
      <c r="A4130" t="s">
        <v>5719</v>
      </c>
      <c r="B4130">
        <v>490017</v>
      </c>
      <c r="C4130">
        <v>4900</v>
      </c>
    </row>
    <row r="4131" spans="1:3">
      <c r="A4131" t="s">
        <v>5720</v>
      </c>
      <c r="B4131">
        <v>490018</v>
      </c>
      <c r="C4131">
        <v>4900</v>
      </c>
    </row>
    <row r="4132" spans="1:3">
      <c r="A4132" t="s">
        <v>5721</v>
      </c>
      <c r="B4132">
        <v>490019</v>
      </c>
      <c r="C4132">
        <v>4900</v>
      </c>
    </row>
    <row r="4133" spans="1:3">
      <c r="A4133" t="s">
        <v>5712</v>
      </c>
      <c r="B4133">
        <v>490020</v>
      </c>
      <c r="C4133">
        <v>4900</v>
      </c>
    </row>
    <row r="4134" spans="1:3">
      <c r="A4134" t="s">
        <v>5722</v>
      </c>
      <c r="B4134">
        <v>490021</v>
      </c>
      <c r="C4134">
        <v>4900</v>
      </c>
    </row>
    <row r="4135" spans="1:3">
      <c r="A4135" t="s">
        <v>5723</v>
      </c>
      <c r="B4135">
        <v>490022</v>
      </c>
      <c r="C4135">
        <v>4900</v>
      </c>
    </row>
    <row r="4136" spans="1:3">
      <c r="A4136" t="s">
        <v>5724</v>
      </c>
      <c r="B4136">
        <v>490023</v>
      </c>
      <c r="C4136">
        <v>4900</v>
      </c>
    </row>
    <row r="4137" spans="1:3">
      <c r="A4137" t="s">
        <v>5725</v>
      </c>
      <c r="B4137">
        <v>490024</v>
      </c>
      <c r="C4137">
        <v>4900</v>
      </c>
    </row>
    <row r="4138" spans="1:3">
      <c r="A4138" t="s">
        <v>5726</v>
      </c>
      <c r="B4138">
        <v>490025</v>
      </c>
      <c r="C4138">
        <v>4900</v>
      </c>
    </row>
    <row r="4139" spans="1:3">
      <c r="A4139" t="s">
        <v>681</v>
      </c>
      <c r="B4139">
        <v>500001</v>
      </c>
      <c r="C4139">
        <v>5000</v>
      </c>
    </row>
    <row r="4140" spans="1:3">
      <c r="A4140" t="s">
        <v>5727</v>
      </c>
      <c r="B4140">
        <v>500002</v>
      </c>
      <c r="C4140">
        <v>5000</v>
      </c>
    </row>
    <row r="4141" spans="1:3">
      <c r="A4141" t="s">
        <v>5728</v>
      </c>
      <c r="B4141">
        <v>500003</v>
      </c>
      <c r="C4141">
        <v>5000</v>
      </c>
    </row>
    <row r="4142" spans="1:3">
      <c r="A4142" t="s">
        <v>5729</v>
      </c>
      <c r="B4142">
        <v>500004</v>
      </c>
      <c r="C4142">
        <v>5000</v>
      </c>
    </row>
    <row r="4143" spans="1:3">
      <c r="A4143" t="s">
        <v>5730</v>
      </c>
      <c r="B4143">
        <v>500005</v>
      </c>
      <c r="C4143">
        <v>5000</v>
      </c>
    </row>
    <row r="4144" spans="1:3">
      <c r="A4144" t="s">
        <v>5731</v>
      </c>
      <c r="B4144">
        <v>500006</v>
      </c>
      <c r="C4144">
        <v>5000</v>
      </c>
    </row>
    <row r="4145" spans="1:3">
      <c r="A4145" t="s">
        <v>5732</v>
      </c>
      <c r="B4145">
        <v>500007</v>
      </c>
      <c r="C4145">
        <v>5000</v>
      </c>
    </row>
    <row r="4146" spans="1:3">
      <c r="A4146" t="s">
        <v>5733</v>
      </c>
      <c r="B4146">
        <v>500008</v>
      </c>
      <c r="C4146">
        <v>5000</v>
      </c>
    </row>
    <row r="4147" spans="1:3">
      <c r="A4147" t="s">
        <v>5734</v>
      </c>
      <c r="B4147">
        <v>500009</v>
      </c>
      <c r="C4147">
        <v>5000</v>
      </c>
    </row>
    <row r="4148" spans="1:3">
      <c r="A4148" t="s">
        <v>5735</v>
      </c>
      <c r="B4148">
        <v>500010</v>
      </c>
      <c r="C4148">
        <v>5000</v>
      </c>
    </row>
    <row r="4149" spans="1:3">
      <c r="A4149" t="s">
        <v>5736</v>
      </c>
      <c r="B4149">
        <v>500011</v>
      </c>
      <c r="C4149">
        <v>5000</v>
      </c>
    </row>
    <row r="4150" spans="1:3">
      <c r="A4150" t="s">
        <v>5737</v>
      </c>
      <c r="B4150">
        <v>500012</v>
      </c>
      <c r="C4150">
        <v>5000</v>
      </c>
    </row>
    <row r="4151" spans="1:3">
      <c r="A4151" t="s">
        <v>5738</v>
      </c>
      <c r="B4151">
        <v>500013</v>
      </c>
      <c r="C4151">
        <v>5000</v>
      </c>
    </row>
    <row r="4152" spans="1:3">
      <c r="A4152" t="s">
        <v>5739</v>
      </c>
      <c r="B4152">
        <v>500014</v>
      </c>
      <c r="C4152">
        <v>5000</v>
      </c>
    </row>
    <row r="4153" spans="1:3">
      <c r="A4153" t="s">
        <v>5740</v>
      </c>
      <c r="B4153">
        <v>500015</v>
      </c>
      <c r="C4153">
        <v>5000</v>
      </c>
    </row>
    <row r="4154" spans="1:3">
      <c r="A4154" t="s">
        <v>5741</v>
      </c>
      <c r="B4154">
        <v>500016</v>
      </c>
      <c r="C4154">
        <v>5000</v>
      </c>
    </row>
    <row r="4155" spans="1:3">
      <c r="A4155" t="s">
        <v>5742</v>
      </c>
      <c r="B4155">
        <v>500017</v>
      </c>
      <c r="C4155">
        <v>5000</v>
      </c>
    </row>
    <row r="4156" spans="1:3">
      <c r="A4156" t="s">
        <v>5743</v>
      </c>
      <c r="B4156">
        <v>500018</v>
      </c>
      <c r="C4156">
        <v>5000</v>
      </c>
    </row>
    <row r="4157" spans="1:3">
      <c r="A4157" t="s">
        <v>5744</v>
      </c>
      <c r="B4157">
        <v>500019</v>
      </c>
      <c r="C4157">
        <v>5000</v>
      </c>
    </row>
    <row r="4158" spans="1:3">
      <c r="A4158" t="s">
        <v>5745</v>
      </c>
      <c r="B4158">
        <v>500020</v>
      </c>
      <c r="C4158">
        <v>5000</v>
      </c>
    </row>
    <row r="4159" spans="1:3">
      <c r="A4159" t="s">
        <v>5746</v>
      </c>
      <c r="B4159">
        <v>500021</v>
      </c>
      <c r="C4159">
        <v>5000</v>
      </c>
    </row>
    <row r="4160" spans="1:3">
      <c r="A4160" t="s">
        <v>5747</v>
      </c>
      <c r="B4160">
        <v>500022</v>
      </c>
      <c r="C4160">
        <v>5000</v>
      </c>
    </row>
    <row r="4161" spans="1:3">
      <c r="A4161" t="s">
        <v>5748</v>
      </c>
      <c r="B4161">
        <v>500023</v>
      </c>
      <c r="C4161">
        <v>5000</v>
      </c>
    </row>
    <row r="4162" spans="1:3">
      <c r="A4162" t="s">
        <v>5749</v>
      </c>
      <c r="B4162">
        <v>500024</v>
      </c>
      <c r="C4162">
        <v>5000</v>
      </c>
    </row>
    <row r="4163" spans="1:3">
      <c r="A4163" t="s">
        <v>5750</v>
      </c>
      <c r="B4163">
        <v>500025</v>
      </c>
      <c r="C4163">
        <v>5000</v>
      </c>
    </row>
    <row r="4164" spans="1:3">
      <c r="A4164" t="s">
        <v>5751</v>
      </c>
      <c r="B4164">
        <v>500026</v>
      </c>
      <c r="C4164">
        <v>5000</v>
      </c>
    </row>
    <row r="4165" spans="1:3">
      <c r="A4165" t="s">
        <v>5752</v>
      </c>
      <c r="B4165">
        <v>500027</v>
      </c>
      <c r="C4165">
        <v>5000</v>
      </c>
    </row>
    <row r="4166" spans="1:3">
      <c r="A4166" t="s">
        <v>5753</v>
      </c>
      <c r="B4166">
        <v>500028</v>
      </c>
      <c r="C4166">
        <v>5000</v>
      </c>
    </row>
    <row r="4167" spans="1:3">
      <c r="A4167" t="s">
        <v>5754</v>
      </c>
      <c r="B4167">
        <v>500029</v>
      </c>
      <c r="C4167">
        <v>5000</v>
      </c>
    </row>
    <row r="4168" spans="1:3">
      <c r="A4168" t="s">
        <v>5755</v>
      </c>
      <c r="B4168">
        <v>500030</v>
      </c>
      <c r="C4168">
        <v>5000</v>
      </c>
    </row>
    <row r="4169" spans="1:3">
      <c r="A4169" t="s">
        <v>5756</v>
      </c>
      <c r="B4169">
        <v>500031</v>
      </c>
      <c r="C4169">
        <v>5000</v>
      </c>
    </row>
    <row r="4170" spans="1:3">
      <c r="A4170" t="s">
        <v>5757</v>
      </c>
      <c r="B4170">
        <v>500032</v>
      </c>
      <c r="C4170">
        <v>5000</v>
      </c>
    </row>
    <row r="4171" spans="1:3">
      <c r="A4171" t="s">
        <v>5758</v>
      </c>
      <c r="B4171">
        <v>500033</v>
      </c>
      <c r="C4171">
        <v>5000</v>
      </c>
    </row>
    <row r="4172" spans="1:3">
      <c r="A4172" t="s">
        <v>731</v>
      </c>
      <c r="B4172">
        <v>500034</v>
      </c>
      <c r="C4172">
        <v>5000</v>
      </c>
    </row>
    <row r="4173" spans="1:3">
      <c r="A4173" t="s">
        <v>5759</v>
      </c>
      <c r="B4173">
        <v>500035</v>
      </c>
      <c r="C4173">
        <v>5000</v>
      </c>
    </row>
    <row r="4174" spans="1:3">
      <c r="A4174" t="s">
        <v>5760</v>
      </c>
      <c r="B4174">
        <v>500036</v>
      </c>
      <c r="C4174">
        <v>5000</v>
      </c>
    </row>
    <row r="4175" spans="1:3">
      <c r="A4175" t="s">
        <v>5761</v>
      </c>
      <c r="B4175">
        <v>500037</v>
      </c>
      <c r="C4175">
        <v>5000</v>
      </c>
    </row>
    <row r="4176" spans="1:3">
      <c r="A4176" t="s">
        <v>5762</v>
      </c>
      <c r="B4176">
        <v>500038</v>
      </c>
      <c r="C4176">
        <v>5000</v>
      </c>
    </row>
    <row r="4177" spans="1:3">
      <c r="A4177" t="s">
        <v>5763</v>
      </c>
      <c r="B4177">
        <v>500039</v>
      </c>
      <c r="C4177">
        <v>5000</v>
      </c>
    </row>
    <row r="4178" spans="1:3">
      <c r="A4178" t="s">
        <v>5764</v>
      </c>
      <c r="B4178">
        <v>500040</v>
      </c>
      <c r="C4178">
        <v>5000</v>
      </c>
    </row>
    <row r="4179" spans="1:3">
      <c r="A4179" t="s">
        <v>5765</v>
      </c>
      <c r="B4179">
        <v>500041</v>
      </c>
      <c r="C4179">
        <v>5000</v>
      </c>
    </row>
    <row r="4180" spans="1:3">
      <c r="A4180" t="s">
        <v>5766</v>
      </c>
      <c r="B4180">
        <v>500042</v>
      </c>
      <c r="C4180">
        <v>5000</v>
      </c>
    </row>
    <row r="4181" spans="1:3">
      <c r="A4181" t="s">
        <v>5767</v>
      </c>
      <c r="B4181">
        <v>500043</v>
      </c>
      <c r="C4181">
        <v>5000</v>
      </c>
    </row>
    <row r="4182" spans="1:3">
      <c r="A4182" t="s">
        <v>5768</v>
      </c>
      <c r="B4182">
        <v>500044</v>
      </c>
      <c r="C4182">
        <v>5000</v>
      </c>
    </row>
    <row r="4183" spans="1:3">
      <c r="A4183" t="s">
        <v>5769</v>
      </c>
      <c r="B4183">
        <v>500045</v>
      </c>
      <c r="C4183">
        <v>5000</v>
      </c>
    </row>
    <row r="4184" spans="1:3">
      <c r="A4184" t="s">
        <v>5770</v>
      </c>
      <c r="B4184">
        <v>500046</v>
      </c>
      <c r="C4184">
        <v>5000</v>
      </c>
    </row>
    <row r="4185" spans="1:3">
      <c r="A4185" t="s">
        <v>5771</v>
      </c>
      <c r="B4185">
        <v>500047</v>
      </c>
      <c r="C4185">
        <v>5000</v>
      </c>
    </row>
    <row r="4186" spans="1:3">
      <c r="A4186" t="s">
        <v>5772</v>
      </c>
      <c r="B4186">
        <v>500048</v>
      </c>
      <c r="C4186">
        <v>5000</v>
      </c>
    </row>
    <row r="4187" spans="1:3">
      <c r="A4187" t="s">
        <v>5773</v>
      </c>
      <c r="B4187">
        <v>500049</v>
      </c>
      <c r="C4187">
        <v>5000</v>
      </c>
    </row>
    <row r="4188" spans="1:3">
      <c r="A4188" t="s">
        <v>5774</v>
      </c>
      <c r="B4188">
        <v>505001</v>
      </c>
      <c r="C4188">
        <v>5000</v>
      </c>
    </row>
    <row r="4189" spans="1:3">
      <c r="A4189" t="s">
        <v>5775</v>
      </c>
      <c r="B4189">
        <v>505002</v>
      </c>
      <c r="C4189">
        <v>5000</v>
      </c>
    </row>
    <row r="4190" spans="1:3">
      <c r="A4190" t="s">
        <v>5776</v>
      </c>
      <c r="B4190">
        <v>520001</v>
      </c>
      <c r="C4190">
        <v>5200</v>
      </c>
    </row>
    <row r="4191" spans="1:3">
      <c r="A4191" t="s">
        <v>5777</v>
      </c>
      <c r="B4191">
        <v>530001</v>
      </c>
      <c r="C4191">
        <v>5300</v>
      </c>
    </row>
    <row r="4192" spans="1:3">
      <c r="A4192" t="s">
        <v>5778</v>
      </c>
      <c r="B4192">
        <v>530002</v>
      </c>
      <c r="C4192">
        <v>5300</v>
      </c>
    </row>
    <row r="4193" spans="1:3">
      <c r="A4193" t="s">
        <v>5779</v>
      </c>
      <c r="B4193">
        <v>530003</v>
      </c>
      <c r="C4193">
        <v>5300</v>
      </c>
    </row>
    <row r="4194" spans="1:3">
      <c r="A4194" t="s">
        <v>5780</v>
      </c>
      <c r="B4194">
        <v>530004</v>
      </c>
      <c r="C4194">
        <v>5300</v>
      </c>
    </row>
    <row r="4195" spans="1:3">
      <c r="A4195" t="s">
        <v>5781</v>
      </c>
      <c r="B4195">
        <v>530005</v>
      </c>
      <c r="C4195">
        <v>5300</v>
      </c>
    </row>
    <row r="4196" spans="1:3">
      <c r="A4196" t="s">
        <v>5782</v>
      </c>
      <c r="B4196">
        <v>530006</v>
      </c>
      <c r="C4196">
        <v>5300</v>
      </c>
    </row>
    <row r="4197" spans="1:3">
      <c r="A4197" t="s">
        <v>5783</v>
      </c>
      <c r="B4197">
        <v>530007</v>
      </c>
      <c r="C4197">
        <v>5300</v>
      </c>
    </row>
    <row r="4198" spans="1:3">
      <c r="A4198" t="s">
        <v>5784</v>
      </c>
      <c r="B4198">
        <v>530008</v>
      </c>
      <c r="C4198">
        <v>5300</v>
      </c>
    </row>
    <row r="4199" spans="1:3">
      <c r="A4199" t="s">
        <v>5785</v>
      </c>
      <c r="B4199">
        <v>530009</v>
      </c>
      <c r="C4199">
        <v>5300</v>
      </c>
    </row>
    <row r="4200" spans="1:3">
      <c r="A4200" t="s">
        <v>5786</v>
      </c>
      <c r="B4200">
        <v>530010</v>
      </c>
      <c r="C4200">
        <v>5300</v>
      </c>
    </row>
    <row r="4201" spans="1:3">
      <c r="A4201" t="s">
        <v>5787</v>
      </c>
      <c r="B4201">
        <v>530011</v>
      </c>
      <c r="C4201">
        <v>5300</v>
      </c>
    </row>
    <row r="4202" spans="1:3">
      <c r="A4202" t="s">
        <v>5788</v>
      </c>
      <c r="B4202">
        <v>540001</v>
      </c>
      <c r="C4202">
        <v>5400</v>
      </c>
    </row>
    <row r="4203" spans="1:3">
      <c r="A4203" t="s">
        <v>690</v>
      </c>
      <c r="B4203">
        <v>540002</v>
      </c>
      <c r="C4203">
        <v>5400</v>
      </c>
    </row>
    <row r="4204" spans="1:3">
      <c r="A4204" t="s">
        <v>5789</v>
      </c>
      <c r="B4204">
        <v>540003</v>
      </c>
      <c r="C4204">
        <v>5400</v>
      </c>
    </row>
    <row r="4205" spans="1:3">
      <c r="A4205" t="s">
        <v>5790</v>
      </c>
      <c r="B4205">
        <v>540004</v>
      </c>
      <c r="C4205">
        <v>5400</v>
      </c>
    </row>
    <row r="4206" spans="1:3">
      <c r="A4206" t="s">
        <v>5791</v>
      </c>
      <c r="B4206">
        <v>550001</v>
      </c>
      <c r="C4206">
        <v>5500</v>
      </c>
    </row>
    <row r="4207" spans="1:3">
      <c r="A4207" t="s">
        <v>5792</v>
      </c>
      <c r="B4207">
        <v>550002</v>
      </c>
      <c r="C4207">
        <v>5500</v>
      </c>
    </row>
    <row r="4208" spans="1:3">
      <c r="A4208" t="s">
        <v>5793</v>
      </c>
      <c r="B4208">
        <v>550003</v>
      </c>
      <c r="C4208">
        <v>5500</v>
      </c>
    </row>
    <row r="4209" spans="1:3">
      <c r="A4209" t="s">
        <v>5794</v>
      </c>
      <c r="B4209">
        <v>550004</v>
      </c>
      <c r="C4209">
        <v>5500</v>
      </c>
    </row>
    <row r="4210" spans="1:3">
      <c r="A4210" t="s">
        <v>5795</v>
      </c>
      <c r="B4210">
        <v>550005</v>
      </c>
      <c r="C4210">
        <v>5500</v>
      </c>
    </row>
    <row r="4211" spans="1:3">
      <c r="A4211" t="s">
        <v>5796</v>
      </c>
      <c r="B4211">
        <v>550006</v>
      </c>
      <c r="C4211">
        <v>5500</v>
      </c>
    </row>
    <row r="4212" spans="1:3">
      <c r="A4212" t="s">
        <v>5797</v>
      </c>
      <c r="B4212">
        <v>550007</v>
      </c>
      <c r="C4212">
        <v>5500</v>
      </c>
    </row>
    <row r="4213" spans="1:3">
      <c r="A4213" t="s">
        <v>5798</v>
      </c>
      <c r="B4213">
        <v>550008</v>
      </c>
      <c r="C4213">
        <v>5500</v>
      </c>
    </row>
    <row r="4214" spans="1:3">
      <c r="A4214" t="s">
        <v>5799</v>
      </c>
      <c r="B4214">
        <v>550009</v>
      </c>
      <c r="C4214">
        <v>5500</v>
      </c>
    </row>
    <row r="4215" spans="1:3">
      <c r="A4215" t="s">
        <v>5800</v>
      </c>
      <c r="B4215">
        <v>550010</v>
      </c>
      <c r="C4215">
        <v>5500</v>
      </c>
    </row>
    <row r="4216" spans="1:3">
      <c r="A4216" t="s">
        <v>5801</v>
      </c>
      <c r="B4216">
        <v>550011</v>
      </c>
      <c r="C4216">
        <v>5500</v>
      </c>
    </row>
    <row r="4217" spans="1:3">
      <c r="A4217" t="s">
        <v>5802</v>
      </c>
      <c r="B4217">
        <v>550012</v>
      </c>
      <c r="C4217">
        <v>5500</v>
      </c>
    </row>
    <row r="4218" spans="1:3">
      <c r="A4218" t="s">
        <v>5803</v>
      </c>
      <c r="B4218">
        <v>550013</v>
      </c>
      <c r="C4218">
        <v>5500</v>
      </c>
    </row>
    <row r="4219" spans="1:3">
      <c r="A4219" t="s">
        <v>5804</v>
      </c>
      <c r="B4219">
        <v>550014</v>
      </c>
      <c r="C4219">
        <v>5500</v>
      </c>
    </row>
    <row r="4220" spans="1:3">
      <c r="A4220" t="s">
        <v>5805</v>
      </c>
      <c r="B4220">
        <v>550015</v>
      </c>
      <c r="C4220">
        <v>5500</v>
      </c>
    </row>
    <row r="4221" spans="1:3">
      <c r="A4221" t="s">
        <v>5806</v>
      </c>
      <c r="B4221">
        <v>550016</v>
      </c>
      <c r="C4221">
        <v>5500</v>
      </c>
    </row>
    <row r="4222" spans="1:3">
      <c r="A4222" t="s">
        <v>5807</v>
      </c>
      <c r="B4222">
        <v>550017</v>
      </c>
      <c r="C4222">
        <v>5500</v>
      </c>
    </row>
    <row r="4223" spans="1:3">
      <c r="A4223" t="s">
        <v>5808</v>
      </c>
      <c r="B4223">
        <v>550018</v>
      </c>
      <c r="C4223">
        <v>5500</v>
      </c>
    </row>
    <row r="4224" spans="1:3">
      <c r="A4224" t="s">
        <v>5809</v>
      </c>
      <c r="B4224">
        <v>550019</v>
      </c>
      <c r="C4224">
        <v>5500</v>
      </c>
    </row>
    <row r="4225" spans="1:3">
      <c r="A4225" t="s">
        <v>5810</v>
      </c>
      <c r="B4225">
        <v>550020</v>
      </c>
      <c r="C4225">
        <v>5500</v>
      </c>
    </row>
    <row r="4226" spans="1:3">
      <c r="A4226" t="s">
        <v>5811</v>
      </c>
      <c r="B4226">
        <v>550021</v>
      </c>
      <c r="C4226">
        <v>5500</v>
      </c>
    </row>
    <row r="4227" spans="1:3">
      <c r="A4227" t="s">
        <v>5812</v>
      </c>
      <c r="B4227">
        <v>550022</v>
      </c>
      <c r="C4227">
        <v>5500</v>
      </c>
    </row>
    <row r="4228" spans="1:3">
      <c r="A4228" t="s">
        <v>5813</v>
      </c>
      <c r="B4228">
        <v>550023</v>
      </c>
      <c r="C4228">
        <v>5500</v>
      </c>
    </row>
    <row r="4229" spans="1:3">
      <c r="A4229" t="s">
        <v>5814</v>
      </c>
      <c r="B4229">
        <v>550024</v>
      </c>
      <c r="C4229">
        <v>5500</v>
      </c>
    </row>
    <row r="4230" spans="1:3">
      <c r="A4230" t="s">
        <v>5815</v>
      </c>
      <c r="B4230">
        <v>550025</v>
      </c>
      <c r="C4230">
        <v>5500</v>
      </c>
    </row>
    <row r="4231" spans="1:3">
      <c r="A4231" t="s">
        <v>5816</v>
      </c>
      <c r="B4231">
        <v>550026</v>
      </c>
      <c r="C4231">
        <v>5500</v>
      </c>
    </row>
    <row r="4232" spans="1:3">
      <c r="A4232" t="s">
        <v>5817</v>
      </c>
      <c r="B4232">
        <v>550027</v>
      </c>
      <c r="C4232">
        <v>5500</v>
      </c>
    </row>
    <row r="4233" spans="1:3">
      <c r="A4233" t="s">
        <v>5818</v>
      </c>
      <c r="B4233">
        <v>550028</v>
      </c>
      <c r="C4233">
        <v>5500</v>
      </c>
    </row>
    <row r="4234" spans="1:3">
      <c r="A4234" t="s">
        <v>5819</v>
      </c>
      <c r="B4234">
        <v>550029</v>
      </c>
      <c r="C4234">
        <v>5500</v>
      </c>
    </row>
    <row r="4235" spans="1:3">
      <c r="A4235" t="s">
        <v>5820</v>
      </c>
      <c r="B4235">
        <v>550030</v>
      </c>
      <c r="C4235">
        <v>5500</v>
      </c>
    </row>
    <row r="4236" spans="1:3">
      <c r="A4236" t="s">
        <v>5821</v>
      </c>
      <c r="B4236">
        <v>550031</v>
      </c>
      <c r="C4236">
        <v>5500</v>
      </c>
    </row>
    <row r="4237" spans="1:3">
      <c r="A4237" t="s">
        <v>5822</v>
      </c>
      <c r="B4237">
        <v>550032</v>
      </c>
      <c r="C4237">
        <v>5500</v>
      </c>
    </row>
    <row r="4238" spans="1:3">
      <c r="A4238" t="s">
        <v>5823</v>
      </c>
      <c r="B4238">
        <v>550033</v>
      </c>
      <c r="C4238">
        <v>5500</v>
      </c>
    </row>
    <row r="4239" spans="1:3">
      <c r="A4239" t="s">
        <v>5824</v>
      </c>
      <c r="B4239">
        <v>550034</v>
      </c>
      <c r="C4239">
        <v>5500</v>
      </c>
    </row>
    <row r="4240" spans="1:3">
      <c r="A4240" t="s">
        <v>5825</v>
      </c>
      <c r="B4240">
        <v>550035</v>
      </c>
      <c r="C4240">
        <v>5500</v>
      </c>
    </row>
    <row r="4241" spans="1:3">
      <c r="A4241" t="s">
        <v>5826</v>
      </c>
      <c r="B4241">
        <v>550036</v>
      </c>
      <c r="C4241">
        <v>5500</v>
      </c>
    </row>
    <row r="4242" spans="1:3">
      <c r="A4242" t="s">
        <v>5827</v>
      </c>
      <c r="B4242">
        <v>550037</v>
      </c>
      <c r="C4242">
        <v>5500</v>
      </c>
    </row>
    <row r="4243" spans="1:3">
      <c r="A4243" t="s">
        <v>5828</v>
      </c>
      <c r="B4243">
        <v>550038</v>
      </c>
      <c r="C4243">
        <v>5500</v>
      </c>
    </row>
    <row r="4244" spans="1:3">
      <c r="A4244" t="s">
        <v>5829</v>
      </c>
      <c r="B4244">
        <v>550039</v>
      </c>
      <c r="C4244">
        <v>5500</v>
      </c>
    </row>
    <row r="4245" spans="1:3">
      <c r="A4245" t="s">
        <v>5830</v>
      </c>
      <c r="B4245">
        <v>550040</v>
      </c>
      <c r="C4245">
        <v>5500</v>
      </c>
    </row>
    <row r="4246" spans="1:3">
      <c r="A4246" t="s">
        <v>5831</v>
      </c>
      <c r="B4246">
        <v>550041</v>
      </c>
      <c r="C4246">
        <v>5500</v>
      </c>
    </row>
    <row r="4247" spans="1:3">
      <c r="A4247" t="s">
        <v>5832</v>
      </c>
      <c r="B4247">
        <v>550042</v>
      </c>
      <c r="C4247">
        <v>5500</v>
      </c>
    </row>
    <row r="4248" spans="1:3">
      <c r="A4248" t="s">
        <v>5833</v>
      </c>
      <c r="B4248">
        <v>550043</v>
      </c>
      <c r="C4248">
        <v>5507</v>
      </c>
    </row>
    <row r="4249" spans="1:3">
      <c r="A4249" t="s">
        <v>5834</v>
      </c>
      <c r="B4249">
        <v>550044</v>
      </c>
      <c r="C4249">
        <v>5507</v>
      </c>
    </row>
    <row r="4250" spans="1:3">
      <c r="A4250" t="s">
        <v>5835</v>
      </c>
      <c r="B4250">
        <v>550045</v>
      </c>
      <c r="C4250">
        <v>5507</v>
      </c>
    </row>
    <row r="4251" spans="1:3">
      <c r="A4251" t="s">
        <v>5836</v>
      </c>
      <c r="B4251">
        <v>550046</v>
      </c>
      <c r="C4251">
        <v>5507</v>
      </c>
    </row>
    <row r="4252" spans="1:3">
      <c r="A4252" t="s">
        <v>5837</v>
      </c>
      <c r="B4252">
        <v>550047</v>
      </c>
      <c r="C4252">
        <v>5507</v>
      </c>
    </row>
    <row r="4253" spans="1:3">
      <c r="A4253" t="s">
        <v>5838</v>
      </c>
      <c r="B4253">
        <v>550048</v>
      </c>
      <c r="C4253">
        <v>5507</v>
      </c>
    </row>
    <row r="4254" spans="1:3">
      <c r="A4254" t="s">
        <v>5839</v>
      </c>
      <c r="B4254">
        <v>550049</v>
      </c>
      <c r="C4254">
        <v>5502</v>
      </c>
    </row>
    <row r="4255" spans="1:3">
      <c r="A4255" t="s">
        <v>5840</v>
      </c>
      <c r="B4255">
        <v>550050</v>
      </c>
      <c r="C4255">
        <v>5502</v>
      </c>
    </row>
    <row r="4256" spans="1:3">
      <c r="A4256" t="s">
        <v>5841</v>
      </c>
      <c r="B4256">
        <v>550051</v>
      </c>
      <c r="C4256">
        <v>5502</v>
      </c>
    </row>
    <row r="4257" spans="1:3">
      <c r="A4257" t="s">
        <v>5842</v>
      </c>
      <c r="B4257">
        <v>550052</v>
      </c>
      <c r="C4257">
        <v>5502</v>
      </c>
    </row>
    <row r="4258" spans="1:3">
      <c r="A4258" t="s">
        <v>5843</v>
      </c>
      <c r="B4258">
        <v>550053</v>
      </c>
      <c r="C4258">
        <v>5502</v>
      </c>
    </row>
    <row r="4259" spans="1:3">
      <c r="A4259" t="s">
        <v>5844</v>
      </c>
      <c r="B4259">
        <v>550054</v>
      </c>
      <c r="C4259">
        <v>5502</v>
      </c>
    </row>
    <row r="4260" spans="1:3">
      <c r="A4260" t="s">
        <v>5845</v>
      </c>
      <c r="B4260">
        <v>550055</v>
      </c>
      <c r="C4260">
        <v>5502</v>
      </c>
    </row>
    <row r="4261" spans="1:3">
      <c r="A4261" t="s">
        <v>5846</v>
      </c>
      <c r="B4261">
        <v>550056</v>
      </c>
      <c r="C4261">
        <v>5502</v>
      </c>
    </row>
    <row r="4262" spans="1:3">
      <c r="A4262" t="s">
        <v>5847</v>
      </c>
      <c r="B4262">
        <v>550057</v>
      </c>
      <c r="C4262">
        <v>5501</v>
      </c>
    </row>
    <row r="4263" spans="1:3">
      <c r="A4263" t="s">
        <v>5848</v>
      </c>
      <c r="B4263">
        <v>550058</v>
      </c>
      <c r="C4263">
        <v>5501</v>
      </c>
    </row>
    <row r="4264" spans="1:3">
      <c r="A4264" t="s">
        <v>5849</v>
      </c>
      <c r="B4264">
        <v>550059</v>
      </c>
      <c r="C4264">
        <v>5501</v>
      </c>
    </row>
    <row r="4265" spans="1:3">
      <c r="A4265" t="s">
        <v>5850</v>
      </c>
      <c r="B4265">
        <v>550060</v>
      </c>
      <c r="C4265">
        <v>5501</v>
      </c>
    </row>
    <row r="4266" spans="1:3">
      <c r="A4266" t="s">
        <v>5851</v>
      </c>
      <c r="B4266">
        <v>550061</v>
      </c>
      <c r="C4266">
        <v>5501</v>
      </c>
    </row>
    <row r="4267" spans="1:3">
      <c r="A4267" t="s">
        <v>5852</v>
      </c>
      <c r="B4267">
        <v>550062</v>
      </c>
      <c r="C4267">
        <v>5501</v>
      </c>
    </row>
    <row r="4268" spans="1:3">
      <c r="A4268" t="s">
        <v>5853</v>
      </c>
      <c r="B4268">
        <v>550063</v>
      </c>
      <c r="C4268">
        <v>5501</v>
      </c>
    </row>
    <row r="4269" spans="1:3">
      <c r="A4269" t="s">
        <v>5854</v>
      </c>
      <c r="B4269">
        <v>550064</v>
      </c>
      <c r="C4269">
        <v>5501</v>
      </c>
    </row>
    <row r="4270" spans="1:3">
      <c r="A4270" t="s">
        <v>5855</v>
      </c>
      <c r="B4270">
        <v>550065</v>
      </c>
      <c r="C4270">
        <v>5501</v>
      </c>
    </row>
    <row r="4271" spans="1:3">
      <c r="A4271" t="s">
        <v>5856</v>
      </c>
      <c r="B4271">
        <v>550066</v>
      </c>
      <c r="C4271">
        <v>5501</v>
      </c>
    </row>
    <row r="4272" spans="1:3">
      <c r="A4272" t="s">
        <v>5857</v>
      </c>
      <c r="B4272">
        <v>550067</v>
      </c>
      <c r="C4272">
        <v>5501</v>
      </c>
    </row>
    <row r="4273" spans="1:3">
      <c r="A4273" t="s">
        <v>5858</v>
      </c>
      <c r="B4273">
        <v>550068</v>
      </c>
      <c r="C4273">
        <v>5501</v>
      </c>
    </row>
    <row r="4274" spans="1:3">
      <c r="A4274" t="s">
        <v>5859</v>
      </c>
      <c r="B4274">
        <v>550069</v>
      </c>
      <c r="C4274">
        <v>5501</v>
      </c>
    </row>
    <row r="4275" spans="1:3">
      <c r="A4275" t="s">
        <v>5860</v>
      </c>
      <c r="B4275">
        <v>550070</v>
      </c>
      <c r="C4275">
        <v>5501</v>
      </c>
    </row>
    <row r="4276" spans="1:3">
      <c r="A4276" t="s">
        <v>5861</v>
      </c>
      <c r="B4276">
        <v>550071</v>
      </c>
      <c r="C4276">
        <v>5501</v>
      </c>
    </row>
    <row r="4277" spans="1:3">
      <c r="A4277" t="s">
        <v>5862</v>
      </c>
      <c r="B4277">
        <v>550072</v>
      </c>
      <c r="C4277">
        <v>5501</v>
      </c>
    </row>
    <row r="4278" spans="1:3">
      <c r="A4278" t="s">
        <v>5863</v>
      </c>
      <c r="B4278">
        <v>550073</v>
      </c>
      <c r="C4278">
        <v>5501</v>
      </c>
    </row>
    <row r="4279" spans="1:3">
      <c r="A4279" t="s">
        <v>5864</v>
      </c>
      <c r="B4279">
        <v>550074</v>
      </c>
      <c r="C4279">
        <v>5501</v>
      </c>
    </row>
    <row r="4280" spans="1:3">
      <c r="A4280" t="s">
        <v>5865</v>
      </c>
      <c r="B4280">
        <v>550075</v>
      </c>
      <c r="C4280">
        <v>5501</v>
      </c>
    </row>
    <row r="4281" spans="1:3">
      <c r="A4281" t="s">
        <v>5866</v>
      </c>
      <c r="B4281">
        <v>550076</v>
      </c>
      <c r="C4281">
        <v>5501</v>
      </c>
    </row>
    <row r="4282" spans="1:3">
      <c r="A4282" t="s">
        <v>5867</v>
      </c>
      <c r="B4282">
        <v>550077</v>
      </c>
      <c r="C4282">
        <v>5501</v>
      </c>
    </row>
    <row r="4283" spans="1:3">
      <c r="A4283" t="s">
        <v>5868</v>
      </c>
      <c r="B4283">
        <v>550078</v>
      </c>
      <c r="C4283">
        <v>5501</v>
      </c>
    </row>
    <row r="4284" spans="1:3">
      <c r="A4284" t="s">
        <v>5869</v>
      </c>
      <c r="B4284">
        <v>550079</v>
      </c>
      <c r="C4284">
        <v>5501</v>
      </c>
    </row>
    <row r="4285" spans="1:3">
      <c r="A4285" t="s">
        <v>5870</v>
      </c>
      <c r="B4285">
        <v>550080</v>
      </c>
      <c r="C4285">
        <v>5501</v>
      </c>
    </row>
    <row r="4286" spans="1:3">
      <c r="A4286" t="s">
        <v>5871</v>
      </c>
      <c r="B4286">
        <v>550081</v>
      </c>
      <c r="C4286">
        <v>5501</v>
      </c>
    </row>
    <row r="4287" spans="1:3">
      <c r="A4287" t="s">
        <v>5872</v>
      </c>
      <c r="B4287">
        <v>550082</v>
      </c>
      <c r="C4287">
        <v>5501</v>
      </c>
    </row>
    <row r="4288" spans="1:3">
      <c r="A4288" t="s">
        <v>5873</v>
      </c>
      <c r="B4288">
        <v>550083</v>
      </c>
      <c r="C4288">
        <v>5501</v>
      </c>
    </row>
    <row r="4289" spans="1:3">
      <c r="A4289" t="s">
        <v>5874</v>
      </c>
      <c r="B4289">
        <v>550084</v>
      </c>
      <c r="C4289">
        <v>5501</v>
      </c>
    </row>
    <row r="4290" spans="1:3">
      <c r="A4290" t="s">
        <v>5875</v>
      </c>
      <c r="B4290">
        <v>550085</v>
      </c>
      <c r="C4290">
        <v>5501</v>
      </c>
    </row>
    <row r="4291" spans="1:3">
      <c r="A4291" t="s">
        <v>5876</v>
      </c>
      <c r="B4291">
        <v>550086</v>
      </c>
      <c r="C4291">
        <v>5501</v>
      </c>
    </row>
    <row r="4292" spans="1:3">
      <c r="A4292" t="s">
        <v>5877</v>
      </c>
      <c r="B4292">
        <v>550087</v>
      </c>
      <c r="C4292">
        <v>5501</v>
      </c>
    </row>
    <row r="4293" spans="1:3">
      <c r="A4293" t="s">
        <v>5878</v>
      </c>
      <c r="B4293">
        <v>550088</v>
      </c>
      <c r="C4293">
        <v>5501</v>
      </c>
    </row>
    <row r="4294" spans="1:3">
      <c r="A4294" t="s">
        <v>5879</v>
      </c>
      <c r="B4294">
        <v>550089</v>
      </c>
      <c r="C4294">
        <v>5501</v>
      </c>
    </row>
    <row r="4295" spans="1:3">
      <c r="A4295" t="s">
        <v>5880</v>
      </c>
      <c r="B4295">
        <v>550090</v>
      </c>
      <c r="C4295">
        <v>5501</v>
      </c>
    </row>
    <row r="4296" spans="1:3">
      <c r="A4296" t="s">
        <v>5881</v>
      </c>
      <c r="B4296">
        <v>550091</v>
      </c>
      <c r="C4296">
        <v>5501</v>
      </c>
    </row>
    <row r="4297" spans="1:3">
      <c r="A4297" t="s">
        <v>5882</v>
      </c>
      <c r="B4297">
        <v>550092</v>
      </c>
      <c r="C4297">
        <v>5501</v>
      </c>
    </row>
    <row r="4298" spans="1:3">
      <c r="A4298" t="s">
        <v>5883</v>
      </c>
      <c r="B4298">
        <v>550093</v>
      </c>
      <c r="C4298">
        <v>5501</v>
      </c>
    </row>
    <row r="4299" spans="1:3">
      <c r="A4299" t="s">
        <v>5884</v>
      </c>
      <c r="B4299">
        <v>550094</v>
      </c>
      <c r="C4299">
        <v>5501</v>
      </c>
    </row>
    <row r="4300" spans="1:3">
      <c r="A4300" t="s">
        <v>5885</v>
      </c>
      <c r="B4300">
        <v>550095</v>
      </c>
      <c r="C4300">
        <v>5501</v>
      </c>
    </row>
    <row r="4301" spans="1:3">
      <c r="A4301" t="s">
        <v>5886</v>
      </c>
      <c r="B4301">
        <v>550096</v>
      </c>
      <c r="C4301">
        <v>5501</v>
      </c>
    </row>
    <row r="4302" spans="1:3">
      <c r="A4302" t="s">
        <v>5887</v>
      </c>
      <c r="B4302">
        <v>550097</v>
      </c>
      <c r="C4302">
        <v>5501</v>
      </c>
    </row>
    <row r="4303" spans="1:3">
      <c r="A4303" t="s">
        <v>5888</v>
      </c>
      <c r="B4303">
        <v>550098</v>
      </c>
      <c r="C4303">
        <v>5506</v>
      </c>
    </row>
    <row r="4304" spans="1:3">
      <c r="A4304" t="s">
        <v>5889</v>
      </c>
      <c r="B4304">
        <v>550099</v>
      </c>
      <c r="C4304">
        <v>5506</v>
      </c>
    </row>
    <row r="4305" spans="1:3">
      <c r="A4305" t="s">
        <v>5890</v>
      </c>
      <c r="B4305">
        <v>550100</v>
      </c>
      <c r="C4305">
        <v>5506</v>
      </c>
    </row>
    <row r="4306" spans="1:3">
      <c r="A4306" t="s">
        <v>5891</v>
      </c>
      <c r="B4306">
        <v>550101</v>
      </c>
      <c r="C4306">
        <v>5506</v>
      </c>
    </row>
    <row r="4307" spans="1:3">
      <c r="A4307" t="s">
        <v>5892</v>
      </c>
      <c r="B4307">
        <v>550102</v>
      </c>
      <c r="C4307">
        <v>5506</v>
      </c>
    </row>
    <row r="4308" spans="1:3">
      <c r="A4308" t="s">
        <v>5893</v>
      </c>
      <c r="B4308">
        <v>550103</v>
      </c>
      <c r="C4308">
        <v>5500</v>
      </c>
    </row>
    <row r="4309" spans="1:3">
      <c r="A4309" t="s">
        <v>5894</v>
      </c>
      <c r="B4309">
        <v>550104</v>
      </c>
      <c r="C4309">
        <v>5500</v>
      </c>
    </row>
    <row r="4310" spans="1:3">
      <c r="A4310" t="s">
        <v>5895</v>
      </c>
      <c r="B4310">
        <v>550105</v>
      </c>
      <c r="C4310">
        <v>5500</v>
      </c>
    </row>
    <row r="4311" spans="1:3">
      <c r="A4311" t="s">
        <v>5896</v>
      </c>
      <c r="B4311">
        <v>550106</v>
      </c>
      <c r="C4311">
        <v>5500</v>
      </c>
    </row>
    <row r="4312" spans="1:3">
      <c r="A4312" t="s">
        <v>5897</v>
      </c>
      <c r="B4312">
        <v>550107</v>
      </c>
      <c r="C4312">
        <v>5500</v>
      </c>
    </row>
    <row r="4313" spans="1:3">
      <c r="A4313" t="s">
        <v>5898</v>
      </c>
      <c r="B4313">
        <v>550108</v>
      </c>
      <c r="C4313">
        <v>5500</v>
      </c>
    </row>
    <row r="4314" spans="1:3">
      <c r="A4314" t="s">
        <v>5899</v>
      </c>
      <c r="B4314">
        <v>550109</v>
      </c>
      <c r="C4314">
        <v>5501</v>
      </c>
    </row>
    <row r="4315" spans="1:3">
      <c r="A4315" t="s">
        <v>5900</v>
      </c>
      <c r="B4315">
        <v>550110</v>
      </c>
      <c r="C4315">
        <v>5501</v>
      </c>
    </row>
    <row r="4316" spans="1:3">
      <c r="A4316" t="s">
        <v>5901</v>
      </c>
      <c r="B4316">
        <v>550111</v>
      </c>
      <c r="C4316">
        <v>5501</v>
      </c>
    </row>
    <row r="4317" spans="1:3">
      <c r="A4317" t="s">
        <v>5902</v>
      </c>
      <c r="B4317">
        <v>550112</v>
      </c>
      <c r="C4317">
        <v>5501</v>
      </c>
    </row>
    <row r="4318" spans="1:3">
      <c r="A4318" t="s">
        <v>5903</v>
      </c>
      <c r="B4318">
        <v>550113</v>
      </c>
      <c r="C4318">
        <v>5501</v>
      </c>
    </row>
    <row r="4319" spans="1:3">
      <c r="A4319" t="s">
        <v>5904</v>
      </c>
      <c r="B4319">
        <v>550114</v>
      </c>
      <c r="C4319">
        <v>5500</v>
      </c>
    </row>
    <row r="4320" spans="1:3">
      <c r="A4320" t="s">
        <v>5905</v>
      </c>
      <c r="B4320">
        <v>550115</v>
      </c>
      <c r="C4320">
        <v>5500</v>
      </c>
    </row>
    <row r="4321" spans="1:3">
      <c r="A4321" t="s">
        <v>5906</v>
      </c>
      <c r="B4321">
        <v>550116</v>
      </c>
      <c r="C4321">
        <v>5500</v>
      </c>
    </row>
    <row r="4322" spans="1:3">
      <c r="A4322" t="s">
        <v>5907</v>
      </c>
      <c r="B4322">
        <v>550117</v>
      </c>
      <c r="C4322">
        <v>5500</v>
      </c>
    </row>
    <row r="4323" spans="1:3">
      <c r="A4323" t="s">
        <v>5908</v>
      </c>
      <c r="B4323">
        <v>550118</v>
      </c>
      <c r="C4323">
        <v>5500</v>
      </c>
    </row>
    <row r="4324" spans="1:3">
      <c r="A4324" t="s">
        <v>5909</v>
      </c>
      <c r="B4324">
        <v>550119</v>
      </c>
      <c r="C4324">
        <v>5500</v>
      </c>
    </row>
    <row r="4325" spans="1:3">
      <c r="A4325" t="s">
        <v>5910</v>
      </c>
      <c r="B4325">
        <v>550120</v>
      </c>
      <c r="C4325">
        <v>5500</v>
      </c>
    </row>
    <row r="4326" spans="1:3">
      <c r="A4326" t="s">
        <v>5911</v>
      </c>
      <c r="B4326">
        <v>550121</v>
      </c>
      <c r="C4326">
        <v>5500</v>
      </c>
    </row>
    <row r="4327" spans="1:3">
      <c r="A4327" t="s">
        <v>5912</v>
      </c>
      <c r="B4327">
        <v>550122</v>
      </c>
      <c r="C4327">
        <v>5500</v>
      </c>
    </row>
    <row r="4328" spans="1:3">
      <c r="A4328" t="s">
        <v>5913</v>
      </c>
      <c r="B4328">
        <v>550123</v>
      </c>
      <c r="C4328">
        <v>5500</v>
      </c>
    </row>
    <row r="4329" spans="1:3">
      <c r="A4329" t="s">
        <v>5914</v>
      </c>
      <c r="B4329">
        <v>553001</v>
      </c>
      <c r="C4329">
        <v>5503</v>
      </c>
    </row>
    <row r="4330" spans="1:3">
      <c r="A4330" t="s">
        <v>5915</v>
      </c>
      <c r="B4330">
        <v>554001</v>
      </c>
      <c r="C4330">
        <v>5504</v>
      </c>
    </row>
    <row r="4331" spans="1:3">
      <c r="A4331" t="s">
        <v>5916</v>
      </c>
      <c r="B4331">
        <v>555001</v>
      </c>
      <c r="C4331">
        <v>5505</v>
      </c>
    </row>
    <row r="4332" spans="1:3">
      <c r="A4332" t="s">
        <v>5917</v>
      </c>
      <c r="B4332">
        <v>555002</v>
      </c>
      <c r="C4332">
        <v>5505</v>
      </c>
    </row>
    <row r="4333" spans="1:3">
      <c r="A4333" t="s">
        <v>5918</v>
      </c>
      <c r="B4333">
        <v>555003</v>
      </c>
      <c r="C4333">
        <v>5505</v>
      </c>
    </row>
    <row r="4334" spans="1:3">
      <c r="A4334" t="s">
        <v>5919</v>
      </c>
      <c r="B4334">
        <v>555004</v>
      </c>
      <c r="C4334">
        <v>5505</v>
      </c>
    </row>
    <row r="4335" spans="1:3">
      <c r="A4335" t="s">
        <v>5920</v>
      </c>
      <c r="B4335">
        <v>560001</v>
      </c>
      <c r="C4335">
        <v>5600</v>
      </c>
    </row>
    <row r="4336" spans="1:3">
      <c r="A4336" t="s">
        <v>3978</v>
      </c>
      <c r="B4336">
        <v>560002</v>
      </c>
      <c r="C4336">
        <v>5600</v>
      </c>
    </row>
    <row r="4337" spans="1:3">
      <c r="A4337" t="s">
        <v>4001</v>
      </c>
      <c r="B4337">
        <v>560003</v>
      </c>
      <c r="C4337">
        <v>5600</v>
      </c>
    </row>
    <row r="4338" spans="1:3">
      <c r="A4338" t="s">
        <v>5921</v>
      </c>
      <c r="B4338">
        <v>560004</v>
      </c>
      <c r="C4338">
        <v>5600</v>
      </c>
    </row>
    <row r="4339" spans="1:3">
      <c r="A4339" t="s">
        <v>5922</v>
      </c>
      <c r="B4339">
        <v>560005</v>
      </c>
      <c r="C4339">
        <v>5600</v>
      </c>
    </row>
    <row r="4340" spans="1:3">
      <c r="A4340" t="s">
        <v>5923</v>
      </c>
      <c r="B4340">
        <v>560006</v>
      </c>
      <c r="C4340">
        <v>5600</v>
      </c>
    </row>
    <row r="4341" spans="1:3">
      <c r="A4341" t="s">
        <v>5924</v>
      </c>
      <c r="B4341">
        <v>560007</v>
      </c>
      <c r="C4341">
        <v>5600</v>
      </c>
    </row>
    <row r="4342" spans="1:3">
      <c r="A4342" t="s">
        <v>5925</v>
      </c>
      <c r="B4342">
        <v>560008</v>
      </c>
      <c r="C4342">
        <v>5600</v>
      </c>
    </row>
    <row r="4343" spans="1:3">
      <c r="A4343" t="s">
        <v>5926</v>
      </c>
      <c r="B4343">
        <v>560009</v>
      </c>
      <c r="C4343">
        <v>5600</v>
      </c>
    </row>
    <row r="4344" spans="1:3">
      <c r="A4344" t="s">
        <v>5927</v>
      </c>
      <c r="B4344">
        <v>560010</v>
      </c>
      <c r="C4344">
        <v>5600</v>
      </c>
    </row>
    <row r="4345" spans="1:3">
      <c r="A4345" t="s">
        <v>3989</v>
      </c>
      <c r="B4345">
        <v>560011</v>
      </c>
      <c r="C4345">
        <v>5600</v>
      </c>
    </row>
    <row r="4346" spans="1:3">
      <c r="A4346" t="s">
        <v>4017</v>
      </c>
      <c r="B4346">
        <v>560012</v>
      </c>
      <c r="C4346">
        <v>5600</v>
      </c>
    </row>
    <row r="4347" spans="1:3">
      <c r="A4347" t="s">
        <v>4018</v>
      </c>
      <c r="B4347">
        <v>560013</v>
      </c>
      <c r="C4347">
        <v>5600</v>
      </c>
    </row>
    <row r="4348" spans="1:3">
      <c r="A4348" t="s">
        <v>691</v>
      </c>
      <c r="B4348">
        <v>560014</v>
      </c>
      <c r="C4348">
        <v>5600</v>
      </c>
    </row>
    <row r="4349" spans="1:3">
      <c r="A4349" t="s">
        <v>3990</v>
      </c>
      <c r="B4349">
        <v>560015</v>
      </c>
      <c r="C4349">
        <v>5600</v>
      </c>
    </row>
    <row r="4350" spans="1:3">
      <c r="A4350" t="s">
        <v>3991</v>
      </c>
      <c r="B4350">
        <v>560016</v>
      </c>
      <c r="C4350">
        <v>5600</v>
      </c>
    </row>
    <row r="4351" spans="1:3">
      <c r="A4351" t="s">
        <v>4002</v>
      </c>
      <c r="B4351">
        <v>560017</v>
      </c>
      <c r="C4351">
        <v>5600</v>
      </c>
    </row>
    <row r="4352" spans="1:3">
      <c r="A4352" t="s">
        <v>4019</v>
      </c>
      <c r="B4352">
        <v>560018</v>
      </c>
      <c r="C4352">
        <v>5600</v>
      </c>
    </row>
    <row r="4353" spans="1:3">
      <c r="A4353" t="s">
        <v>5928</v>
      </c>
      <c r="B4353">
        <v>560019</v>
      </c>
      <c r="C4353">
        <v>5600</v>
      </c>
    </row>
    <row r="4354" spans="1:3">
      <c r="A4354" t="s">
        <v>5929</v>
      </c>
      <c r="B4354">
        <v>570001</v>
      </c>
      <c r="C4354">
        <v>5700</v>
      </c>
    </row>
    <row r="4355" spans="1:3">
      <c r="A4355" t="s">
        <v>5930</v>
      </c>
      <c r="B4355">
        <v>570002</v>
      </c>
      <c r="C4355">
        <v>5700</v>
      </c>
    </row>
    <row r="4356" spans="1:3">
      <c r="A4356" t="s">
        <v>5931</v>
      </c>
      <c r="B4356">
        <v>570003</v>
      </c>
      <c r="C4356">
        <v>5700</v>
      </c>
    </row>
    <row r="4357" spans="1:3">
      <c r="A4357" t="s">
        <v>5932</v>
      </c>
      <c r="B4357">
        <v>570004</v>
      </c>
      <c r="C4357">
        <v>5700</v>
      </c>
    </row>
    <row r="4358" spans="1:3">
      <c r="A4358" t="s">
        <v>5933</v>
      </c>
      <c r="B4358">
        <v>570005</v>
      </c>
      <c r="C4358">
        <v>5700</v>
      </c>
    </row>
    <row r="4359" spans="1:3">
      <c r="A4359" t="s">
        <v>5934</v>
      </c>
      <c r="B4359">
        <v>570006</v>
      </c>
      <c r="C4359">
        <v>5700</v>
      </c>
    </row>
    <row r="4360" spans="1:3">
      <c r="A4360" t="s">
        <v>5935</v>
      </c>
      <c r="B4360">
        <v>570007</v>
      </c>
      <c r="C4360">
        <v>5700</v>
      </c>
    </row>
    <row r="4361" spans="1:3">
      <c r="A4361" t="s">
        <v>5936</v>
      </c>
      <c r="B4361">
        <v>570008</v>
      </c>
      <c r="C4361">
        <v>5700</v>
      </c>
    </row>
    <row r="4362" spans="1:3">
      <c r="A4362" t="s">
        <v>5937</v>
      </c>
      <c r="B4362">
        <v>570009</v>
      </c>
      <c r="C4362">
        <v>5700</v>
      </c>
    </row>
    <row r="4363" spans="1:3">
      <c r="A4363" t="s">
        <v>5938</v>
      </c>
      <c r="B4363">
        <v>570010</v>
      </c>
      <c r="C4363">
        <v>5700</v>
      </c>
    </row>
    <row r="4364" spans="1:3">
      <c r="A4364" t="s">
        <v>5939</v>
      </c>
      <c r="B4364">
        <v>580001</v>
      </c>
      <c r="C4364">
        <v>5800</v>
      </c>
    </row>
    <row r="4365" spans="1:3">
      <c r="A4365" t="s">
        <v>5940</v>
      </c>
      <c r="B4365">
        <v>580002</v>
      </c>
      <c r="C4365">
        <v>5800</v>
      </c>
    </row>
    <row r="4366" spans="1:3">
      <c r="A4366" t="s">
        <v>5941</v>
      </c>
      <c r="B4366">
        <v>580003</v>
      </c>
      <c r="C4366">
        <v>5800</v>
      </c>
    </row>
    <row r="4367" spans="1:3">
      <c r="A4367" t="s">
        <v>5942</v>
      </c>
      <c r="B4367">
        <v>580004</v>
      </c>
      <c r="C4367">
        <v>5800</v>
      </c>
    </row>
    <row r="4368" spans="1:3">
      <c r="A4368" t="s">
        <v>5943</v>
      </c>
      <c r="B4368">
        <v>580005</v>
      </c>
      <c r="C4368">
        <v>5800</v>
      </c>
    </row>
    <row r="4369" spans="1:3">
      <c r="A4369" t="s">
        <v>5944</v>
      </c>
      <c r="B4369">
        <v>580006</v>
      </c>
      <c r="C4369">
        <v>5800</v>
      </c>
    </row>
    <row r="4370" spans="1:3">
      <c r="A4370" t="s">
        <v>5945</v>
      </c>
      <c r="B4370">
        <v>580007</v>
      </c>
      <c r="C4370">
        <v>5800</v>
      </c>
    </row>
    <row r="4371" spans="1:3">
      <c r="A4371" t="s">
        <v>5946</v>
      </c>
      <c r="B4371">
        <v>580008</v>
      </c>
      <c r="C4371">
        <v>5800</v>
      </c>
    </row>
    <row r="4372" spans="1:3">
      <c r="A4372" t="s">
        <v>5947</v>
      </c>
      <c r="B4372">
        <v>580009</v>
      </c>
      <c r="C4372">
        <v>5800</v>
      </c>
    </row>
    <row r="4373" spans="1:3">
      <c r="A4373" t="s">
        <v>5948</v>
      </c>
      <c r="B4373">
        <v>580010</v>
      </c>
      <c r="C4373">
        <v>5800</v>
      </c>
    </row>
    <row r="4374" spans="1:3">
      <c r="A4374" t="s">
        <v>5949</v>
      </c>
      <c r="B4374">
        <v>580011</v>
      </c>
      <c r="C4374">
        <v>5800</v>
      </c>
    </row>
    <row r="4375" spans="1:3">
      <c r="A4375" t="s">
        <v>5950</v>
      </c>
      <c r="B4375">
        <v>580012</v>
      </c>
      <c r="C4375">
        <v>5800</v>
      </c>
    </row>
    <row r="4376" spans="1:3">
      <c r="A4376" t="s">
        <v>5951</v>
      </c>
      <c r="B4376">
        <v>580013</v>
      </c>
      <c r="C4376">
        <v>5800</v>
      </c>
    </row>
    <row r="4377" spans="1:3">
      <c r="A4377" t="s">
        <v>5952</v>
      </c>
      <c r="B4377">
        <v>580014</v>
      </c>
      <c r="C4377">
        <v>5800</v>
      </c>
    </row>
    <row r="4378" spans="1:3">
      <c r="A4378" t="s">
        <v>5953</v>
      </c>
      <c r="B4378">
        <v>580015</v>
      </c>
      <c r="C4378">
        <v>5800</v>
      </c>
    </row>
    <row r="4379" spans="1:3">
      <c r="A4379" t="s">
        <v>5954</v>
      </c>
      <c r="B4379">
        <v>580016</v>
      </c>
      <c r="C4379">
        <v>5800</v>
      </c>
    </row>
    <row r="4380" spans="1:3">
      <c r="A4380" t="s">
        <v>5955</v>
      </c>
      <c r="B4380">
        <v>580017</v>
      </c>
      <c r="C4380">
        <v>5800</v>
      </c>
    </row>
    <row r="4381" spans="1:3">
      <c r="A4381" t="s">
        <v>5956</v>
      </c>
      <c r="B4381">
        <v>580018</v>
      </c>
      <c r="C4381">
        <v>5800</v>
      </c>
    </row>
    <row r="4382" spans="1:3">
      <c r="A4382" t="s">
        <v>5957</v>
      </c>
      <c r="B4382">
        <v>580019</v>
      </c>
      <c r="C4382">
        <v>5800</v>
      </c>
    </row>
    <row r="4383" spans="1:3">
      <c r="A4383" t="s">
        <v>5958</v>
      </c>
      <c r="B4383">
        <v>580020</v>
      </c>
      <c r="C4383">
        <v>5800</v>
      </c>
    </row>
    <row r="4384" spans="1:3">
      <c r="A4384" t="s">
        <v>5959</v>
      </c>
      <c r="B4384">
        <v>580021</v>
      </c>
      <c r="C4384">
        <v>5800</v>
      </c>
    </row>
    <row r="4385" spans="1:3">
      <c r="A4385" t="s">
        <v>5960</v>
      </c>
      <c r="B4385">
        <v>580022</v>
      </c>
      <c r="C4385">
        <v>5800</v>
      </c>
    </row>
    <row r="4386" spans="1:3">
      <c r="A4386" t="s">
        <v>5961</v>
      </c>
      <c r="B4386">
        <v>580023</v>
      </c>
      <c r="C4386">
        <v>5800</v>
      </c>
    </row>
    <row r="4387" spans="1:3">
      <c r="A4387" t="s">
        <v>5962</v>
      </c>
      <c r="B4387">
        <v>580024</v>
      </c>
      <c r="C4387">
        <v>5800</v>
      </c>
    </row>
    <row r="4388" spans="1:3">
      <c r="A4388" t="s">
        <v>5963</v>
      </c>
      <c r="B4388">
        <v>580025</v>
      </c>
      <c r="C4388">
        <v>5800</v>
      </c>
    </row>
    <row r="4389" spans="1:3">
      <c r="A4389" t="s">
        <v>5964</v>
      </c>
      <c r="B4389">
        <v>580026</v>
      </c>
      <c r="C4389">
        <v>5800</v>
      </c>
    </row>
    <row r="4390" spans="1:3">
      <c r="A4390" t="s">
        <v>5965</v>
      </c>
      <c r="B4390">
        <v>580027</v>
      </c>
      <c r="C4390">
        <v>5800</v>
      </c>
    </row>
    <row r="4391" spans="1:3">
      <c r="A4391" t="s">
        <v>5966</v>
      </c>
      <c r="B4391">
        <v>580028</v>
      </c>
      <c r="C4391">
        <v>5800</v>
      </c>
    </row>
    <row r="4392" spans="1:3">
      <c r="A4392" t="s">
        <v>5967</v>
      </c>
      <c r="B4392">
        <v>580029</v>
      </c>
      <c r="C4392">
        <v>5800</v>
      </c>
    </row>
    <row r="4393" spans="1:3">
      <c r="A4393" t="s">
        <v>5968</v>
      </c>
      <c r="B4393">
        <v>580030</v>
      </c>
      <c r="C4393">
        <v>5800</v>
      </c>
    </row>
    <row r="4394" spans="1:3">
      <c r="A4394" t="s">
        <v>5969</v>
      </c>
      <c r="B4394">
        <v>600001</v>
      </c>
      <c r="C4394">
        <v>6000</v>
      </c>
    </row>
    <row r="4395" spans="1:3">
      <c r="A4395" t="s">
        <v>5970</v>
      </c>
      <c r="B4395">
        <v>600002</v>
      </c>
      <c r="C4395">
        <v>6000</v>
      </c>
    </row>
    <row r="4396" spans="1:3">
      <c r="A4396" t="s">
        <v>5971</v>
      </c>
      <c r="B4396">
        <v>600003</v>
      </c>
      <c r="C4396">
        <v>6000</v>
      </c>
    </row>
    <row r="4397" spans="1:3">
      <c r="A4397" t="s">
        <v>5972</v>
      </c>
      <c r="B4397">
        <v>610001</v>
      </c>
      <c r="C4397">
        <v>6100</v>
      </c>
    </row>
    <row r="4398" spans="1:3">
      <c r="A4398" t="s">
        <v>5973</v>
      </c>
      <c r="B4398">
        <v>610002</v>
      </c>
      <c r="C4398">
        <v>6100</v>
      </c>
    </row>
    <row r="4399" spans="1:3">
      <c r="A4399" t="s">
        <v>5974</v>
      </c>
      <c r="B4399">
        <v>610003</v>
      </c>
      <c r="C4399">
        <v>6100</v>
      </c>
    </row>
    <row r="4400" spans="1:3">
      <c r="A4400" t="s">
        <v>585</v>
      </c>
      <c r="B4400">
        <v>620001</v>
      </c>
      <c r="C4400">
        <v>6200</v>
      </c>
    </row>
    <row r="4401" spans="1:3">
      <c r="A4401" t="s">
        <v>1328</v>
      </c>
      <c r="B4401">
        <v>620002</v>
      </c>
      <c r="C4401">
        <v>6200</v>
      </c>
    </row>
    <row r="4402" spans="1:3">
      <c r="A4402" t="s">
        <v>3870</v>
      </c>
      <c r="B4402">
        <v>620003</v>
      </c>
      <c r="C4402">
        <v>6200</v>
      </c>
    </row>
    <row r="4403" spans="1:3">
      <c r="A4403" t="s">
        <v>5975</v>
      </c>
      <c r="B4403">
        <v>620004</v>
      </c>
      <c r="C4403">
        <v>6200</v>
      </c>
    </row>
    <row r="4404" spans="1:3">
      <c r="B4404">
        <v>1400201</v>
      </c>
      <c r="C4404">
        <v>1400</v>
      </c>
    </row>
    <row r="4405" spans="1:3">
      <c r="B4405">
        <v>2900031</v>
      </c>
      <c r="C4405">
        <v>2900</v>
      </c>
    </row>
  </sheetData>
  <phoneticPr fontId="2" type="noConversion"/>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3AAC-8E51-6E4B-B866-B586F6DA4CF9}">
  <sheetPr codeName="Sheet13"/>
  <dimension ref="A1:D132"/>
  <sheetViews>
    <sheetView topLeftCell="A108" zoomScale="189" workbookViewId="0">
      <selection activeCell="A114" sqref="A114"/>
    </sheetView>
  </sheetViews>
  <sheetFormatPr baseColWidth="10" defaultColWidth="11" defaultRowHeight="17"/>
  <cols>
    <col min="1" max="1" width="37" bestFit="1" customWidth="1"/>
    <col min="2" max="2" width="21.5" customWidth="1"/>
  </cols>
  <sheetData>
    <row r="1" spans="1:2" ht="18" thickBot="1">
      <c r="A1" s="114" t="s">
        <v>5976</v>
      </c>
      <c r="B1" s="115" t="s">
        <v>5977</v>
      </c>
    </row>
    <row r="2" spans="1:2" ht="18" thickBot="1">
      <c r="A2" s="112" t="s">
        <v>821</v>
      </c>
      <c r="B2" s="113" t="s">
        <v>5978</v>
      </c>
    </row>
    <row r="3" spans="1:2" ht="18" thickBot="1">
      <c r="A3" s="112" t="s">
        <v>5979</v>
      </c>
      <c r="B3" s="113" t="s">
        <v>5980</v>
      </c>
    </row>
    <row r="4" spans="1:2" ht="18" thickBot="1">
      <c r="A4" s="112" t="s">
        <v>5981</v>
      </c>
      <c r="B4" s="113" t="s">
        <v>5982</v>
      </c>
    </row>
    <row r="5" spans="1:2" ht="18" thickBot="1">
      <c r="A5" s="112" t="s">
        <v>5983</v>
      </c>
      <c r="B5" s="113" t="s">
        <v>5984</v>
      </c>
    </row>
    <row r="6" spans="1:2" ht="18" thickBot="1">
      <c r="A6" s="112" t="s">
        <v>689</v>
      </c>
      <c r="B6" s="113" t="s">
        <v>5985</v>
      </c>
    </row>
    <row r="7" spans="1:2" ht="18" thickBot="1">
      <c r="A7" s="112" t="s">
        <v>650</v>
      </c>
      <c r="B7" s="113" t="s">
        <v>5986</v>
      </c>
    </row>
    <row r="8" spans="1:2" ht="18" thickBot="1">
      <c r="A8" s="112" t="s">
        <v>5987</v>
      </c>
      <c r="B8" s="113" t="s">
        <v>5988</v>
      </c>
    </row>
    <row r="9" spans="1:2" ht="18" thickBot="1">
      <c r="A9" s="112" t="s">
        <v>5989</v>
      </c>
      <c r="B9" s="113" t="s">
        <v>5990</v>
      </c>
    </row>
    <row r="10" spans="1:2" ht="18" thickBot="1">
      <c r="A10" s="112" t="s">
        <v>5991</v>
      </c>
      <c r="B10" s="113" t="s">
        <v>5992</v>
      </c>
    </row>
    <row r="11" spans="1:2" ht="18" thickBot="1">
      <c r="A11" s="112" t="s">
        <v>5993</v>
      </c>
      <c r="B11" s="113" t="s">
        <v>5994</v>
      </c>
    </row>
    <row r="12" spans="1:2" ht="18" thickBot="1">
      <c r="A12" s="112" t="s">
        <v>5995</v>
      </c>
      <c r="B12" s="113" t="s">
        <v>5996</v>
      </c>
    </row>
    <row r="13" spans="1:2" ht="18" thickBot="1">
      <c r="A13" s="112" t="s">
        <v>5997</v>
      </c>
      <c r="B13" s="113" t="s">
        <v>5998</v>
      </c>
    </row>
    <row r="14" spans="1:2" ht="18" thickBot="1">
      <c r="A14" s="112" t="s">
        <v>5999</v>
      </c>
      <c r="B14" s="113" t="s">
        <v>6000</v>
      </c>
    </row>
    <row r="15" spans="1:2" ht="18" thickBot="1">
      <c r="A15" s="112" t="s">
        <v>596</v>
      </c>
      <c r="B15" s="113" t="s">
        <v>6001</v>
      </c>
    </row>
    <row r="16" spans="1:2" ht="18" thickBot="1">
      <c r="A16" s="112" t="s">
        <v>6002</v>
      </c>
      <c r="B16" s="113" t="s">
        <v>6003</v>
      </c>
    </row>
    <row r="17" spans="1:2" ht="18" thickBot="1">
      <c r="A17" s="112" t="s">
        <v>6004</v>
      </c>
      <c r="B17" s="113" t="s">
        <v>6005</v>
      </c>
    </row>
    <row r="18" spans="1:2" ht="18" thickBot="1">
      <c r="A18" s="112" t="s">
        <v>6006</v>
      </c>
      <c r="B18" s="113" t="s">
        <v>6007</v>
      </c>
    </row>
    <row r="19" spans="1:2" ht="18" thickBot="1">
      <c r="A19" s="112" t="s">
        <v>635</v>
      </c>
      <c r="B19" s="113" t="s">
        <v>6008</v>
      </c>
    </row>
    <row r="20" spans="1:2" ht="18" thickBot="1">
      <c r="A20" s="112" t="s">
        <v>6009</v>
      </c>
      <c r="B20" s="113" t="s">
        <v>6010</v>
      </c>
    </row>
    <row r="21" spans="1:2" ht="18" thickBot="1">
      <c r="A21" s="112" t="s">
        <v>6011</v>
      </c>
      <c r="B21" s="113" t="s">
        <v>6012</v>
      </c>
    </row>
    <row r="22" spans="1:2" ht="18" thickBot="1">
      <c r="A22" s="112" t="s">
        <v>611</v>
      </c>
      <c r="B22" s="113" t="s">
        <v>6013</v>
      </c>
    </row>
    <row r="23" spans="1:2" ht="18" thickBot="1">
      <c r="A23" s="112" t="s">
        <v>663</v>
      </c>
      <c r="B23" s="113" t="s">
        <v>6014</v>
      </c>
    </row>
    <row r="24" spans="1:2" ht="18" thickBot="1">
      <c r="A24" s="112" t="s">
        <v>6015</v>
      </c>
      <c r="B24" s="113" t="s">
        <v>6016</v>
      </c>
    </row>
    <row r="25" spans="1:2" ht="18" thickBot="1">
      <c r="A25" s="112" t="s">
        <v>6017</v>
      </c>
      <c r="B25" s="113" t="s">
        <v>6018</v>
      </c>
    </row>
    <row r="26" spans="1:2" ht="18" thickBot="1">
      <c r="A26" s="112" t="s">
        <v>6019</v>
      </c>
      <c r="B26" s="113" t="s">
        <v>6020</v>
      </c>
    </row>
    <row r="27" spans="1:2" ht="18" thickBot="1">
      <c r="A27" s="112" t="s">
        <v>6021</v>
      </c>
      <c r="B27" s="113" t="s">
        <v>6022</v>
      </c>
    </row>
    <row r="28" spans="1:2" ht="18" thickBot="1">
      <c r="A28" s="112" t="s">
        <v>6023</v>
      </c>
      <c r="B28" s="113" t="s">
        <v>6024</v>
      </c>
    </row>
    <row r="29" spans="1:2" ht="18" thickBot="1">
      <c r="A29" s="112" t="s">
        <v>6025</v>
      </c>
      <c r="B29" s="113" t="s">
        <v>6026</v>
      </c>
    </row>
    <row r="30" spans="1:2" ht="18" thickBot="1">
      <c r="A30" s="112" t="s">
        <v>5993</v>
      </c>
      <c r="B30" s="113" t="s">
        <v>6027</v>
      </c>
    </row>
    <row r="31" spans="1:2" ht="18" thickBot="1">
      <c r="A31" s="112" t="s">
        <v>370</v>
      </c>
      <c r="B31" s="113" t="s">
        <v>6028</v>
      </c>
    </row>
    <row r="32" spans="1:2" ht="18" thickBot="1">
      <c r="A32" s="112" t="s">
        <v>6029</v>
      </c>
      <c r="B32" s="113" t="s">
        <v>6030</v>
      </c>
    </row>
    <row r="33" spans="1:2" ht="18" thickBot="1">
      <c r="A33" s="112" t="s">
        <v>6029</v>
      </c>
      <c r="B33" s="113" t="s">
        <v>6031</v>
      </c>
    </row>
    <row r="34" spans="1:2" ht="18" thickBot="1">
      <c r="A34" s="112" t="s">
        <v>6029</v>
      </c>
      <c r="B34" s="113" t="s">
        <v>6032</v>
      </c>
    </row>
    <row r="35" spans="1:2" ht="18" thickBot="1">
      <c r="A35" s="112" t="s">
        <v>6033</v>
      </c>
      <c r="B35" s="113" t="s">
        <v>6034</v>
      </c>
    </row>
    <row r="36" spans="1:2" ht="18" thickBot="1">
      <c r="A36" s="112" t="s">
        <v>1498</v>
      </c>
      <c r="B36" s="113" t="s">
        <v>6035</v>
      </c>
    </row>
    <row r="37" spans="1:2" ht="18" thickBot="1">
      <c r="A37" s="112" t="s">
        <v>6036</v>
      </c>
      <c r="B37" s="113" t="s">
        <v>6037</v>
      </c>
    </row>
    <row r="38" spans="1:2" ht="18" thickBot="1">
      <c r="A38" s="112" t="s">
        <v>6038</v>
      </c>
      <c r="B38" s="113" t="s">
        <v>6039</v>
      </c>
    </row>
    <row r="39" spans="1:2" ht="18" thickBot="1">
      <c r="A39" s="112" t="s">
        <v>6040</v>
      </c>
      <c r="B39" s="113" t="s">
        <v>6041</v>
      </c>
    </row>
    <row r="40" spans="1:2" ht="18" thickBot="1">
      <c r="A40" s="112" t="s">
        <v>594</v>
      </c>
      <c r="B40" s="113" t="s">
        <v>6042</v>
      </c>
    </row>
    <row r="41" spans="1:2" ht="18" thickBot="1">
      <c r="A41" s="112" t="s">
        <v>679</v>
      </c>
      <c r="B41" s="113" t="s">
        <v>6043</v>
      </c>
    </row>
    <row r="42" spans="1:2" ht="18" thickBot="1">
      <c r="A42" s="112" t="s">
        <v>6044</v>
      </c>
      <c r="B42" s="113" t="s">
        <v>6045</v>
      </c>
    </row>
    <row r="43" spans="1:2" ht="18" thickBot="1">
      <c r="A43" s="112" t="s">
        <v>1053</v>
      </c>
      <c r="B43" s="113" t="s">
        <v>6046</v>
      </c>
    </row>
    <row r="44" spans="1:2" ht="18" thickBot="1">
      <c r="A44" s="112" t="s">
        <v>6047</v>
      </c>
      <c r="B44" s="113" t="s">
        <v>6048</v>
      </c>
    </row>
    <row r="45" spans="1:2" ht="18" thickBot="1">
      <c r="A45" s="112" t="s">
        <v>629</v>
      </c>
      <c r="B45" s="113" t="s">
        <v>6049</v>
      </c>
    </row>
    <row r="46" spans="1:2" ht="18" thickBot="1">
      <c r="A46" s="112" t="s">
        <v>703</v>
      </c>
      <c r="B46" s="113" t="s">
        <v>6050</v>
      </c>
    </row>
    <row r="47" spans="1:2" ht="18" thickBot="1">
      <c r="A47" s="112" t="s">
        <v>621</v>
      </c>
      <c r="B47" s="113" t="s">
        <v>6051</v>
      </c>
    </row>
    <row r="48" spans="1:2" ht="18" thickBot="1">
      <c r="A48" s="112" t="s">
        <v>6052</v>
      </c>
      <c r="B48" s="113" t="s">
        <v>6053</v>
      </c>
    </row>
    <row r="49" spans="1:2" ht="18" thickBot="1">
      <c r="A49" s="112" t="s">
        <v>620</v>
      </c>
      <c r="B49" s="113" t="s">
        <v>6054</v>
      </c>
    </row>
    <row r="50" spans="1:2" ht="18" thickBot="1">
      <c r="A50" s="112" t="s">
        <v>6055</v>
      </c>
      <c r="B50" s="113" t="s">
        <v>6056</v>
      </c>
    </row>
    <row r="51" spans="1:2" ht="18" thickBot="1">
      <c r="A51" s="112" t="s">
        <v>6057</v>
      </c>
      <c r="B51" s="113" t="s">
        <v>6058</v>
      </c>
    </row>
    <row r="52" spans="1:2" ht="18" thickBot="1">
      <c r="A52" s="112" t="s">
        <v>6059</v>
      </c>
      <c r="B52" s="113" t="s">
        <v>6060</v>
      </c>
    </row>
    <row r="53" spans="1:2" ht="18" thickBot="1">
      <c r="A53" s="112" t="s">
        <v>6061</v>
      </c>
      <c r="B53" s="113" t="s">
        <v>6062</v>
      </c>
    </row>
    <row r="54" spans="1:2" ht="18" thickBot="1">
      <c r="A54" s="112" t="s">
        <v>6063</v>
      </c>
      <c r="B54" s="113" t="s">
        <v>6064</v>
      </c>
    </row>
    <row r="55" spans="1:2" ht="18" thickBot="1">
      <c r="A55" s="112" t="s">
        <v>1366</v>
      </c>
      <c r="B55" s="113" t="s">
        <v>6065</v>
      </c>
    </row>
    <row r="56" spans="1:2" ht="18" thickBot="1">
      <c r="A56" s="112" t="s">
        <v>672</v>
      </c>
      <c r="B56" s="113" t="s">
        <v>6066</v>
      </c>
    </row>
    <row r="57" spans="1:2" ht="18" thickBot="1">
      <c r="A57" s="112" t="s">
        <v>6067</v>
      </c>
      <c r="B57" s="113" t="s">
        <v>6068</v>
      </c>
    </row>
    <row r="58" spans="1:2" ht="18" thickBot="1">
      <c r="A58" s="112" t="s">
        <v>716</v>
      </c>
      <c r="B58" s="113" t="s">
        <v>6069</v>
      </c>
    </row>
    <row r="59" spans="1:2" ht="18" thickBot="1">
      <c r="A59" s="112" t="s">
        <v>6070</v>
      </c>
      <c r="B59" s="113" t="s">
        <v>6071</v>
      </c>
    </row>
    <row r="60" spans="1:2" ht="18" thickBot="1">
      <c r="A60" s="112" t="s">
        <v>1378</v>
      </c>
      <c r="B60" s="113" t="s">
        <v>6072</v>
      </c>
    </row>
    <row r="61" spans="1:2" ht="18" thickBot="1">
      <c r="A61" s="112" t="s">
        <v>6073</v>
      </c>
      <c r="B61" s="113" t="s">
        <v>6074</v>
      </c>
    </row>
    <row r="62" spans="1:2" ht="18" thickBot="1">
      <c r="A62" s="112" t="s">
        <v>622</v>
      </c>
      <c r="B62" s="113" t="s">
        <v>6075</v>
      </c>
    </row>
    <row r="63" spans="1:2" ht="18" thickBot="1">
      <c r="A63" s="112" t="s">
        <v>6076</v>
      </c>
      <c r="B63" s="113" t="s">
        <v>6077</v>
      </c>
    </row>
    <row r="64" spans="1:2" ht="18" thickBot="1">
      <c r="A64" s="112" t="s">
        <v>602</v>
      </c>
      <c r="B64" s="113" t="s">
        <v>6078</v>
      </c>
    </row>
    <row r="65" spans="1:2" ht="18" thickBot="1">
      <c r="A65" s="112" t="s">
        <v>6079</v>
      </c>
      <c r="B65" s="113" t="s">
        <v>6080</v>
      </c>
    </row>
    <row r="66" spans="1:2" ht="18" thickBot="1">
      <c r="A66" s="112" t="s">
        <v>6081</v>
      </c>
      <c r="B66" s="113" t="s">
        <v>6082</v>
      </c>
    </row>
    <row r="67" spans="1:2" ht="18" thickBot="1">
      <c r="A67" s="112" t="s">
        <v>660</v>
      </c>
      <c r="B67" s="113" t="s">
        <v>6083</v>
      </c>
    </row>
    <row r="68" spans="1:2" ht="18" thickBot="1">
      <c r="A68" s="112" t="s">
        <v>6084</v>
      </c>
      <c r="B68" s="113" t="s">
        <v>6085</v>
      </c>
    </row>
    <row r="69" spans="1:2" ht="18" thickBot="1">
      <c r="A69" s="112" t="s">
        <v>6086</v>
      </c>
      <c r="B69" s="113" t="s">
        <v>6087</v>
      </c>
    </row>
    <row r="70" spans="1:2" ht="18" thickBot="1">
      <c r="A70" s="112" t="s">
        <v>624</v>
      </c>
      <c r="B70" s="113" t="s">
        <v>6088</v>
      </c>
    </row>
    <row r="71" spans="1:2" ht="18" thickBot="1">
      <c r="A71" s="112" t="s">
        <v>1745</v>
      </c>
      <c r="B71" s="113" t="s">
        <v>6089</v>
      </c>
    </row>
    <row r="72" spans="1:2" ht="18" thickBot="1">
      <c r="A72" s="112" t="s">
        <v>6090</v>
      </c>
      <c r="B72" s="113" t="s">
        <v>6091</v>
      </c>
    </row>
    <row r="73" spans="1:2" ht="18" thickBot="1">
      <c r="A73" s="112" t="s">
        <v>6092</v>
      </c>
      <c r="B73" s="113" t="s">
        <v>6093</v>
      </c>
    </row>
    <row r="74" spans="1:2" ht="18" thickBot="1">
      <c r="A74" s="112" t="s">
        <v>6094</v>
      </c>
      <c r="B74" s="113" t="s">
        <v>6095</v>
      </c>
    </row>
    <row r="75" spans="1:2" ht="18" thickBot="1">
      <c r="A75" s="112" t="s">
        <v>6096</v>
      </c>
      <c r="B75" s="113" t="s">
        <v>6097</v>
      </c>
    </row>
    <row r="76" spans="1:2" ht="18" thickBot="1">
      <c r="A76" s="112" t="s">
        <v>6098</v>
      </c>
      <c r="B76" s="113" t="s">
        <v>6099</v>
      </c>
    </row>
    <row r="77" spans="1:2" ht="18" thickBot="1">
      <c r="A77" s="112" t="s">
        <v>652</v>
      </c>
      <c r="B77" s="113" t="s">
        <v>6100</v>
      </c>
    </row>
    <row r="78" spans="1:2" ht="18" thickBot="1">
      <c r="A78" s="112" t="s">
        <v>6101</v>
      </c>
      <c r="B78" s="113" t="s">
        <v>6102</v>
      </c>
    </row>
    <row r="79" spans="1:2" ht="18" thickBot="1">
      <c r="A79" s="112" t="s">
        <v>6103</v>
      </c>
      <c r="B79" s="113" t="s">
        <v>6104</v>
      </c>
    </row>
    <row r="80" spans="1:2" ht="18" thickBot="1">
      <c r="A80" s="112" t="s">
        <v>598</v>
      </c>
      <c r="B80" s="113" t="s">
        <v>6105</v>
      </c>
    </row>
    <row r="81" spans="1:2" ht="18" thickBot="1">
      <c r="A81" s="112" t="s">
        <v>6106</v>
      </c>
      <c r="B81" s="113" t="s">
        <v>6107</v>
      </c>
    </row>
    <row r="82" spans="1:2" ht="18" thickBot="1">
      <c r="A82" s="112" t="s">
        <v>6108</v>
      </c>
      <c r="B82" s="113" t="s">
        <v>6109</v>
      </c>
    </row>
    <row r="83" spans="1:2" ht="18" thickBot="1">
      <c r="A83" s="112" t="s">
        <v>1168</v>
      </c>
      <c r="B83" s="113" t="s">
        <v>6110</v>
      </c>
    </row>
    <row r="84" spans="1:2" ht="18" thickBot="1">
      <c r="A84" s="112" t="s">
        <v>6111</v>
      </c>
      <c r="B84" s="113" t="s">
        <v>6112</v>
      </c>
    </row>
    <row r="85" spans="1:2" ht="18" thickBot="1">
      <c r="A85" s="112" t="s">
        <v>6113</v>
      </c>
      <c r="B85" s="113" t="s">
        <v>6114</v>
      </c>
    </row>
    <row r="86" spans="1:2" ht="18" thickBot="1">
      <c r="A86" s="112" t="s">
        <v>702</v>
      </c>
      <c r="B86" s="113" t="s">
        <v>6115</v>
      </c>
    </row>
    <row r="87" spans="1:2" ht="18" thickBot="1">
      <c r="A87" s="112" t="s">
        <v>6116</v>
      </c>
      <c r="B87" s="113" t="s">
        <v>6117</v>
      </c>
    </row>
    <row r="88" spans="1:2">
      <c r="A88" s="112" t="s">
        <v>1103</v>
      </c>
      <c r="B88" s="113" t="s">
        <v>6118</v>
      </c>
    </row>
    <row r="89" spans="1:2" ht="18" thickBot="1">
      <c r="A89" s="112" t="s">
        <v>716</v>
      </c>
      <c r="B89" s="113" t="s">
        <v>6119</v>
      </c>
    </row>
    <row r="90" spans="1:2" ht="18" thickBot="1">
      <c r="A90" s="112" t="s">
        <v>6120</v>
      </c>
      <c r="B90" s="113" t="s">
        <v>6121</v>
      </c>
    </row>
    <row r="91" spans="1:2" ht="18" thickBot="1">
      <c r="A91" s="112" t="s">
        <v>6122</v>
      </c>
      <c r="B91" s="113" t="s">
        <v>6123</v>
      </c>
    </row>
    <row r="92" spans="1:2" ht="18" thickBot="1">
      <c r="A92" s="112" t="s">
        <v>625</v>
      </c>
      <c r="B92" s="113" t="s">
        <v>6124</v>
      </c>
    </row>
    <row r="93" spans="1:2" ht="18" thickBot="1">
      <c r="A93" s="112" t="s">
        <v>6076</v>
      </c>
      <c r="B93" s="113" t="s">
        <v>6125</v>
      </c>
    </row>
    <row r="94" spans="1:2" ht="18" thickBot="1">
      <c r="A94" s="112" t="s">
        <v>6126</v>
      </c>
      <c r="B94" s="113" t="s">
        <v>6127</v>
      </c>
    </row>
    <row r="95" spans="1:2" ht="18" thickBot="1">
      <c r="A95" s="112" t="s">
        <v>6128</v>
      </c>
      <c r="B95" s="113" t="s">
        <v>6129</v>
      </c>
    </row>
    <row r="96" spans="1:2" ht="18" thickBot="1">
      <c r="A96" s="112" t="s">
        <v>676</v>
      </c>
      <c r="B96" s="113" t="s">
        <v>6130</v>
      </c>
    </row>
    <row r="97" spans="1:2" ht="18" thickBot="1">
      <c r="A97" s="112" t="s">
        <v>6131</v>
      </c>
      <c r="B97" s="113" t="s">
        <v>6132</v>
      </c>
    </row>
    <row r="98" spans="1:2" ht="18" thickBot="1">
      <c r="A98" s="112" t="s">
        <v>6133</v>
      </c>
      <c r="B98" s="113" t="s">
        <v>6134</v>
      </c>
    </row>
    <row r="99" spans="1:2" ht="18" thickBot="1">
      <c r="A99" s="112" t="s">
        <v>6135</v>
      </c>
      <c r="B99" s="113" t="s">
        <v>6136</v>
      </c>
    </row>
    <row r="100" spans="1:2" ht="18" thickBot="1">
      <c r="A100" s="112" t="s">
        <v>6137</v>
      </c>
      <c r="B100" s="113" t="s">
        <v>6138</v>
      </c>
    </row>
    <row r="101" spans="1:2" ht="18" thickBot="1">
      <c r="A101" s="112" t="s">
        <v>6139</v>
      </c>
      <c r="B101" s="113" t="s">
        <v>6140</v>
      </c>
    </row>
    <row r="102" spans="1:2" ht="18" thickBot="1">
      <c r="A102" s="112" t="s">
        <v>6141</v>
      </c>
      <c r="B102" s="113" t="s">
        <v>6142</v>
      </c>
    </row>
    <row r="103" spans="1:2" ht="18" thickBot="1">
      <c r="A103" s="112" t="s">
        <v>6143</v>
      </c>
      <c r="B103" s="113" t="s">
        <v>6144</v>
      </c>
    </row>
    <row r="104" spans="1:2" ht="18" thickBot="1">
      <c r="A104" s="112" t="s">
        <v>6145</v>
      </c>
      <c r="B104" s="113" t="s">
        <v>6146</v>
      </c>
    </row>
    <row r="105" spans="1:2" ht="18" thickBot="1">
      <c r="A105" s="112" t="s">
        <v>6147</v>
      </c>
      <c r="B105" s="113" t="s">
        <v>6148</v>
      </c>
    </row>
    <row r="106" spans="1:2" ht="18" thickBot="1">
      <c r="A106" s="112" t="s">
        <v>6149</v>
      </c>
      <c r="B106" s="113" t="s">
        <v>6150</v>
      </c>
    </row>
    <row r="107" spans="1:2" ht="18" thickBot="1">
      <c r="A107" s="112" t="s">
        <v>6151</v>
      </c>
      <c r="B107" s="113" t="s">
        <v>6152</v>
      </c>
    </row>
    <row r="108" spans="1:2" ht="18" thickBot="1">
      <c r="A108" s="112" t="s">
        <v>6153</v>
      </c>
      <c r="B108" s="113" t="s">
        <v>6154</v>
      </c>
    </row>
    <row r="109" spans="1:2" ht="18" thickBot="1">
      <c r="A109" s="112" t="s">
        <v>6155</v>
      </c>
      <c r="B109" s="113" t="s">
        <v>6156</v>
      </c>
    </row>
    <row r="110" spans="1:2" ht="18" thickBot="1">
      <c r="A110" s="112" t="s">
        <v>6157</v>
      </c>
      <c r="B110" s="113" t="s">
        <v>6158</v>
      </c>
    </row>
    <row r="111" spans="1:2" ht="18" thickBot="1">
      <c r="A111" s="112" t="s">
        <v>831</v>
      </c>
      <c r="B111" s="113" t="s">
        <v>6159</v>
      </c>
    </row>
    <row r="112" spans="1:2" ht="18" thickBot="1">
      <c r="A112" s="112" t="s">
        <v>6160</v>
      </c>
      <c r="B112" s="113" t="s">
        <v>6161</v>
      </c>
    </row>
    <row r="113" spans="1:2" ht="18" thickBot="1">
      <c r="A113" s="112" t="s">
        <v>35</v>
      </c>
      <c r="B113" s="113" t="s">
        <v>6162</v>
      </c>
    </row>
    <row r="114" spans="1:2" ht="18" thickBot="1">
      <c r="A114" s="112" t="s">
        <v>6219</v>
      </c>
      <c r="B114" s="113" t="s">
        <v>6163</v>
      </c>
    </row>
    <row r="115" spans="1:2" ht="18" thickBot="1">
      <c r="A115" s="112" t="s">
        <v>6164</v>
      </c>
      <c r="B115" s="113" t="s">
        <v>6165</v>
      </c>
    </row>
    <row r="116" spans="1:2" ht="18" thickBot="1">
      <c r="A116" s="112" t="s">
        <v>1443</v>
      </c>
      <c r="B116" s="113" t="s">
        <v>6166</v>
      </c>
    </row>
    <row r="117" spans="1:2" ht="18" thickBot="1">
      <c r="A117" s="112" t="s">
        <v>5987</v>
      </c>
      <c r="B117" s="113" t="s">
        <v>6167</v>
      </c>
    </row>
    <row r="118" spans="1:2" ht="18" thickBot="1">
      <c r="A118" s="112" t="s">
        <v>5989</v>
      </c>
      <c r="B118" s="113" t="s">
        <v>6168</v>
      </c>
    </row>
    <row r="119" spans="1:2" ht="18" thickBot="1">
      <c r="A119" s="112" t="s">
        <v>370</v>
      </c>
      <c r="B119" s="113" t="s">
        <v>6169</v>
      </c>
    </row>
    <row r="120" spans="1:2" ht="18" thickBot="1">
      <c r="A120" s="112" t="s">
        <v>1498</v>
      </c>
      <c r="B120" s="113" t="s">
        <v>6170</v>
      </c>
    </row>
    <row r="121" spans="1:2" ht="18" thickBot="1">
      <c r="A121" s="112" t="s">
        <v>6036</v>
      </c>
      <c r="B121" s="113" t="s">
        <v>6171</v>
      </c>
    </row>
    <row r="122" spans="1:2" ht="18" thickBot="1">
      <c r="A122" s="112" t="s">
        <v>6038</v>
      </c>
      <c r="B122" s="113" t="s">
        <v>6172</v>
      </c>
    </row>
    <row r="123" spans="1:2" ht="18" thickBot="1">
      <c r="A123" s="112" t="s">
        <v>6173</v>
      </c>
      <c r="B123" s="113" t="s">
        <v>6174</v>
      </c>
    </row>
    <row r="124" spans="1:2" ht="18" thickBot="1">
      <c r="A124" s="112" t="s">
        <v>602</v>
      </c>
      <c r="B124" s="113" t="s">
        <v>6175</v>
      </c>
    </row>
    <row r="125" spans="1:2" ht="18" thickBot="1">
      <c r="A125" s="112" t="s">
        <v>6176</v>
      </c>
      <c r="B125" s="113" t="s">
        <v>6177</v>
      </c>
    </row>
    <row r="126" spans="1:2" ht="18" thickBot="1">
      <c r="A126" s="112" t="s">
        <v>598</v>
      </c>
      <c r="B126" s="113" t="s">
        <v>6178</v>
      </c>
    </row>
    <row r="127" spans="1:2" ht="18" thickBot="1">
      <c r="A127" s="112" t="s">
        <v>621</v>
      </c>
      <c r="B127" s="113" t="s">
        <v>6179</v>
      </c>
    </row>
    <row r="128" spans="1:2" ht="18" thickBot="1">
      <c r="A128" s="112" t="s">
        <v>6180</v>
      </c>
      <c r="B128" s="113" t="s">
        <v>6181</v>
      </c>
    </row>
    <row r="129" spans="1:4">
      <c r="A129" s="116" t="s">
        <v>6182</v>
      </c>
      <c r="B129" s="117" t="s">
        <v>6183</v>
      </c>
    </row>
    <row r="130" spans="1:4">
      <c r="A130" s="116" t="s">
        <v>630</v>
      </c>
      <c r="B130" s="117" t="s">
        <v>6184</v>
      </c>
    </row>
    <row r="131" spans="1:4">
      <c r="A131" s="262" t="s">
        <v>6185</v>
      </c>
      <c r="B131" s="116" t="s">
        <v>6186</v>
      </c>
      <c r="D131" s="262"/>
    </row>
    <row r="132" spans="1:4">
      <c r="A132" s="116" t="s">
        <v>1347</v>
      </c>
      <c r="B132" s="117" t="s">
        <v>6187</v>
      </c>
    </row>
  </sheetData>
  <phoneticPr fontId="2" type="noConversion"/>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da3de5ce-214a-410a-afc1-faacf1f115f7">
      <UserInfo>
        <DisplayName>Donghyun Cho (조동현)</DisplayName>
        <AccountId>33</AccountId>
        <AccountType/>
      </UserInfo>
      <UserInfo>
        <DisplayName>Sangheon Lee (이상헌)</DisplayName>
        <AccountId>249</AccountId>
        <AccountType/>
      </UserInfo>
      <UserInfo>
        <DisplayName>Minu Lee (이민우)</DisplayName>
        <AccountId>394</AccountId>
        <AccountType/>
      </UserInfo>
      <UserInfo>
        <DisplayName>Rafael Lim (임우열)</DisplayName>
        <AccountId>392</AccountId>
        <AccountType/>
      </UserInfo>
      <UserInfo>
        <DisplayName>Ellie Yoon (윤희진)</DisplayName>
        <AccountId>142</AccountId>
        <AccountType/>
      </UserInfo>
      <UserInfo>
        <DisplayName>Changhoon Yoo (유창훈)</DisplayName>
        <AccountId>393</AccountId>
        <AccountType/>
      </UserInfo>
      <UserInfo>
        <DisplayName>Chris Woohyun Jang (장우현)</DisplayName>
        <AccountId>47</AccountId>
        <AccountType/>
      </UserInfo>
    </SharedWithUsers>
    <lcf76f155ced4ddcb4097134ff3c332f xmlns="657b0e55-2a0d-423a-9c7d-41fd28000d46">
      <Terms xmlns="http://schemas.microsoft.com/office/infopath/2007/PartnerControls"/>
    </lcf76f155ced4ddcb4097134ff3c332f>
    <TaxCatchAll xmlns="da3de5ce-214a-410a-afc1-faacf1f115f7" xsi:nil="true"/>
  </documentManagement>
</p:properties>
</file>

<file path=customXml/item3.xml><?xml version="1.0" encoding="utf-8"?>
<scriptIds xmlns="http://schemas.microsoft.com/office/extensibility/maker/v1.0" id="script-ids-node-id"/>
</file>

<file path=customXml/item4.xml><?xml version="1.0" encoding="utf-8"?>
<ct:contentTypeSchema xmlns:ct="http://schemas.microsoft.com/office/2006/metadata/contentType" xmlns:ma="http://schemas.microsoft.com/office/2006/metadata/properties/metaAttributes" ct:_="" ma:_="" ma:contentTypeName="문서" ma:contentTypeID="0x01010043BD9E5CA326E844973EE1EEF6828C53" ma:contentTypeVersion="16" ma:contentTypeDescription="새 문서를 만듭니다." ma:contentTypeScope="" ma:versionID="6b753937d5991763bfe80f4c9693585c">
  <xsd:schema xmlns:xsd="http://www.w3.org/2001/XMLSchema" xmlns:xs="http://www.w3.org/2001/XMLSchema" xmlns:p="http://schemas.microsoft.com/office/2006/metadata/properties" xmlns:ns2="657b0e55-2a0d-423a-9c7d-41fd28000d46" xmlns:ns3="da3de5ce-214a-410a-afc1-faacf1f115f7" targetNamespace="http://schemas.microsoft.com/office/2006/metadata/properties" ma:root="true" ma:fieldsID="fef709fed1f19ebb31cab01a031ff6a7" ns2:_="" ns3:_="">
    <xsd:import namespace="657b0e55-2a0d-423a-9c7d-41fd28000d46"/>
    <xsd:import namespace="da3de5ce-214a-410a-afc1-faacf1f115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0e55-2a0d-423a-9c7d-41fd28000d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이미지 태그" ma:readOnly="false" ma:fieldId="{5cf76f15-5ced-4ddc-b409-7134ff3c332f}" ma:taxonomyMulti="true" ma:sspId="19cd79a3-f605-49ec-b3bf-026e1013584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3de5ce-214a-410a-afc1-faacf1f115f7"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20" nillable="true" ma:displayName="Taxonomy Catch All Column" ma:hidden="true" ma:list="{88bad0d0-e571-4254-8d2b-ec401599dca2}" ma:internalName="TaxCatchAll" ma:showField="CatchAllData" ma:web="da3de5ce-214a-410a-afc1-faacf1f115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7310AA-3934-4B94-B697-11156403311C}">
  <ds:schemaRefs>
    <ds:schemaRef ds:uri="http://schemas.microsoft.com/sharepoint/v3/contenttype/forms"/>
  </ds:schemaRefs>
</ds:datastoreItem>
</file>

<file path=customXml/itemProps2.xml><?xml version="1.0" encoding="utf-8"?>
<ds:datastoreItem xmlns:ds="http://schemas.openxmlformats.org/officeDocument/2006/customXml" ds:itemID="{AEF76076-1A14-4B19-9432-C4BA7AB05923}">
  <ds:schemaRefs>
    <ds:schemaRef ds:uri="da3de5ce-214a-410a-afc1-faacf1f115f7"/>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657b0e55-2a0d-423a-9c7d-41fd28000d46"/>
    <ds:schemaRef ds:uri="http://www.w3.org/XML/1998/namespace"/>
    <ds:schemaRef ds:uri="http://purl.org/dc/dcmitype/"/>
  </ds:schemaRefs>
</ds:datastoreItem>
</file>

<file path=customXml/itemProps3.xml><?xml version="1.0" encoding="utf-8"?>
<ds:datastoreItem xmlns:ds="http://schemas.openxmlformats.org/officeDocument/2006/customXml" ds:itemID="{7D4D15CD-1B4F-443D-A2C7-67DCFB5F1386}">
  <ds:schemaRefs>
    <ds:schemaRef ds:uri="http://schemas.microsoft.com/office/extensibility/maker/v1.0"/>
  </ds:schemaRefs>
</ds:datastoreItem>
</file>

<file path=customXml/itemProps4.xml><?xml version="1.0" encoding="utf-8"?>
<ds:datastoreItem xmlns:ds="http://schemas.openxmlformats.org/officeDocument/2006/customXml" ds:itemID="{1CC11A2E-291C-41FE-84F8-0B1921D5FA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0e55-2a0d-423a-9c7d-41fd28000d46"/>
    <ds:schemaRef ds:uri="da3de5ce-214a-410a-afc1-faacf1f11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48a44fd-9723-482e-99fd-0a8a81fa6908}" enabled="1" method="Privileged" siteId="{1a27bdbf-e6cc-4e33-85d2-e1c81bad930a}"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14</vt:i4>
      </vt:variant>
    </vt:vector>
  </HeadingPairs>
  <TitlesOfParts>
    <vt:vector size="14" baseType="lpstr">
      <vt:lpstr>Usage Apr 2026</vt:lpstr>
      <vt:lpstr>Pivot by CW</vt:lpstr>
      <vt:lpstr>Pivot</vt:lpstr>
      <vt:lpstr>ToDo</vt:lpstr>
      <vt:lpstr>Akamai</vt:lpstr>
      <vt:lpstr>AWS</vt:lpstr>
      <vt:lpstr>Azure</vt:lpstr>
      <vt:lpstr>Tencent</vt:lpstr>
      <vt:lpstr>Datadog</vt:lpstr>
      <vt:lpstr>GWS</vt:lpstr>
      <vt:lpstr>Yandex</vt:lpstr>
      <vt:lpstr>GCP</vt:lpstr>
      <vt:lpstr>cost center</vt:lpstr>
      <vt:lpstr>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Gyeongseok Lee (이경석)</dc:creator>
  <cp:keywords/>
  <dc:description/>
  <cp:lastModifiedBy>Yunseul Lee (이윤슬)</cp:lastModifiedBy>
  <cp:revision/>
  <dcterms:created xsi:type="dcterms:W3CDTF">2021-02-05T06:17:10Z</dcterms:created>
  <dcterms:modified xsi:type="dcterms:W3CDTF">2026-05-08T06:35:35Z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0x01010043BD9E5CA326E844973EE1EEF6828C53</vt:lpwstr>
  </property>
  <property fmtid="{D5CDD505-2E9C-101B-9397-08002B2CF9AE}" pid="3" name="MediaServiceImageTags">
    <vt:lpwstr/>
  </property>
  <property fmtid="{D5CDD505-2E9C-101B-9397-08002B2CF9AE}" pid="4" name="MSIP_Label_348a44fd-9723-482e-99fd-0a8a81fa6908_Enabled">
    <vt:lpwstr>true</vt:lpwstr>
  </property>
  <property fmtid="{D5CDD505-2E9C-101B-9397-08002B2CF9AE}" pid="5" name="MSIP_Label_348a44fd-9723-482e-99fd-0a8a81fa6908_SetDate">
    <vt:lpwstr>2023-09-06T07:31:42Z</vt:lpwstr>
  </property>
  <property fmtid="{D5CDD505-2E9C-101B-9397-08002B2CF9AE}" pid="6" name="MSIP_Label_348a44fd-9723-482e-99fd-0a8a81fa6908_Method">
    <vt:lpwstr>Standard</vt:lpwstr>
  </property>
  <property fmtid="{D5CDD505-2E9C-101B-9397-08002B2CF9AE}" pid="7" name="MSIP_Label_348a44fd-9723-482e-99fd-0a8a81fa6908_Name">
    <vt:lpwstr>348a44fd-9723-482e-99fd-0a8a81fa6908</vt:lpwstr>
  </property>
  <property fmtid="{D5CDD505-2E9C-101B-9397-08002B2CF9AE}" pid="8" name="MSIP_Label_348a44fd-9723-482e-99fd-0a8a81fa6908_SiteId">
    <vt:lpwstr>1a27bdbf-e6cc-4e33-85d2-e1c81bad930a</vt:lpwstr>
  </property>
  <property fmtid="{D5CDD505-2E9C-101B-9397-08002B2CF9AE}" pid="9" name="MSIP_Label_348a44fd-9723-482e-99fd-0a8a81fa6908_ActionId">
    <vt:lpwstr>483e82f3-6700-4ac2-8e40-4ce6939fba80</vt:lpwstr>
  </property>
  <property fmtid="{D5CDD505-2E9C-101B-9397-08002B2CF9AE}" pid="10" name="MSIP_Label_348a44fd-9723-482e-99fd-0a8a81fa6908_ContentBits">
    <vt:lpwstr>0</vt:lpwstr>
  </property>
</Properties>
</file>